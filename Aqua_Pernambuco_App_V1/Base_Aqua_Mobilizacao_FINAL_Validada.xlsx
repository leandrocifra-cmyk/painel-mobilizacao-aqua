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336738fad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55138aa440f437c"/>
    <x:sheet xmlns:r="http://schemas.openxmlformats.org/officeDocument/2006/relationships" name="Cobrança RMR" sheetId="2" r:id="R8a7521e5dc0c4c6e"/>
    <x:sheet xmlns:r="http://schemas.openxmlformats.org/officeDocument/2006/relationships" name="Cobrança Interior" sheetId="3" r:id="Racb516bbbf4b4aad"/>
    <x:sheet xmlns:r="http://schemas.openxmlformats.org/officeDocument/2006/relationships" name="Hidrometria" sheetId="4" r:id="Rdcd4e7f8eec346d8"/>
    <x:sheet xmlns:r="http://schemas.openxmlformats.org/officeDocument/2006/relationships" name="Leitura" sheetId="5" r:id="R2a54a35ca11f421c"/>
    <x:sheet xmlns:r="http://schemas.openxmlformats.org/officeDocument/2006/relationships" name="Microrrotas" sheetId="6" r:id="R8949a3227fa84c2a"/>
    <x:sheet xmlns:r="http://schemas.openxmlformats.org/officeDocument/2006/relationships" name="Bases" sheetId="7" r:id="R1114d244595c4a96"/>
    <x:sheet xmlns:r="http://schemas.openxmlformats.org/officeDocument/2006/relationships" name="Rampagem" sheetId="8" r:id="R95e1d61b80754444"/>
    <x:sheet xmlns:r="http://schemas.openxmlformats.org/officeDocument/2006/relationships" name="LISTAS" sheetId="9" r:id="R8cc04cd6d1014cac"/>
    <x:sheet xmlns:r="http://schemas.openxmlformats.org/officeDocument/2006/relationships" name="LEIA-ME" sheetId="10" r:id="R0ecfb8b2d95f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8"/>
      <x:color rgb="FFFFFFFF"/>
      <x:name val="Carlito"/>
    </x:font>
    <x:font>
      <x:b/>
      <x:sz val="9"/>
      <x:color rgb="FFC94C4C"/>
      <x:name val="Carlito"/>
    </x:font>
    <x:font>
      <x:b/>
      <x:sz val="11"/>
      <x:color rgb="FF12304A"/>
      <x:name val="Carlito"/>
    </x:font>
    <x:font>
      <x:b/>
      <x:sz val="14"/>
      <x:color rgb="FFFFFFFF"/>
      <x:name val="Carlito"/>
    </x:font>
    <x:font>
      <x:b/>
      <x:sz val="12"/>
      <x:color rgb="FF2C91B3"/>
      <x:name val="Carlito"/>
    </x:font>
    <x:font>
      <x:b/>
      <x:sz val="12"/>
      <x:color rgb="FF1F5A7A"/>
      <x:name val="Carlito"/>
    </x:font>
    <x:font>
      <x:b/>
      <x:sz val="12"/>
      <x:color rgb="FF12304A"/>
      <x:name val="Carlito"/>
    </x:font>
    <x:font>
      <x:b/>
      <x:sz val="12"/>
      <x:color rgb="FF2E8B57"/>
      <x:name val="Carlito"/>
    </x:font>
    <x:font>
      <x:b/>
      <x:sz val="12"/>
      <x:color rgb="FFFFFFFF"/>
      <x:name val="Carlito"/>
    </x:font>
    <x:font>
      <x:b/>
      <x:sz val="11"/>
      <x:color rgb="FF7A5A12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EF3F6"/>
      </x:patternFill>
    </x:fill>
    <x:fill>
      <x:patternFill patternType="solid">
        <x:fgColor rgb="FFFFF8E6"/>
      </x:patternFill>
    </x:fill>
    <x:fill>
      <x:patternFill patternType="solid">
        <x:fgColor rgb="FFE9F2F7"/>
      </x:patternFill>
    </x:fill>
    <x:fill>
      <x:patternFill patternType="solid">
        <x:fgColor rgb="FF2E8B57"/>
      </x:patternFill>
    </x:fill>
    <x:fill>
      <x:patternFill patternType="solid">
        <x:fgColor rgb="FF1F5A7A"/>
      </x:patternFill>
    </x:fill>
    <x:fill>
      <x:patternFill patternType="solid">
        <x:fgColor rgb="FFD99A20"/>
      </x:patternFill>
    </x:fill>
    <x:fill>
      <x:patternFill patternType="solid">
        <x:fgColor rgb="FFC94C4C"/>
      </x:patternFill>
    </x:fill>
    <x:fill>
      <x:patternFill patternType="solid">
        <x:fgColor rgb="FFF4F8FB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horizont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horizont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7353bada24a2c" /><Relationship Type="http://schemas.openxmlformats.org/officeDocument/2006/relationships/theme" Target="/xl/theme/theme1.xml" Id="R5c6c5b7a1be34b75" /><Relationship Type="http://schemas.openxmlformats.org/officeDocument/2006/relationships/sharedStrings" Target="/xl/sharedStrings.xml" Id="Ra7c85eab692141bb" /><Relationship Type="http://schemas.openxmlformats.org/officeDocument/2006/relationships/worksheet" Target="/xl/worksheets/sheet1.xml" Id="R755138aa440f437c" /><Relationship Type="http://schemas.openxmlformats.org/officeDocument/2006/relationships/worksheet" Target="/xl/worksheets/sheet2.xml" Id="R8a7521e5dc0c4c6e" /><Relationship Type="http://schemas.openxmlformats.org/officeDocument/2006/relationships/worksheet" Target="/xl/worksheets/sheet3.xml" Id="Racb516bbbf4b4aad" /><Relationship Type="http://schemas.openxmlformats.org/officeDocument/2006/relationships/worksheet" Target="/xl/worksheets/sheet4.xml" Id="Rdcd4e7f8eec346d8" /><Relationship Type="http://schemas.openxmlformats.org/officeDocument/2006/relationships/worksheet" Target="/xl/worksheets/sheet5.xml" Id="R2a54a35ca11f421c" /><Relationship Type="http://schemas.openxmlformats.org/officeDocument/2006/relationships/worksheet" Target="/xl/worksheets/sheet6.xml" Id="R8949a3227fa84c2a" /><Relationship Type="http://schemas.openxmlformats.org/officeDocument/2006/relationships/worksheet" Target="/xl/worksheets/sheet7.xml" Id="R1114d244595c4a96" /><Relationship Type="http://schemas.openxmlformats.org/officeDocument/2006/relationships/worksheet" Target="/xl/worksheets/sheet8.xml" Id="R95e1d61b80754444" /><Relationship Type="http://schemas.openxmlformats.org/officeDocument/2006/relationships/worksheet" Target="/xl/worksheets/sheet9.xml" Id="R8cc04cd6d1014cac" /><Relationship Type="http://schemas.openxmlformats.org/officeDocument/2006/relationships/worksheet" Target="/xl/worksheets/sheet10.xml" Id="R0ecfb8b2d95f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23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</x:cols>
  <x:sheetData>
    <x:row r="1">
      <x:c r="P1" t="str">
        <x:v>Fonte</x:v>
      </x:c>
      <x:c r="Q1" t="str">
        <x:v>Mobilizadas</x:v>
      </x:c>
      <x:c r="R1" t="str">
        <x:v>Contratadas</x:v>
      </x:c>
      <x:c r="S1" t="str">
        <x:v>Em contratação</x:v>
      </x:c>
      <x:c r="T1" t="str">
        <x:v>Em recrutamento</x:v>
      </x:c>
      <x:c r="U1" t="str">
        <x:v>Simples</x:v>
      </x:c>
      <x:c r="V1" t="str">
        <x:v>Duplas</x:v>
      </x:c>
      <x:c r="W1" t="str">
        <x:v>Veículos</x:v>
      </x:c>
      <x:c r="X1" t="str">
        <x:v>Agentes únicos</x:v>
      </x:c>
      <x:c r="Y1" t="str">
        <x:v>Linhas</x:v>
      </x:c>
    </x:row>
    <x:row r="2">
      <x:c r="B2" s="21" t="str">
        <x:v>AQUA PERNAMBUCO | RESUMO DE MOBILIZAÇÃO</x:v>
      </x:c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P2" t="str">
        <x:v>Cobrança RMR</x:v>
      </x:c>
      <x:c r="Q2" t="n">
        <x:f>IF($I$6="Todos",SUMIFS('Cobrança RMR'!$O$2:$O$600,'Cobrança RMR'!$K$2:$K$600,"Mobilizada"),SUMIFS('Cobrança RMR'!$P$2:$P$600,'Cobrança RMR'!$K$2:$K$600,"Mobilizada",'Cobrança RMR'!$F$2:$F$600,$I$6))</x:f>
        <x:v>2</x:v>
      </x:c>
      <x:c r="R2" t="n">
        <x:f>IF($I$6="Todos",SUMIFS('Cobrança RMR'!$O$2:$O$600,'Cobrança RMR'!$K$2:$K$600,"Contratada"),SUMIFS('Cobrança RMR'!$P$2:$P$600,'Cobrança RMR'!$K$2:$K$600,"Contratada",'Cobrança RMR'!$F$2:$F$600,$I$6))</x:f>
        <x:v>2</x:v>
      </x:c>
      <x:c r="S2" t="n">
        <x:f>IF($I$6="Todos",SUMIFS('Cobrança RMR'!$O$2:$O$600,'Cobrança RMR'!$K$2:$K$600,"Em contratação"),SUMIFS('Cobrança RMR'!$P$2:$P$600,'Cobrança RMR'!$K$2:$K$600,"Em contratação",'Cobrança RMR'!$F$2:$F$600,$I$6))</x:f>
        <x:v>2</x:v>
      </x:c>
      <x:c r="T2" t="n">
        <x:f>IF($I$6="Todos",SUMIFS('Cobrança RMR'!$O$2:$O$600,'Cobrança RMR'!$K$2:$K$600,"Em recrutamento"),SUMIFS('Cobrança RMR'!$P$2:$P$600,'Cobrança RMR'!$K$2:$K$600,"Em recrutamento",'Cobrança RMR'!$F$2:$F$600,$I$6))</x:f>
        <x:v>2</x:v>
      </x:c>
      <x:c r="U2" t="n">
        <x:f>IF($I$6="Todos",SUMIFS('Cobrança RMR'!$O$2:$O$600,'Cobrança RMR'!$I$2:$I$600,"Equipe Simples"),SUMIFS('Cobrança RMR'!$P$2:$P$600,'Cobrança RMR'!$I$2:$I$600,"Equipe Simples",'Cobrança RMR'!$F$2:$F$600,$I$6))</x:f>
        <x:v>4</x:v>
      </x:c>
      <x:c r="V2" t="n">
        <x:f>IF($I$6="Todos",SUMIFS('Cobrança RMR'!$O$2:$O$600,'Cobrança RMR'!$I$2:$I$600,"Equipe Dupla"),SUMIFS('Cobrança RMR'!$P$2:$P$600,'Cobrança RMR'!$I$2:$I$600,"Equipe Dupla",'Cobrança RMR'!$F$2:$F$600,$I$6))</x:f>
        <x:v>4</x:v>
      </x:c>
      <x:c r="W2" t="n">
        <x:f>IF($I$6="Todos",SUMIFS('Cobrança RMR'!$O$2:$O$600,'Cobrança RMR'!$M$2:$M$600,"Sim"),SUMIFS('Cobrança RMR'!$P$2:$P$600,'Cobrança RMR'!$M$2:$M$600,"Sim",'Cobrança RMR'!$F$2:$F$600,$I$6))</x:f>
        <x:v>6</x:v>
      </x:c>
      <x:c r="X2" t="n">
        <x:f>IF($I$6="Todos",SUM('Cobrança RMR'!$O$2:$O$600),SUMIFS('Cobrança RMR'!$P$2:$P$600,'Cobrança RMR'!$F$2:$F$600,$I$6))</x:f>
        <x:v>8</x:v>
      </x:c>
      <x:c r="Y2" t="n">
        <x:f>IF($I$6="Todos",COUNTIF('Cobrança RMR'!$A$2:$A$600,"&lt;&gt;"),COUNTIFS('Cobrança RMR'!$A$2:$A$600,"&lt;&gt;",'Cobrança RMR'!$F$2:$F$600,$I$6))</x:f>
        <x:v>16</x:v>
      </x:c>
    </x:row>
    <x:row r="3"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P3" t="str">
        <x:v>Cobrança Interior</x:v>
      </x:c>
      <x:c r="Q3" t="n">
        <x:f>IF($I$6="Todos",SUMIFS('Cobrança Interior'!$O$2:$O$600,'Cobrança Interior'!$K$2:$K$600,"Mobilizada"),SUMIFS('Cobrança Interior'!$P$2:$P$600,'Cobrança Interior'!$K$2:$K$600,"Mobilizada",'Cobrança Interior'!$F$2:$F$600,$I$6))</x:f>
        <x:v>16</x:v>
      </x:c>
      <x:c r="R3" t="n">
        <x:f>IF($I$6="Todos",SUMIFS('Cobrança Interior'!$O$2:$O$600,'Cobrança Interior'!$K$2:$K$600,"Contratada"),SUMIFS('Cobrança Interior'!$P$2:$P$600,'Cobrança Interior'!$K$2:$K$600,"Contratada",'Cobrança Interior'!$F$2:$F$600,$I$6))</x:f>
        <x:v>16</x:v>
      </x:c>
      <x:c r="S3" t="n">
        <x:f>IF($I$6="Todos",SUMIFS('Cobrança Interior'!$O$2:$O$600,'Cobrança Interior'!$K$2:$K$600,"Em contratação"),SUMIFS('Cobrança Interior'!$P$2:$P$600,'Cobrança Interior'!$K$2:$K$600,"Em contratação",'Cobrança Interior'!$F$2:$F$600,$I$6))</x:f>
        <x:v>16</x:v>
      </x:c>
      <x:c r="T3" t="n">
        <x:f>IF($I$6="Todos",SUMIFS('Cobrança Interior'!$O$2:$O$600,'Cobrança Interior'!$K$2:$K$600,"Em recrutamento"),SUMIFS('Cobrança Interior'!$P$2:$P$600,'Cobrança Interior'!$K$2:$K$600,"Em recrutamento",'Cobrança Interior'!$F$2:$F$600,$I$6))</x:f>
        <x:v>16</x:v>
      </x:c>
      <x:c r="U3" t="n">
        <x:f>IF($I$6="Todos",SUMIFS('Cobrança Interior'!$O$2:$O$600,'Cobrança Interior'!$I$2:$I$600,"Equipe Simples"),SUMIFS('Cobrança Interior'!$P$2:$P$600,'Cobrança Interior'!$I$2:$I$600,"Equipe Simples",'Cobrança Interior'!$F$2:$F$600,$I$6))</x:f>
        <x:v>32</x:v>
      </x:c>
      <x:c r="V3" t="n">
        <x:f>IF($I$6="Todos",SUMIFS('Cobrança Interior'!$O$2:$O$600,'Cobrança Interior'!$I$2:$I$600,"Equipe Dupla"),SUMIFS('Cobrança Interior'!$P$2:$P$600,'Cobrança Interior'!$I$2:$I$600,"Equipe Dupla",'Cobrança Interior'!$F$2:$F$600,$I$6))</x:f>
        <x:v>32</x:v>
      </x:c>
      <x:c r="W3" t="n">
        <x:f>IF($I$6="Todos",SUMIFS('Cobrança Interior'!$O$2:$O$600,'Cobrança Interior'!$M$2:$M$600,"Sim"),SUMIFS('Cobrança Interior'!$P$2:$P$600,'Cobrança Interior'!$M$2:$M$600,"Sim",'Cobrança Interior'!$F$2:$F$600,$I$6))</x:f>
        <x:v>48</x:v>
      </x:c>
      <x:c r="X3" t="n">
        <x:f>IF($I$6="Todos",SUM('Cobrança Interior'!$O$2:$O$600),SUMIFS('Cobrança Interior'!$P$2:$P$600,'Cobrança Interior'!$F$2:$F$600,$I$6))</x:f>
        <x:v>64</x:v>
      </x:c>
      <x:c r="Y3" t="n">
        <x:f>IF($I$6="Todos",COUNTIF('Cobrança Interior'!$A$2:$A$600,"&lt;&gt;"),COUNTIFS('Cobrança Interior'!$A$2:$A$600,"&lt;&gt;",'Cobrança Interior'!$F$2:$F$600,$I$6))</x:f>
        <x:v>128</x:v>
      </x:c>
    </x:row>
    <x:row r="4">
      <x:c r="B4" s="24" t="str">
        <x:v>BASE DE TESTE — todos os nomes e situações preenchidos são fictícios.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P4" t="str">
        <x:v>Hidrometria</x:v>
      </x:c>
      <x:c r="Q4" t="n">
        <x:f>IF($I$6="Todos",SUMIFS('Hidrometria'!$O$2:$O$600,'Hidrometria'!$K$2:$K$600,"Mobilizada"),SUMIFS('Hidrometria'!$P$2:$P$600,'Hidrometria'!$K$2:$K$600,"Mobilizada",'Hidrometria'!$F$2:$F$600,$I$6))</x:f>
        <x:v>18</x:v>
      </x:c>
      <x:c r="R4" t="n">
        <x:f>IF($I$6="Todos",SUMIFS('Hidrometria'!$O$2:$O$600,'Hidrometria'!$K$2:$K$600,"Contratada"),SUMIFS('Hidrometria'!$P$2:$P$600,'Hidrometria'!$K$2:$K$600,"Contratada",'Hidrometria'!$F$2:$F$600,$I$6))</x:f>
        <x:v>18</x:v>
      </x:c>
      <x:c r="S4" t="n">
        <x:f>IF($I$6="Todos",SUMIFS('Hidrometria'!$O$2:$O$600,'Hidrometria'!$K$2:$K$600,"Em contratação"),SUMIFS('Hidrometria'!$P$2:$P$600,'Hidrometria'!$K$2:$K$600,"Em contratação",'Hidrometria'!$F$2:$F$600,$I$6))</x:f>
        <x:v>18</x:v>
      </x:c>
      <x:c r="T4" t="n">
        <x:f>IF($I$6="Todos",SUMIFS('Hidrometria'!$O$2:$O$600,'Hidrometria'!$K$2:$K$600,"Em recrutamento"),SUMIFS('Hidrometria'!$P$2:$P$600,'Hidrometria'!$K$2:$K$600,"Em recrutamento",'Hidrometria'!$F$2:$F$600,$I$6))</x:f>
        <x:v>18</x:v>
      </x:c>
      <x:c r="U4" t="n">
        <x:f>IF($I$6="Todos",SUMIFS('Hidrometria'!$O$2:$O$600,'Hidrometria'!$I$2:$I$600,"Equipe Simples"),SUMIFS('Hidrometria'!$P$2:$P$600,'Hidrometria'!$I$2:$I$600,"Equipe Simples",'Hidrometria'!$F$2:$F$600,$I$6))</x:f>
        <x:v>36</x:v>
      </x:c>
      <x:c r="V4" t="n">
        <x:f>IF($I$6="Todos",SUMIFS('Hidrometria'!$O$2:$O$600,'Hidrometria'!$I$2:$I$600,"Equipe Dupla"),SUMIFS('Hidrometria'!$P$2:$P$600,'Hidrometria'!$I$2:$I$600,"Equipe Dupla",'Hidrometria'!$F$2:$F$600,$I$6))</x:f>
        <x:v>36</x:v>
      </x:c>
      <x:c r="W4" t="n">
        <x:f>IF($I$6="Todos",SUMIFS('Hidrometria'!$O$2:$O$600,'Hidrometria'!$M$2:$M$600,"Sim"),SUMIFS('Hidrometria'!$P$2:$P$600,'Hidrometria'!$M$2:$M$600,"Sim",'Hidrometria'!$F$2:$F$600,$I$6))</x:f>
        <x:v>54</x:v>
      </x:c>
      <x:c r="X4" t="n">
        <x:f>IF($I$6="Todos",SUM('Hidrometria'!$O$2:$O$600),SUMIFS('Hidrometria'!$P$2:$P$600,'Hidrometria'!$F$2:$F$600,$I$6))</x:f>
        <x:v>72</x:v>
      </x:c>
      <x:c r="Y4" t="n">
        <x:f>IF($I$6="Todos",COUNTIF('Hidrometria'!$A$2:$A$600,"&lt;&gt;"),COUNTIFS('Hidrometria'!$A$2:$A$600,"&lt;&gt;",'Hidrometria'!$F$2:$F$600,$I$6))</x:f>
        <x:v>144</x:v>
      </x:c>
    </x:row>
    <x:row r="5">
      <x:c r="P5" t="str">
        <x:v>Leitura</x:v>
      </x:c>
      <x:c r="Q5" t="n">
        <x:f>IF($I$6="Todos",SUMIFS('Leitura'!$O$2:$O$600,'Leitura'!$K$2:$K$600,"Mobilizada"),SUMIFS('Leitura'!$P$2:$P$600,'Leitura'!$K$2:$K$600,"Mobilizada",'Leitura'!$F$2:$F$600,$I$6))</x:f>
        <x:v>18</x:v>
      </x:c>
      <x:c r="R5" t="n">
        <x:f>IF($I$6="Todos",SUMIFS('Leitura'!$O$2:$O$600,'Leitura'!$K$2:$K$600,"Contratada"),SUMIFS('Leitura'!$P$2:$P$600,'Leitura'!$K$2:$K$600,"Contratada",'Leitura'!$F$2:$F$600,$I$6))</x:f>
        <x:v>18</x:v>
      </x:c>
      <x:c r="S5" t="n">
        <x:f>IF($I$6="Todos",SUMIFS('Leitura'!$O$2:$O$600,'Leitura'!$K$2:$K$600,"Em contratação"),SUMIFS('Leitura'!$P$2:$P$600,'Leitura'!$K$2:$K$600,"Em contratação",'Leitura'!$F$2:$F$600,$I$6))</x:f>
        <x:v>18</x:v>
      </x:c>
      <x:c r="T5" t="n">
        <x:f>IF($I$6="Todos",SUMIFS('Leitura'!$O$2:$O$600,'Leitura'!$K$2:$K$600,"Em recrutamento"),SUMIFS('Leitura'!$P$2:$P$600,'Leitura'!$K$2:$K$600,"Em recrutamento",'Leitura'!$F$2:$F$600,$I$6))</x:f>
        <x:v>18</x:v>
      </x:c>
      <x:c r="U5" t="n">
        <x:f>IF($I$6="Todos",SUMIFS('Leitura'!$O$2:$O$600,'Leitura'!$I$2:$I$600,"Equipe Simples"),SUMIFS('Leitura'!$P$2:$P$600,'Leitura'!$I$2:$I$600,"Equipe Simples",'Leitura'!$F$2:$F$600,$I$6))</x:f>
        <x:v>36</x:v>
      </x:c>
      <x:c r="V5" t="n">
        <x:f>IF($I$6="Todos",SUMIFS('Leitura'!$O$2:$O$600,'Leitura'!$I$2:$I$600,"Equipe Dupla"),SUMIFS('Leitura'!$P$2:$P$600,'Leitura'!$I$2:$I$600,"Equipe Dupla",'Leitura'!$F$2:$F$600,$I$6))</x:f>
        <x:v>36</x:v>
      </x:c>
      <x:c r="W5" t="n">
        <x:f>IF($I$6="Todos",SUMIFS('Leitura'!$O$2:$O$600,'Leitura'!$M$2:$M$600,"Sim"),SUMIFS('Leitura'!$P$2:$P$600,'Leitura'!$M$2:$M$600,"Sim",'Leitura'!$F$2:$F$600,$I$6))</x:f>
        <x:v>54</x:v>
      </x:c>
      <x:c r="X5" t="n">
        <x:f>IF($I$6="Todos",SUM('Leitura'!$O$2:$O$600),SUMIFS('Leitura'!$P$2:$P$600,'Leitura'!$F$2:$F$600,$I$6))</x:f>
        <x:v>72</x:v>
      </x:c>
      <x:c r="Y5" t="n">
        <x:f>IF($I$6="Todos",COUNTIF('Leitura'!$A$2:$A$600,"&lt;&gt;"),COUNTIFS('Leitura'!$A$2:$A$600,"&lt;&gt;",'Leitura'!$F$2:$F$600,$I$6))</x:f>
        <x:v>144</x:v>
      </x:c>
    </x:row>
    <x:row r="6">
      <x:c r="B6" t="str">
        <x:v>VISÃO</x:v>
      </x:c>
      <x:c r="C6" s="28" t="str">
        <x:v>Consolidado</x:v>
      </x:c>
      <x:c r="D6" s="28"/>
      <x:c r="E6" s="28"/>
      <x:c r="H6" t="str">
        <x:v>POLO</x:v>
      </x:c>
      <x:c r="I6" s="28" t="str">
        <x:v>Todos</x:v>
      </x:c>
      <x:c r="J6" s="28"/>
      <x:c r="K6" s="28"/>
      <x:c r="P6" t="str">
        <x:v>Consolidado</x:v>
      </x:c>
      <x:c r="Q6" t="n">
        <x:f>SUM(Q2:Q5)</x:f>
        <x:v>54</x:v>
      </x:c>
      <x:c r="R6" t="n">
        <x:f>SUM(R2:R5)</x:f>
        <x:v>54</x:v>
      </x:c>
      <x:c r="S6" t="n">
        <x:f>SUM(S2:S5)</x:f>
        <x:v>54</x:v>
      </x:c>
      <x:c r="T6" t="n">
        <x:f>SUM(T2:T5)</x:f>
        <x:v>54</x:v>
      </x:c>
      <x:c r="U6" t="n">
        <x:f>SUM(U2:U5)</x:f>
        <x:v>108</x:v>
      </x:c>
      <x:c r="V6" t="n">
        <x:f>SUM(V2:V5)</x:f>
        <x:v>108</x:v>
      </x:c>
      <x:c r="W6" t="n">
        <x:f>SUM(W2:W5)</x:f>
        <x:v>162</x:v>
      </x:c>
      <x:c r="X6" t="n">
        <x:f>SUM(X2:X5)</x:f>
        <x:v>216</x:v>
      </x:c>
      <x:c r="Y6" t="n">
        <x:f>SUM(Y2:Y5)</x:f>
        <x:v>432</x:v>
      </x:c>
    </x:row>
    <x:row r="9">
      <x:c r="B9" s="36" t="str">
        <x:f>"EQUIPES MOBILIZADAS"&amp;CHAR(10)&amp;TEXT(Q10,"0")</x:f>
        <x:v>EQUIPES MOBILIZADAS
54</x:v>
      </x:c>
      <x:c r="C9" s="36"/>
      <x:c r="D9" s="36"/>
      <x:c r="E9" s="46" t="str">
        <x:f>"CONTRATADAS"&amp;CHAR(10)&amp;TEXT(R10,"0")</x:f>
        <x:v>CONTRATADAS
54</x:v>
      </x:c>
      <x:c r="F9" s="46"/>
      <x:c r="G9" s="46"/>
      <x:c r="H9" s="56" t="str">
        <x:f>"EM CONTRATAÇÃO"&amp;CHAR(10)&amp;TEXT(S10,"0")</x:f>
        <x:v>EM CONTRATAÇÃO
54</x:v>
      </x:c>
      <x:c r="I9" s="56"/>
      <x:c r="J9" s="56"/>
      <x:c r="K9" s="66" t="str">
        <x:f>"EM RECRUTAMENTO"&amp;CHAR(10)&amp;TEXT(T10,"0")</x:f>
        <x:v>EM RECRUTAMENTO
54</x:v>
      </x:c>
      <x:c r="L9" s="66"/>
      <x:c r="M9" s="66"/>
      <x:c r="P9" t="str">
        <x:v>Selecionado</x:v>
      </x:c>
      <x:c r="Q9" t="str">
        <x:v>Mobilizadas</x:v>
      </x:c>
      <x:c r="R9" t="str">
        <x:v>Contratadas</x:v>
      </x:c>
      <x:c r="S9" t="str">
        <x:v>Em contratação</x:v>
      </x:c>
      <x:c r="T9" t="str">
        <x:v>Em recrutamento</x:v>
      </x:c>
      <x:c r="U9" t="str">
        <x:v>Simples</x:v>
      </x:c>
      <x:c r="V9" t="str">
        <x:v>Duplas</x:v>
      </x:c>
      <x:c r="W9" t="str">
        <x:v>Veículos</x:v>
      </x:c>
      <x:c r="X9" t="str">
        <x:v>Agentes únicos</x:v>
      </x:c>
      <x:c r="Y9" t="str">
        <x:v>Linhas</x:v>
      </x:c>
    </x:row>
    <x:row r="10">
      <x:c r="B10" s="36"/>
      <x:c r="C10" s="36"/>
      <x:c r="D10" s="36"/>
      <x:c r="E10" s="46"/>
      <x:c r="F10" s="46"/>
      <x:c r="G10" s="46"/>
      <x:c r="H10" s="56"/>
      <x:c r="I10" s="56"/>
      <x:c r="J10" s="56"/>
      <x:c r="K10" s="66"/>
      <x:c r="L10" s="66"/>
      <x:c r="M10" s="66"/>
      <x:c r="Q10" t="n">
        <x:f>INDEX(Q$2:Q$6,MATCH($C$6,$P$2:$P$6,0))</x:f>
        <x:v>54</x:v>
      </x:c>
      <x:c r="R10" t="n">
        <x:f>INDEX(R$2:R$6,MATCH($C$6,$P$2:$P$6,0))</x:f>
        <x:v>54</x:v>
      </x:c>
      <x:c r="S10" t="n">
        <x:f>INDEX(S$2:S$6,MATCH($C$6,$P$2:$P$6,0))</x:f>
        <x:v>54</x:v>
      </x:c>
      <x:c r="T10" t="n">
        <x:f>INDEX(T$2:T$6,MATCH($C$6,$P$2:$P$6,0))</x:f>
        <x:v>54</x:v>
      </x:c>
      <x:c r="U10" t="n">
        <x:f>INDEX(U$2:U$6,MATCH($C$6,$P$2:$P$6,0))</x:f>
        <x:v>108</x:v>
      </x:c>
      <x:c r="V10" t="n">
        <x:f>INDEX(V$2:V$6,MATCH($C$6,$P$2:$P$6,0))</x:f>
        <x:v>108</x:v>
      </x:c>
      <x:c r="W10" t="n">
        <x:f>INDEX(W$2:W$6,MATCH($C$6,$P$2:$P$6,0))</x:f>
        <x:v>162</x:v>
      </x:c>
      <x:c r="X10" t="n">
        <x:f>INDEX(X$2:X$6,MATCH($C$6,$P$2:$P$6,0))</x:f>
        <x:v>216</x:v>
      </x:c>
      <x:c r="Y10" t="n">
        <x:f>INDEX(Y$2:Y$6,MATCH($C$6,$P$2:$P$6,0))</x:f>
        <x:v>432</x:v>
      </x:c>
    </x:row>
    <x:row r="11">
      <x:c r="B11" s="36"/>
      <x:c r="C11" s="36"/>
      <x:c r="D11" s="36"/>
      <x:c r="E11" s="46"/>
      <x:c r="F11" s="46"/>
      <x:c r="G11" s="46"/>
      <x:c r="H11" s="56"/>
      <x:c r="I11" s="56"/>
      <x:c r="J11" s="56"/>
      <x:c r="K11" s="66"/>
      <x:c r="L11" s="66"/>
      <x:c r="M11" s="66"/>
    </x:row>
    <x:row r="12">
      <x:c r="B12" s="36"/>
      <x:c r="C12" s="36"/>
      <x:c r="D12" s="36"/>
      <x:c r="E12" s="46"/>
      <x:c r="F12" s="46"/>
      <x:c r="G12" s="46"/>
      <x:c r="H12" s="56"/>
      <x:c r="I12" s="56"/>
      <x:c r="J12" s="56"/>
      <x:c r="K12" s="66"/>
      <x:c r="L12" s="66"/>
      <x:c r="M12" s="66"/>
    </x:row>
    <x:row r="13">
      <x:c r="B13" s="36"/>
      <x:c r="C13" s="36"/>
      <x:c r="D13" s="36"/>
      <x:c r="E13" s="46"/>
      <x:c r="F13" s="46"/>
      <x:c r="G13" s="46"/>
      <x:c r="H13" s="56"/>
      <x:c r="I13" s="56"/>
      <x:c r="J13" s="56"/>
      <x:c r="K13" s="66"/>
      <x:c r="L13" s="66"/>
      <x:c r="M13" s="66"/>
    </x:row>
    <x:row r="15">
      <x:c r="B15" s="76" t="str">
        <x:f>"EQUIPE SIMPLES"&amp;CHAR(10)&amp;TEXT(U10,"0")</x:f>
        <x:v>EQUIPE SIMPLES
108</x:v>
      </x:c>
      <x:c r="C15" s="76"/>
      <x:c r="D15" s="76"/>
      <x:c r="E15" s="85" t="str">
        <x:f>"EQUIPE DUPLA"&amp;CHAR(10)&amp;TEXT(V10,"0")</x:f>
        <x:v>EQUIPE DUPLA
108</x:v>
      </x:c>
      <x:c r="F15" s="85"/>
      <x:c r="G15" s="85"/>
      <x:c r="H15" s="93" t="str">
        <x:f>"VEÍCULOS DISPONÍVEIS"&amp;CHAR(10)&amp;TEXT(W10,"0")</x:f>
        <x:v>VEÍCULOS DISPONÍVEIS
162</x:v>
      </x:c>
      <x:c r="I15" s="93"/>
      <x:c r="J15" s="93"/>
      <x:c r="K15" s="101" t="str">
        <x:f>"LINHAS / VÍNCULOS"&amp;CHAR(10)&amp;TEXT(Y10,"0")</x:f>
        <x:v>LINHAS / VÍNCULOS
432</x:v>
      </x:c>
      <x:c r="L15" s="101"/>
      <x:c r="M15" s="101"/>
    </x:row>
    <x:row r="16">
      <x:c r="B16" s="76"/>
      <x:c r="C16" s="76"/>
      <x:c r="D16" s="76"/>
      <x:c r="E16" s="85"/>
      <x:c r="F16" s="85"/>
      <x:c r="G16" s="85"/>
      <x:c r="H16" s="93"/>
      <x:c r="I16" s="93"/>
      <x:c r="J16" s="93"/>
      <x:c r="K16" s="101"/>
      <x:c r="L16" s="101"/>
      <x:c r="M16" s="101"/>
    </x:row>
    <x:row r="17">
      <x:c r="B17" s="76"/>
      <x:c r="C17" s="76"/>
      <x:c r="D17" s="76"/>
      <x:c r="E17" s="85"/>
      <x:c r="F17" s="85"/>
      <x:c r="G17" s="85"/>
      <x:c r="H17" s="93"/>
      <x:c r="I17" s="93"/>
      <x:c r="J17" s="93"/>
      <x:c r="K17" s="101"/>
      <x:c r="L17" s="101"/>
      <x:c r="M17" s="101"/>
    </x:row>
    <x:row r="18">
      <x:c r="B18" s="76"/>
      <x:c r="C18" s="76"/>
      <x:c r="D18" s="76"/>
      <x:c r="E18" s="85"/>
      <x:c r="F18" s="85"/>
      <x:c r="G18" s="85"/>
      <x:c r="H18" s="93"/>
      <x:c r="I18" s="93"/>
      <x:c r="J18" s="93"/>
      <x:c r="K18" s="101"/>
      <x:c r="L18" s="101"/>
      <x:c r="M18" s="101"/>
    </x:row>
    <x:row r="20">
      <x:c r="B20" s="107" t="str">
        <x:v>RESUMO CONSOLIDADO POR POLO — AGENTES/EQUIPES ÚNICOS</x:v>
      </x:c>
      <x:c r="C20" s="107"/>
      <x:c r="D20" s="107"/>
      <x:c r="E20" s="107"/>
      <x:c r="F20" s="107"/>
      <x:c r="G20" s="107"/>
      <x:c r="H20" s="107"/>
      <x:c r="I20" s="107"/>
      <x:c r="J20" s="107"/>
      <x:c r="K20" s="107"/>
      <x:c r="L20" s="107"/>
      <x:c r="M20" s="107"/>
    </x:row>
    <x:row r="21">
      <x:c r="B21" s="107"/>
      <x:c r="C21" s="107"/>
      <x:c r="D21" s="107"/>
      <x:c r="E21" s="107"/>
      <x:c r="F21" s="107"/>
      <x:c r="G21" s="107"/>
      <x:c r="H21" s="107"/>
      <x:c r="I21" s="107"/>
      <x:c r="J21" s="107"/>
      <x:c r="K21" s="107"/>
      <x:c r="L21" s="107"/>
      <x:c r="M21" s="107"/>
    </x:row>
    <x:row r="22">
      <x:c r="B22" s="27" t="str">
        <x:v>Polo</x:v>
      </x:c>
      <x:c r="C22" s="27" t="str">
        <x:v>Equipes únicas</x:v>
      </x:c>
      <x:c r="D22" s="27" t="str">
        <x:v>Mobilizadas</x:v>
      </x:c>
      <x:c r="E22" s="27" t="str">
        <x:v>Contratadas</x:v>
      </x:c>
      <x:c r="F22" s="27" t="str">
        <x:v>Em contratação</x:v>
      </x:c>
      <x:c r="G22" s="27" t="str">
        <x:v>Em recrutamento</x:v>
      </x:c>
      <x:c r="H22" s="27" t="str">
        <x:v>% Mobilizada</x:v>
      </x:c>
    </x:row>
    <x:row r="23">
      <x:c r="B23" t="str">
        <x:v>Recife/RMR</x:v>
      </x:c>
      <x:c r="C23" t="n">
        <x:f>SUMIFS('Cobrança RMR'!$P$2:$P$600,'Cobrança RMR'!$F$2:$F$600,B23)+SUMIFS('Hidrometria'!$P$2:$P$600,'Hidrometria'!$F$2:$F$600,B23)+SUMIFS('Leitura'!$P$2:$P$600,'Leitura'!$F$2:$F$600,B23)</x:f>
        <x:v>24</x:v>
      </x:c>
      <x:c r="D23" t="n">
        <x:f>SUMIFS('Cobrança RMR'!$P$2:$P$600,'Cobrança RMR'!$F$2:$F$600,B23,'Cobrança RMR'!$K$2:$K$600,"Mobilizada")+SUMIFS('Hidrometria'!$P$2:$P$600,'Hidrometria'!$F$2:$F$600,B23,'Hidrometria'!$K$2:$K$600,"Mobilizada")+SUMIFS('Leitura'!$P$2:$P$600,'Leitura'!$F$2:$F$600,B23,'Leitura'!$K$2:$K$600,"Mobilizada")</x:f>
        <x:v>6</x:v>
      </x:c>
      <x:c r="E23" t="n">
        <x:f>SUMIFS('Cobrança RMR'!$P$2:$P$600,'Cobrança RMR'!$F$2:$F$600,B23,'Cobrança RMR'!$K$2:$K$600,"Contratada")+SUMIFS('Hidrometria'!$P$2:$P$600,'Hidrometria'!$F$2:$F$600,B23,'Hidrometria'!$K$2:$K$600,"Contratada")+SUMIFS('Leitura'!$P$2:$P$600,'Leitura'!$F$2:$F$600,B23,'Leitura'!$K$2:$K$600,"Contratada")</x:f>
        <x:v>6</x:v>
      </x:c>
      <x:c r="F23" t="n">
        <x:f>SUMIFS('Cobrança RMR'!$P$2:$P$600,'Cobrança RMR'!$F$2:$F$600,B23,'Cobrança RMR'!$K$2:$K$600,"Em contratação")+SUMIFS('Hidrometria'!$P$2:$P$600,'Hidrometria'!$F$2:$F$600,B23,'Hidrometria'!$K$2:$K$600,"Em contratação")+SUMIFS('Leitura'!$P$2:$P$600,'Leitura'!$F$2:$F$600,B23,'Leitura'!$K$2:$K$600,"Em contratação")</x:f>
        <x:v>6</x:v>
      </x:c>
      <x:c r="G23" t="n">
        <x:f>SUMIFS('Cobrança RMR'!$P$2:$P$600,'Cobrança RMR'!$F$2:$F$600,B23,'Cobrança RMR'!$K$2:$K$600,"Em recrutamento")+SUMIFS('Hidrometria'!$P$2:$P$600,'Hidrometria'!$F$2:$F$600,B23,'Hidrometria'!$K$2:$K$600,"Em recrutamento")+SUMIFS('Leitura'!$P$2:$P$600,'Leitura'!$F$2:$F$600,B23,'Leitura'!$K$2:$K$600,"Em recrutamento")</x:f>
        <x:v>6</x:v>
      </x:c>
      <x:c r="H23" s="110" t="n">
        <x:f>IF(C23=0,0,D23/C23)</x:f>
        <x:v>0.25</x:v>
      </x:c>
    </x:row>
    <x:row r="24">
      <x:c r="B24" t="str">
        <x:v>Carpina</x:v>
      </x:c>
      <x:c r="C24" t="n">
        <x:f>SUMIFS('Cobrança Interior'!$P$2:$P$600,'Cobrança Interior'!$F$2:$F$600,B24)+SUMIFS('Hidrometria'!$P$2:$P$600,'Hidrometria'!$F$2:$F$600,B24)+SUMIFS('Leitura'!$P$2:$P$600,'Leitura'!$F$2:$F$600,B24)</x:f>
        <x:v>24</x:v>
      </x:c>
      <x:c r="D24" t="n">
        <x:f>SUMIFS('Cobrança Interior'!$P$2:$P$600,'Cobrança Interior'!$F$2:$F$600,B24,'Cobrança Interior'!$K$2:$K$600,"Mobilizada")+SUMIFS('Hidrometria'!$P$2:$P$600,'Hidrometria'!$F$2:$F$600,B24,'Hidrometria'!$K$2:$K$600,"Mobilizada")+SUMIFS('Leitura'!$P$2:$P$600,'Leitura'!$F$2:$F$600,B24,'Leitura'!$K$2:$K$600,"Mobilizada")</x:f>
        <x:v>6</x:v>
      </x:c>
      <x:c r="E24" t="n">
        <x:f>SUMIFS('Cobrança Interior'!$P$2:$P$600,'Cobrança Interior'!$F$2:$F$600,B24,'Cobrança Interior'!$K$2:$K$600,"Contratada")+SUMIFS('Hidrometria'!$P$2:$P$600,'Hidrometria'!$F$2:$F$600,B24,'Hidrometria'!$K$2:$K$600,"Contratada")+SUMIFS('Leitura'!$P$2:$P$600,'Leitura'!$F$2:$F$600,B24,'Leitura'!$K$2:$K$600,"Contratada")</x:f>
        <x:v>6</x:v>
      </x:c>
      <x:c r="F24" t="n">
        <x:f>SUMIFS('Cobrança Interior'!$P$2:$P$600,'Cobrança Interior'!$F$2:$F$600,B24,'Cobrança Interior'!$K$2:$K$600,"Em contratação")+SUMIFS('Hidrometria'!$P$2:$P$600,'Hidrometria'!$F$2:$F$600,B24,'Hidrometria'!$K$2:$K$600,"Em contratação")+SUMIFS('Leitura'!$P$2:$P$600,'Leitura'!$F$2:$F$600,B24,'Leitura'!$K$2:$K$600,"Em contratação")</x:f>
        <x:v>6</x:v>
      </x:c>
      <x:c r="G24" t="n">
        <x:f>SUMIFS('Cobrança Interior'!$P$2:$P$600,'Cobrança Interior'!$F$2:$F$600,B24,'Cobrança Interior'!$K$2:$K$600,"Em recrutamento")+SUMIFS('Hidrometria'!$P$2:$P$600,'Hidrometria'!$F$2:$F$600,B24,'Hidrometria'!$K$2:$K$600,"Em recrutamento")+SUMIFS('Leitura'!$P$2:$P$600,'Leitura'!$F$2:$F$600,B24,'Leitura'!$K$2:$K$600,"Em recrutamento")</x:f>
        <x:v>6</x:v>
      </x:c>
      <x:c r="H24" s="110" t="n">
        <x:f>IF(C24=0,0,D24/C24)</x:f>
        <x:v>0.25</x:v>
      </x:c>
    </x:row>
    <x:row r="25">
      <x:c r="B25" t="str">
        <x:v>Vitória de Santo Antão</x:v>
      </x:c>
      <x:c r="C25" t="n">
        <x:f>SUMIFS('Cobrança Interior'!$P$2:$P$600,'Cobrança Interior'!$F$2:$F$600,B25)+SUMIFS('Hidrometria'!$P$2:$P$600,'Hidrometria'!$F$2:$F$600,B25)+SUMIFS('Leitura'!$P$2:$P$600,'Leitura'!$F$2:$F$600,B25)</x:f>
        <x:v>24</x:v>
      </x:c>
      <x:c r="D25" t="n">
        <x:f>SUMIFS('Cobrança Interior'!$P$2:$P$600,'Cobrança Interior'!$F$2:$F$600,B25,'Cobrança Interior'!$K$2:$K$600,"Mobilizada")+SUMIFS('Hidrometria'!$P$2:$P$600,'Hidrometria'!$F$2:$F$600,B25,'Hidrometria'!$K$2:$K$600,"Mobilizada")+SUMIFS('Leitura'!$P$2:$P$600,'Leitura'!$F$2:$F$600,B25,'Leitura'!$K$2:$K$600,"Mobilizada")</x:f>
        <x:v>6</x:v>
      </x:c>
      <x:c r="E25" t="n">
        <x:f>SUMIFS('Cobrança Interior'!$P$2:$P$600,'Cobrança Interior'!$F$2:$F$600,B25,'Cobrança Interior'!$K$2:$K$600,"Contratada")+SUMIFS('Hidrometria'!$P$2:$P$600,'Hidrometria'!$F$2:$F$600,B25,'Hidrometria'!$K$2:$K$600,"Contratada")+SUMIFS('Leitura'!$P$2:$P$600,'Leitura'!$F$2:$F$600,B25,'Leitura'!$K$2:$K$600,"Contratada")</x:f>
        <x:v>6</x:v>
      </x:c>
      <x:c r="F25" t="n">
        <x:f>SUMIFS('Cobrança Interior'!$P$2:$P$600,'Cobrança Interior'!$F$2:$F$600,B25,'Cobrança Interior'!$K$2:$K$600,"Em contratação")+SUMIFS('Hidrometria'!$P$2:$P$600,'Hidrometria'!$F$2:$F$600,B25,'Hidrometria'!$K$2:$K$600,"Em contratação")+SUMIFS('Leitura'!$P$2:$P$600,'Leitura'!$F$2:$F$600,B25,'Leitura'!$K$2:$K$600,"Em contratação")</x:f>
        <x:v>6</x:v>
      </x:c>
      <x:c r="G25" t="n">
        <x:f>SUMIFS('Cobrança Interior'!$P$2:$P$600,'Cobrança Interior'!$F$2:$F$600,B25,'Cobrança Interior'!$K$2:$K$600,"Em recrutamento")+SUMIFS('Hidrometria'!$P$2:$P$600,'Hidrometria'!$F$2:$F$600,B25,'Hidrometria'!$K$2:$K$600,"Em recrutamento")+SUMIFS('Leitura'!$P$2:$P$600,'Leitura'!$F$2:$F$600,B25,'Leitura'!$K$2:$K$600,"Em recrutamento")</x:f>
        <x:v>6</x:v>
      </x:c>
      <x:c r="H25" s="110" t="n">
        <x:f>IF(C25=0,0,D25/C25)</x:f>
        <x:v>0.25</x:v>
      </x:c>
    </x:row>
    <x:row r="26">
      <x:c r="B26" t="str">
        <x:v>Gravatá</x:v>
      </x:c>
      <x:c r="C26" t="n">
        <x:f>SUMIFS('Cobrança Interior'!$P$2:$P$600,'Cobrança Interior'!$F$2:$F$600,B26)+SUMIFS('Hidrometria'!$P$2:$P$600,'Hidrometria'!$F$2:$F$600,B26)+SUMIFS('Leitura'!$P$2:$P$600,'Leitura'!$F$2:$F$600,B26)</x:f>
        <x:v>24</x:v>
      </x:c>
      <x:c r="D26" t="n">
        <x:f>SUMIFS('Cobrança Interior'!$P$2:$P$600,'Cobrança Interior'!$F$2:$F$600,B26,'Cobrança Interior'!$K$2:$K$600,"Mobilizada")+SUMIFS('Hidrometria'!$P$2:$P$600,'Hidrometria'!$F$2:$F$600,B26,'Hidrometria'!$K$2:$K$600,"Mobilizada")+SUMIFS('Leitura'!$P$2:$P$600,'Leitura'!$F$2:$F$600,B26,'Leitura'!$K$2:$K$600,"Mobilizada")</x:f>
        <x:v>6</x:v>
      </x:c>
      <x:c r="E26" t="n">
        <x:f>SUMIFS('Cobrança Interior'!$P$2:$P$600,'Cobrança Interior'!$F$2:$F$600,B26,'Cobrança Interior'!$K$2:$K$600,"Contratada")+SUMIFS('Hidrometria'!$P$2:$P$600,'Hidrometria'!$F$2:$F$600,B26,'Hidrometria'!$K$2:$K$600,"Contratada")+SUMIFS('Leitura'!$P$2:$P$600,'Leitura'!$F$2:$F$600,B26,'Leitura'!$K$2:$K$600,"Contratada")</x:f>
        <x:v>6</x:v>
      </x:c>
      <x:c r="F26" t="n">
        <x:f>SUMIFS('Cobrança Interior'!$P$2:$P$600,'Cobrança Interior'!$F$2:$F$600,B26,'Cobrança Interior'!$K$2:$K$600,"Em contratação")+SUMIFS('Hidrometria'!$P$2:$P$600,'Hidrometria'!$F$2:$F$600,B26,'Hidrometria'!$K$2:$K$600,"Em contratação")+SUMIFS('Leitura'!$P$2:$P$600,'Leitura'!$F$2:$F$600,B26,'Leitura'!$K$2:$K$600,"Em contratação")</x:f>
        <x:v>6</x:v>
      </x:c>
      <x:c r="G26" t="n">
        <x:f>SUMIFS('Cobrança Interior'!$P$2:$P$600,'Cobrança Interior'!$F$2:$F$600,B26,'Cobrança Interior'!$K$2:$K$600,"Em recrutamento")+SUMIFS('Hidrometria'!$P$2:$P$600,'Hidrometria'!$F$2:$F$600,B26,'Hidrometria'!$K$2:$K$600,"Em recrutamento")+SUMIFS('Leitura'!$P$2:$P$600,'Leitura'!$F$2:$F$600,B26,'Leitura'!$K$2:$K$600,"Em recrutamento")</x:f>
        <x:v>6</x:v>
      </x:c>
      <x:c r="H26" s="110" t="n">
        <x:f>IF(C26=0,0,D26/C26)</x:f>
        <x:v>0.25</x:v>
      </x:c>
    </x:row>
    <x:row r="27">
      <x:c r="B27" t="str">
        <x:v>Caruaru</x:v>
      </x:c>
      <x:c r="C27" t="n">
        <x:f>SUMIFS('Cobrança Interior'!$P$2:$P$600,'Cobrança Interior'!$F$2:$F$600,B27)+SUMIFS('Hidrometria'!$P$2:$P$600,'Hidrometria'!$F$2:$F$600,B27)+SUMIFS('Leitura'!$P$2:$P$600,'Leitura'!$F$2:$F$600,B27)</x:f>
        <x:v>24</x:v>
      </x:c>
      <x:c r="D27" t="n">
        <x:f>SUMIFS('Cobrança Interior'!$P$2:$P$600,'Cobrança Interior'!$F$2:$F$600,B27,'Cobrança Interior'!$K$2:$K$600,"Mobilizada")+SUMIFS('Hidrometria'!$P$2:$P$600,'Hidrometria'!$F$2:$F$600,B27,'Hidrometria'!$K$2:$K$600,"Mobilizada")+SUMIFS('Leitura'!$P$2:$P$600,'Leitura'!$F$2:$F$600,B27,'Leitura'!$K$2:$K$600,"Mobilizada")</x:f>
        <x:v>6</x:v>
      </x:c>
      <x:c r="E27" t="n">
        <x:f>SUMIFS('Cobrança Interior'!$P$2:$P$600,'Cobrança Interior'!$F$2:$F$600,B27,'Cobrança Interior'!$K$2:$K$600,"Contratada")+SUMIFS('Hidrometria'!$P$2:$P$600,'Hidrometria'!$F$2:$F$600,B27,'Hidrometria'!$K$2:$K$600,"Contratada")+SUMIFS('Leitura'!$P$2:$P$600,'Leitura'!$F$2:$F$600,B27,'Leitura'!$K$2:$K$600,"Contratada")</x:f>
        <x:v>6</x:v>
      </x:c>
      <x:c r="F27" t="n">
        <x:f>SUMIFS('Cobrança Interior'!$P$2:$P$600,'Cobrança Interior'!$F$2:$F$600,B27,'Cobrança Interior'!$K$2:$K$600,"Em contratação")+SUMIFS('Hidrometria'!$P$2:$P$600,'Hidrometria'!$F$2:$F$600,B27,'Hidrometria'!$K$2:$K$600,"Em contratação")+SUMIFS('Leitura'!$P$2:$P$600,'Leitura'!$F$2:$F$600,B27,'Leitura'!$K$2:$K$600,"Em contratação")</x:f>
        <x:v>6</x:v>
      </x:c>
      <x:c r="G27" t="n">
        <x:f>SUMIFS('Cobrança Interior'!$P$2:$P$600,'Cobrança Interior'!$F$2:$F$600,B27,'Cobrança Interior'!$K$2:$K$600,"Em recrutamento")+SUMIFS('Hidrometria'!$P$2:$P$600,'Hidrometria'!$F$2:$F$600,B27,'Hidrometria'!$K$2:$K$600,"Em recrutamento")+SUMIFS('Leitura'!$P$2:$P$600,'Leitura'!$F$2:$F$600,B27,'Leitura'!$K$2:$K$600,"Em recrutamento")</x:f>
        <x:v>6</x:v>
      </x:c>
      <x:c r="H27" s="110" t="n">
        <x:f>IF(C27=0,0,D27/C27)</x:f>
        <x:v>0.25</x:v>
      </x:c>
    </x:row>
    <x:row r="28">
      <x:c r="B28" t="str">
        <x:v>Garanhuns</x:v>
      </x:c>
      <x:c r="C28" t="n">
        <x:f>SUMIFS('Cobrança Interior'!$P$2:$P$600,'Cobrança Interior'!$F$2:$F$600,B28)+SUMIFS('Hidrometria'!$P$2:$P$600,'Hidrometria'!$F$2:$F$600,B28)+SUMIFS('Leitura'!$P$2:$P$600,'Leitura'!$F$2:$F$600,B28)</x:f>
        <x:v>24</x:v>
      </x:c>
      <x:c r="D28" t="n">
        <x:f>SUMIFS('Cobrança Interior'!$P$2:$P$600,'Cobrança Interior'!$F$2:$F$600,B28,'Cobrança Interior'!$K$2:$K$600,"Mobilizada")+SUMIFS('Hidrometria'!$P$2:$P$600,'Hidrometria'!$F$2:$F$600,B28,'Hidrometria'!$K$2:$K$600,"Mobilizada")+SUMIFS('Leitura'!$P$2:$P$600,'Leitura'!$F$2:$F$600,B28,'Leitura'!$K$2:$K$600,"Mobilizada")</x:f>
        <x:v>6</x:v>
      </x:c>
      <x:c r="E28" t="n">
        <x:f>SUMIFS('Cobrança Interior'!$P$2:$P$600,'Cobrança Interior'!$F$2:$F$600,B28,'Cobrança Interior'!$K$2:$K$600,"Contratada")+SUMIFS('Hidrometria'!$P$2:$P$600,'Hidrometria'!$F$2:$F$600,B28,'Hidrometria'!$K$2:$K$600,"Contratada")+SUMIFS('Leitura'!$P$2:$P$600,'Leitura'!$F$2:$F$600,B28,'Leitura'!$K$2:$K$600,"Contratada")</x:f>
        <x:v>6</x:v>
      </x:c>
      <x:c r="F28" t="n">
        <x:f>SUMIFS('Cobrança Interior'!$P$2:$P$600,'Cobrança Interior'!$F$2:$F$600,B28,'Cobrança Interior'!$K$2:$K$600,"Em contratação")+SUMIFS('Hidrometria'!$P$2:$P$600,'Hidrometria'!$F$2:$F$600,B28,'Hidrometria'!$K$2:$K$600,"Em contratação")+SUMIFS('Leitura'!$P$2:$P$600,'Leitura'!$F$2:$F$600,B28,'Leitura'!$K$2:$K$600,"Em contratação")</x:f>
        <x:v>6</x:v>
      </x:c>
      <x:c r="G28" t="n">
        <x:f>SUMIFS('Cobrança Interior'!$P$2:$P$600,'Cobrança Interior'!$F$2:$F$600,B28,'Cobrança Interior'!$K$2:$K$600,"Em recrutamento")+SUMIFS('Hidrometria'!$P$2:$P$600,'Hidrometria'!$F$2:$F$600,B28,'Hidrometria'!$K$2:$K$600,"Em recrutamento")+SUMIFS('Leitura'!$P$2:$P$600,'Leitura'!$F$2:$F$600,B28,'Leitura'!$K$2:$K$600,"Em recrutamento")</x:f>
        <x:v>6</x:v>
      </x:c>
      <x:c r="H28" s="110" t="n">
        <x:f>IF(C28=0,0,D28/C28)</x:f>
        <x:v>0.25</x:v>
      </x:c>
    </x:row>
    <x:row r="29">
      <x:c r="B29" t="str">
        <x:v>Arcoverde</x:v>
      </x:c>
      <x:c r="C29" t="n">
        <x:f>SUMIFS('Cobrança Interior'!$P$2:$P$600,'Cobrança Interior'!$F$2:$F$600,B29)+SUMIFS('Hidrometria'!$P$2:$P$600,'Hidrometria'!$F$2:$F$600,B29)+SUMIFS('Leitura'!$P$2:$P$600,'Leitura'!$F$2:$F$600,B29)</x:f>
        <x:v>24</x:v>
      </x:c>
      <x:c r="D29" t="n">
        <x:f>SUMIFS('Cobrança Interior'!$P$2:$P$600,'Cobrança Interior'!$F$2:$F$600,B29,'Cobrança Interior'!$K$2:$K$600,"Mobilizada")+SUMIFS('Hidrometria'!$P$2:$P$600,'Hidrometria'!$F$2:$F$600,B29,'Hidrometria'!$K$2:$K$600,"Mobilizada")+SUMIFS('Leitura'!$P$2:$P$600,'Leitura'!$F$2:$F$600,B29,'Leitura'!$K$2:$K$600,"Mobilizada")</x:f>
        <x:v>6</x:v>
      </x:c>
      <x:c r="E29" t="n">
        <x:f>SUMIFS('Cobrança Interior'!$P$2:$P$600,'Cobrança Interior'!$F$2:$F$600,B29,'Cobrança Interior'!$K$2:$K$600,"Contratada")+SUMIFS('Hidrometria'!$P$2:$P$600,'Hidrometria'!$F$2:$F$600,B29,'Hidrometria'!$K$2:$K$600,"Contratada")+SUMIFS('Leitura'!$P$2:$P$600,'Leitura'!$F$2:$F$600,B29,'Leitura'!$K$2:$K$600,"Contratada")</x:f>
        <x:v>6</x:v>
      </x:c>
      <x:c r="F29" t="n">
        <x:f>SUMIFS('Cobrança Interior'!$P$2:$P$600,'Cobrança Interior'!$F$2:$F$600,B29,'Cobrança Interior'!$K$2:$K$600,"Em contratação")+SUMIFS('Hidrometria'!$P$2:$P$600,'Hidrometria'!$F$2:$F$600,B29,'Hidrometria'!$K$2:$K$600,"Em contratação")+SUMIFS('Leitura'!$P$2:$P$600,'Leitura'!$F$2:$F$600,B29,'Leitura'!$K$2:$K$600,"Em contratação")</x:f>
        <x:v>6</x:v>
      </x:c>
      <x:c r="G29" t="n">
        <x:f>SUMIFS('Cobrança Interior'!$P$2:$P$600,'Cobrança Interior'!$F$2:$F$600,B29,'Cobrança Interior'!$K$2:$K$600,"Em recrutamento")+SUMIFS('Hidrometria'!$P$2:$P$600,'Hidrometria'!$F$2:$F$600,B29,'Hidrometria'!$K$2:$K$600,"Em recrutamento")+SUMIFS('Leitura'!$P$2:$P$600,'Leitura'!$F$2:$F$600,B29,'Leitura'!$K$2:$K$600,"Em recrutamento")</x:f>
        <x:v>6</x:v>
      </x:c>
      <x:c r="H29" s="110" t="n">
        <x:f>IF(C29=0,0,D29/C29)</x:f>
        <x:v>0.25</x:v>
      </x:c>
    </x:row>
    <x:row r="30">
      <x:c r="B30" t="str">
        <x:v>Afogados da Ingazeira</x:v>
      </x:c>
      <x:c r="C30" t="n">
        <x:f>SUMIFS('Cobrança Interior'!$P$2:$P$600,'Cobrança Interior'!$F$2:$F$600,B30)+SUMIFS('Hidrometria'!$P$2:$P$600,'Hidrometria'!$F$2:$F$600,B30)+SUMIFS('Leitura'!$P$2:$P$600,'Leitura'!$F$2:$F$600,B30)</x:f>
        <x:v>24</x:v>
      </x:c>
      <x:c r="D30" t="n">
        <x:f>SUMIFS('Cobrança Interior'!$P$2:$P$600,'Cobrança Interior'!$F$2:$F$600,B30,'Cobrança Interior'!$K$2:$K$600,"Mobilizada")+SUMIFS('Hidrometria'!$P$2:$P$600,'Hidrometria'!$F$2:$F$600,B30,'Hidrometria'!$K$2:$K$600,"Mobilizada")+SUMIFS('Leitura'!$P$2:$P$600,'Leitura'!$F$2:$F$600,B30,'Leitura'!$K$2:$K$600,"Mobilizada")</x:f>
        <x:v>6</x:v>
      </x:c>
      <x:c r="E30" t="n">
        <x:f>SUMIFS('Cobrança Interior'!$P$2:$P$600,'Cobrança Interior'!$F$2:$F$600,B30,'Cobrança Interior'!$K$2:$K$600,"Contratada")+SUMIFS('Hidrometria'!$P$2:$P$600,'Hidrometria'!$F$2:$F$600,B30,'Hidrometria'!$K$2:$K$600,"Contratada")+SUMIFS('Leitura'!$P$2:$P$600,'Leitura'!$F$2:$F$600,B30,'Leitura'!$K$2:$K$600,"Contratada")</x:f>
        <x:v>6</x:v>
      </x:c>
      <x:c r="F30" t="n">
        <x:f>SUMIFS('Cobrança Interior'!$P$2:$P$600,'Cobrança Interior'!$F$2:$F$600,B30,'Cobrança Interior'!$K$2:$K$600,"Em contratação")+SUMIFS('Hidrometria'!$P$2:$P$600,'Hidrometria'!$F$2:$F$600,B30,'Hidrometria'!$K$2:$K$600,"Em contratação")+SUMIFS('Leitura'!$P$2:$P$600,'Leitura'!$F$2:$F$600,B30,'Leitura'!$K$2:$K$600,"Em contratação")</x:f>
        <x:v>6</x:v>
      </x:c>
      <x:c r="G30" t="n">
        <x:f>SUMIFS('Cobrança Interior'!$P$2:$P$600,'Cobrança Interior'!$F$2:$F$600,B30,'Cobrança Interior'!$K$2:$K$600,"Em recrutamento")+SUMIFS('Hidrometria'!$P$2:$P$600,'Hidrometria'!$F$2:$F$600,B30,'Hidrometria'!$K$2:$K$600,"Em recrutamento")+SUMIFS('Leitura'!$P$2:$P$600,'Leitura'!$F$2:$F$600,B30,'Leitura'!$K$2:$K$600,"Em recrutamento")</x:f>
        <x:v>6</x:v>
      </x:c>
      <x:c r="H30" s="110" t="n">
        <x:f>IF(C30=0,0,D30/C30)</x:f>
        <x:v>0.25</x:v>
      </x:c>
    </x:row>
    <x:row r="31">
      <x:c r="B31" t="str">
        <x:v>Serra Talhada</x:v>
      </x:c>
      <x:c r="C31" t="n">
        <x:f>SUMIFS('Cobrança Interior'!$P$2:$P$600,'Cobrança Interior'!$F$2:$F$600,B31)+SUMIFS('Hidrometria'!$P$2:$P$600,'Hidrometria'!$F$2:$F$600,B31)+SUMIFS('Leitura'!$P$2:$P$600,'Leitura'!$F$2:$F$600,B31)</x:f>
        <x:v>24</x:v>
      </x:c>
      <x:c r="D31" t="n">
        <x:f>SUMIFS('Cobrança Interior'!$P$2:$P$600,'Cobrança Interior'!$F$2:$F$600,B31,'Cobrança Interior'!$K$2:$K$600,"Mobilizada")+SUMIFS('Hidrometria'!$P$2:$P$600,'Hidrometria'!$F$2:$F$600,B31,'Hidrometria'!$K$2:$K$600,"Mobilizada")+SUMIFS('Leitura'!$P$2:$P$600,'Leitura'!$F$2:$F$600,B31,'Leitura'!$K$2:$K$600,"Mobilizada")</x:f>
        <x:v>6</x:v>
      </x:c>
      <x:c r="E31" t="n">
        <x:f>SUMIFS('Cobrança Interior'!$P$2:$P$600,'Cobrança Interior'!$F$2:$F$600,B31,'Cobrança Interior'!$K$2:$K$600,"Contratada")+SUMIFS('Hidrometria'!$P$2:$P$600,'Hidrometria'!$F$2:$F$600,B31,'Hidrometria'!$K$2:$K$600,"Contratada")+SUMIFS('Leitura'!$P$2:$P$600,'Leitura'!$F$2:$F$600,B31,'Leitura'!$K$2:$K$600,"Contratada")</x:f>
        <x:v>6</x:v>
      </x:c>
      <x:c r="F31" t="n">
        <x:f>SUMIFS('Cobrança Interior'!$P$2:$P$600,'Cobrança Interior'!$F$2:$F$600,B31,'Cobrança Interior'!$K$2:$K$600,"Em contratação")+SUMIFS('Hidrometria'!$P$2:$P$600,'Hidrometria'!$F$2:$F$600,B31,'Hidrometria'!$K$2:$K$600,"Em contratação")+SUMIFS('Leitura'!$P$2:$P$600,'Leitura'!$F$2:$F$600,B31,'Leitura'!$K$2:$K$600,"Em contratação")</x:f>
        <x:v>6</x:v>
      </x:c>
      <x:c r="G31" t="n">
        <x:f>SUMIFS('Cobrança Interior'!$P$2:$P$600,'Cobrança Interior'!$F$2:$F$600,B31,'Cobrança Interior'!$K$2:$K$600,"Em recrutamento")+SUMIFS('Hidrometria'!$P$2:$P$600,'Hidrometria'!$F$2:$F$600,B31,'Hidrometria'!$K$2:$K$600,"Em recrutamento")+SUMIFS('Leitura'!$P$2:$P$600,'Leitura'!$F$2:$F$600,B31,'Leitura'!$K$2:$K$600,"Em recrutamento")</x:f>
        <x:v>6</x:v>
      </x:c>
      <x:c r="H31" s="110" t="n">
        <x:f>IF(C31=0,0,D31/C31)</x:f>
        <x:v>0.25</x:v>
      </x:c>
    </x:row>
    <x:row r="34">
      <x:c r="B34" s="114" t="str">
        <x:v>REGRA: cada linha representa um vínculo Agente/Equipe × Microrrota. O mesmo ID pode aparecer em várias linhas. As colunas O e P fazem a deduplicação automática para o painel.</x:v>
      </x:c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</x:row>
    <x:row r="35"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</x:row>
    <x:row r="36"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</x:row>
    <x:row r="37"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</x:row>
    <x:row r="39">
      <x:c r="B39" s="3" t="str">
        <x:v>VALIDAÇÃO DA MASSA FICTÍCIA</x:v>
      </x:c>
      <x:c r="C39" s="3" t="str">
        <x:v>Esperado</x:v>
      </x:c>
      <x:c r="D39" s="3" t="str">
        <x:v>Resultado atual</x:v>
      </x:c>
    </x:row>
    <x:row r="40">
      <x:c r="B40" t="str">
        <x:v>Mobilizadas</x:v>
      </x:c>
      <x:c r="C40" t="n">
        <x:v>54</x:v>
      </x:c>
      <x:c r="D40" t="n">
        <x:f>Q10</x:f>
        <x:v>54</x:v>
      </x:c>
    </x:row>
    <x:row r="41">
      <x:c r="B41" t="str">
        <x:v>Contratadas</x:v>
      </x:c>
      <x:c r="C41" t="n">
        <x:v>54</x:v>
      </x:c>
      <x:c r="D41" t="n">
        <x:f>R10</x:f>
        <x:v>54</x:v>
      </x:c>
    </x:row>
    <x:row r="42">
      <x:c r="B42" t="str">
        <x:v>Em contratação</x:v>
      </x:c>
      <x:c r="C42" t="n">
        <x:v>54</x:v>
      </x:c>
      <x:c r="D42" t="n">
        <x:f>S10</x:f>
        <x:v>54</x:v>
      </x:c>
    </x:row>
    <x:row r="43">
      <x:c r="B43" t="str">
        <x:v>Em recrutamento</x:v>
      </x:c>
      <x:c r="C43" t="n">
        <x:v>54</x:v>
      </x:c>
      <x:c r="D43" t="n">
        <x:f>T10</x:f>
        <x:v>54</x:v>
      </x:c>
    </x:row>
    <x:row r="44">
      <x:c r="B44" t="str">
        <x:v>Agentes únicos</x:v>
      </x:c>
      <x:c r="C44" t="n">
        <x:v>216</x:v>
      </x:c>
      <x:c r="D44" t="n">
        <x:f>X10</x:f>
        <x:v>216</x:v>
      </x:c>
    </x:row>
    <x:row r="45">
      <x:c r="B45" t="str">
        <x:v>Linhas / vínculos</x:v>
      </x:c>
      <x:c r="C45" t="n">
        <x:v>432</x:v>
      </x:c>
      <x:c r="D45" t="n">
        <x:f>Y10</x:f>
        <x:v>432</x:v>
      </x:c>
    </x:row>
  </x:sheetData>
  <x:mergeCells>
    <x:mergeCell ref="B2:M3"/>
    <x:mergeCell ref="B4:M4"/>
    <x:mergeCell ref="C6:E6"/>
    <x:mergeCell ref="I6:K6"/>
    <x:mergeCell ref="B9:D13"/>
    <x:mergeCell ref="E9:G13"/>
    <x:mergeCell ref="H9:J13"/>
    <x:mergeCell ref="K9:M13"/>
    <x:mergeCell ref="B15:D18"/>
    <x:mergeCell ref="E15:G18"/>
    <x:mergeCell ref="H15:J18"/>
    <x:mergeCell ref="K15:M18"/>
    <x:mergeCell ref="B20:M21"/>
    <x:mergeCell ref="B34:M37"/>
  </x:mergeCells>
  <x:dataValidations count="2">
    <x:dataValidation type="list" sqref="C6:E6">
      <x:formula1>LISTAS!$A$2:$A$6</x:formula1>
    </x:dataValidation>
    <x:dataValidation type="list" sqref="I6:K6">
      <x:formula1>LISTAS!$B$2:$B$11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2" hidden="0" customWidth="1"/>
    <x:col min="5" max="5" width="23" hidden="0" customWidth="1"/>
    <x:col min="6" max="6" width="24" hidden="0" customWidth="1"/>
    <x:col min="7" max="7" width="12" hidden="0" customWidth="1"/>
    <x:col min="8" max="8" width="27" hidden="0" customWidth="1"/>
    <x:col min="9" max="9" width="18" hidden="0" customWidth="1"/>
    <x:col min="10" max="10" width="34" hidden="0" customWidth="1"/>
    <x:col min="11" max="11" width="19" hidden="0" customWidth="1"/>
    <x:col min="12" max="12" width="18" hidden="0" customWidth="1"/>
    <x:col min="13" max="13" width="17" hidden="0" customWidth="1"/>
    <x:col min="14" max="14" width="42" hidden="0" customWidth="1"/>
    <x:col min="15" max="15" width="14" hidden="0" customWidth="1"/>
    <x:col min="16" max="16" width="14" hidden="0" customWidth="1"/>
  </x:cols>
  <x:sheetData>
    <x:row r="1">
      <x:c r="A1" s="9" t="str">
        <x:v>ID Único Equipe / Agente</x:v>
      </x:c>
      <x:c r="B1" s="9" t="str">
        <x:v>Nome da Equipe</x:v>
      </x:c>
      <x:c r="C1" s="9" t="str">
        <x:v>Nome do Colaborador Líder</x:v>
      </x:c>
      <x:c r="D1" s="9" t="str">
        <x:v>Base de Apoio Enorsul</x:v>
      </x:c>
      <x:c r="E1" s="9" t="str">
        <x:v>Município de Origem</x:v>
      </x:c>
      <x:c r="F1" s="9" t="str">
        <x:v>Polo</x:v>
      </x:c>
      <x:c r="G1" s="9" t="str">
        <x:v>Microrrota</x:v>
      </x:c>
      <x:c r="H1" s="9" t="str">
        <x:v>Município de Atendimento</x:v>
      </x:c>
      <x:c r="I1" s="9" t="str">
        <x:v>Tipo de Equipe</x:v>
      </x:c>
      <x:c r="J1" s="9" t="str">
        <x:v>Habilidades / Serviços Aptos</x:v>
      </x:c>
      <x:c r="K1" s="9" t="str">
        <x:v>Status da Equipe</x:v>
      </x:c>
      <x:c r="L1" s="9" t="str">
        <x:v>Frente Principal</x:v>
      </x:c>
      <x:c r="M1" s="9" t="str">
        <x:v>Veículo Disponível</x:v>
      </x:c>
      <x:c r="N1" s="9" t="str">
        <x:v>Observação</x:v>
      </x:c>
      <x:c r="O1" s="14" t="str">
        <x:v>Conta ID Frente</x:v>
      </x:c>
      <x:c r="P1" s="14" t="str">
        <x:v>Conta ID Polo</x:v>
      </x:c>
    </x:row>
    <x:row r="2">
      <x:c r="A2" s="18" t="str">
        <x:v>CRMR-01-01-01</x:v>
      </x:c>
      <x:c r="B2" t="str">
        <x:v>Equipe CRMR-001</x:v>
      </x:c>
      <x:c r="C2" t="str">
        <x:v>Daniel Gomes</x:v>
      </x:c>
      <x:c r="D2" t="str">
        <x:v>Base Recife/RMR</x:v>
      </x:c>
      <x:c r="E2" t="str">
        <x:v>Itapissuma</x:v>
      </x:c>
      <x:c r="F2" t="str">
        <x:v>Recife/RMR</x:v>
      </x:c>
      <x:c r="G2" t="str">
        <x:v>MR01</x:v>
      </x:c>
      <x:c r="H2" t="str">
        <x:v>Itapissuma</x:v>
      </x:c>
      <x:c r="I2" t="str">
        <x:v>Equipe Dupla</x:v>
      </x:c>
      <x:c r="J2" t="str">
        <x:v>Corte / Religação / Vistoria</x:v>
      </x:c>
      <x:c r="K2" t="str">
        <x:v>Em recrutamento</x:v>
      </x:c>
      <x:c r="L2" t="str">
        <x:v>Cobrança</x:v>
      </x:c>
      <x:c r="M2" t="str">
        <x:v>Sim</x:v>
      </x:c>
      <x:c r="N2" t="str">
        <x:v>DADO FICTÍCIO – teste do painel; ID repetido em outra microrrota</x:v>
      </x:c>
      <x:c r="O2" s="15" t="n">
        <x:f>IF(A2="","",--(COUNTIF($A$2:A2,A2)=1))</x:f>
        <x:v>1</x:v>
      </x:c>
      <x:c r="P2" s="15" t="n">
        <x:f>IF(A2="","",--(COUNTIFS($A$2:A2,A2,$F$2:F2,F2)=1))</x:f>
        <x:v>1</x:v>
      </x:c>
    </x:row>
    <x:row r="3">
      <x:c r="A3" s="18" t="str">
        <x:v>CRMR-01-01-01</x:v>
      </x:c>
      <x:c r="B3" t="str">
        <x:v>Equipe CRMR-001</x:v>
      </x:c>
      <x:c r="C3" t="str">
        <x:v>Daniel Gomes</x:v>
      </x:c>
      <x:c r="D3" t="str">
        <x:v>Base Recife/RMR</x:v>
      </x:c>
      <x:c r="E3" t="str">
        <x:v>Paulista</x:v>
      </x:c>
      <x:c r="F3" t="str">
        <x:v>Recife/RMR</x:v>
      </x:c>
      <x:c r="G3" t="str">
        <x:v>MR02</x:v>
      </x:c>
      <x:c r="H3" t="str">
        <x:v>Paulista</x:v>
      </x:c>
      <x:c r="I3" t="str">
        <x:v>Equipe Dupla</x:v>
      </x:c>
      <x:c r="J3" t="str">
        <x:v>Corte / Religação / Vistoria</x:v>
      </x:c>
      <x:c r="K3" t="str">
        <x:v>Em recrutamento</x:v>
      </x:c>
      <x:c r="L3" t="str">
        <x:v>Cobrança</x:v>
      </x:c>
      <x:c r="M3" t="str">
        <x:v>Sim</x:v>
      </x:c>
      <x:c r="N3" t="str">
        <x:v>DADO FICTÍCIO – teste do painel; ID repetido em outra microrrota</x:v>
      </x:c>
      <x:c r="O3" s="15" t="n">
        <x:f>IF(A3="","",--(COUNTIF($A$2:A3,A3)=1))</x:f>
        <x:v>0</x:v>
      </x:c>
      <x:c r="P3" s="15" t="n">
        <x:f>IF(A3="","",--(COUNTIFS($A$2:A3,A3,$F$2:F3,F3)=1))</x:f>
        <x:v>0</x:v>
      </x:c>
    </x:row>
    <x:row r="4">
      <x:c r="A4" s="18" t="str">
        <x:v>CRMR-01-01-02</x:v>
      </x:c>
      <x:c r="B4" t="str">
        <x:v>Equipe CRMR-002</x:v>
      </x:c>
      <x:c r="C4" t="str">
        <x:v>Gabriel Pereira</x:v>
      </x:c>
      <x:c r="D4" t="str">
        <x:v>Base Recife/RMR</x:v>
      </x:c>
      <x:c r="E4" t="str">
        <x:v>Paulista</x:v>
      </x:c>
      <x:c r="F4" t="str">
        <x:v>Recife/RMR</x:v>
      </x:c>
      <x:c r="G4" t="str">
        <x:v>MR02</x:v>
      </x:c>
      <x:c r="H4" t="str">
        <x:v>Paulista</x:v>
      </x:c>
      <x:c r="I4" t="str">
        <x:v>Equipe Simples</x:v>
      </x:c>
      <x:c r="J4" t="str">
        <x:v>Corte / Religação / Vistoria</x:v>
      </x:c>
      <x:c r="K4" t="str">
        <x:v>Em recrutamento</x:v>
      </x:c>
      <x:c r="L4" t="str">
        <x:v>Cobrança</x:v>
      </x:c>
      <x:c r="M4" t="str">
        <x:v>Não</x:v>
      </x:c>
      <x:c r="N4" t="str">
        <x:v>DADO FICTÍCIO – teste do painel; ID repetido em outra microrrota</x:v>
      </x:c>
      <x:c r="O4" s="15" t="n">
        <x:f>IF(A4="","",--(COUNTIF($A$2:A4,A4)=1))</x:f>
        <x:v>1</x:v>
      </x:c>
      <x:c r="P4" s="15" t="n">
        <x:f>IF(A4="","",--(COUNTIFS($A$2:A4,A4,$F$2:F4,F4)=1))</x:f>
        <x:v>1</x:v>
      </x:c>
    </x:row>
    <x:row r="5">
      <x:c r="A5" s="18" t="str">
        <x:v>CRMR-01-01-02</x:v>
      </x:c>
      <x:c r="B5" t="str">
        <x:v>Equipe CRMR-002</x:v>
      </x:c>
      <x:c r="C5" t="str">
        <x:v>Gabriel Pereira</x:v>
      </x:c>
      <x:c r="D5" t="str">
        <x:v>Base Recife/RMR</x:v>
      </x:c>
      <x:c r="E5" t="str">
        <x:v>Camaragibe</x:v>
      </x:c>
      <x:c r="F5" t="str">
        <x:v>Recife/RMR</x:v>
      </x:c>
      <x:c r="G5" t="str">
        <x:v>MR03</x:v>
      </x:c>
      <x:c r="H5" t="str">
        <x:v>Camaragibe</x:v>
      </x:c>
      <x:c r="I5" t="str">
        <x:v>Equipe Simples</x:v>
      </x:c>
      <x:c r="J5" t="str">
        <x:v>Corte / Religação / Vistoria</x:v>
      </x:c>
      <x:c r="K5" t="str">
        <x:v>Em recrutamento</x:v>
      </x:c>
      <x:c r="L5" t="str">
        <x:v>Cobrança</x:v>
      </x:c>
      <x:c r="M5" t="str">
        <x:v>Não</x:v>
      </x:c>
      <x:c r="N5" t="str">
        <x:v>DADO FICTÍCIO – teste do painel; ID repetido em outra microrrota</x:v>
      </x:c>
      <x:c r="O5" s="15" t="n">
        <x:f>IF(A5="","",--(COUNTIF($A$2:A5,A5)=1))</x:f>
        <x:v>0</x:v>
      </x:c>
      <x:c r="P5" s="15" t="n">
        <x:f>IF(A5="","",--(COUNTIFS($A$2:A5,A5,$F$2:F5,F5)=1))</x:f>
        <x:v>0</x:v>
      </x:c>
    </x:row>
    <x:row r="6">
      <x:c r="A6" s="18" t="str">
        <x:v>CRMR-01-02-01</x:v>
      </x:c>
      <x:c r="B6" t="str">
        <x:v>Equipe CRMR-003</x:v>
      </x:c>
      <x:c r="C6" t="str">
        <x:v>João Teixeira</x:v>
      </x:c>
      <x:c r="D6" t="str">
        <x:v>Base Recife/RMR</x:v>
      </x:c>
      <x:c r="E6" t="str">
        <x:v>Camaragibe</x:v>
      </x:c>
      <x:c r="F6" t="str">
        <x:v>Recife/RMR</x:v>
      </x:c>
      <x:c r="G6" t="str">
        <x:v>MR03</x:v>
      </x:c>
      <x:c r="H6" t="str">
        <x:v>Camaragibe</x:v>
      </x:c>
      <x:c r="I6" t="str">
        <x:v>Equipe Simples</x:v>
      </x:c>
      <x:c r="J6" t="str">
        <x:v>Corte / Religação / Vistoria</x:v>
      </x:c>
      <x:c r="K6" t="str">
        <x:v>Em contratação</x:v>
      </x:c>
      <x:c r="L6" t="str">
        <x:v>Cobrança</x:v>
      </x:c>
      <x:c r="M6" t="str">
        <x:v>Sim</x:v>
      </x:c>
      <x:c r="N6" t="str">
        <x:v>DADO FICTÍCIO – teste do painel; ID repetido em outra microrrota</x:v>
      </x:c>
      <x:c r="O6" s="15" t="n">
        <x:f>IF(A6="","",--(COUNTIF($A$2:A6,A6)=1))</x:f>
        <x:v>1</x:v>
      </x:c>
      <x:c r="P6" s="15" t="n">
        <x:f>IF(A6="","",--(COUNTIFS($A$2:A6,A6,$F$2:F6,F6)=1))</x:f>
        <x:v>1</x:v>
      </x:c>
    </x:row>
    <x:row r="7">
      <x:c r="A7" s="18" t="str">
        <x:v>CRMR-01-02-01</x:v>
      </x:c>
      <x:c r="B7" t="str">
        <x:v>Equipe CRMR-003</x:v>
      </x:c>
      <x:c r="C7" t="str">
        <x:v>João Teixeira</x:v>
      </x:c>
      <x:c r="D7" t="str">
        <x:v>Base Recife/RMR</x:v>
      </x:c>
      <x:c r="E7" t="str">
        <x:v>Cabo de Santo Agostinho</x:v>
      </x:c>
      <x:c r="F7" t="str">
        <x:v>Recife/RMR</x:v>
      </x:c>
      <x:c r="G7" t="str">
        <x:v>MR04</x:v>
      </x:c>
      <x:c r="H7" t="str">
        <x:v>Cabo de Santo Agostinho</x:v>
      </x:c>
      <x:c r="I7" t="str">
        <x:v>Equipe Simples</x:v>
      </x:c>
      <x:c r="J7" t="str">
        <x:v>Corte / Religação / Vistoria</x:v>
      </x:c>
      <x:c r="K7" t="str">
        <x:v>Em contratação</x:v>
      </x:c>
      <x:c r="L7" t="str">
        <x:v>Cobrança</x:v>
      </x:c>
      <x:c r="M7" t="str">
        <x:v>Sim</x:v>
      </x:c>
      <x:c r="N7" t="str">
        <x:v>DADO FICTÍCIO – teste do painel; ID repetido em outra microrrota</x:v>
      </x:c>
      <x:c r="O7" s="15" t="n">
        <x:f>IF(A7="","",--(COUNTIF($A$2:A7,A7)=1))</x:f>
        <x:v>0</x:v>
      </x:c>
      <x:c r="P7" s="15" t="n">
        <x:f>IF(A7="","",--(COUNTIFS($A$2:A7,A7,$F$2:F7,F7)=1))</x:f>
        <x:v>0</x:v>
      </x:c>
    </x:row>
    <x:row r="8">
      <x:c r="A8" s="18" t="str">
        <x:v>CRMR-01-02-02</x:v>
      </x:c>
      <x:c r="B8" t="str">
        <x:v>Equipe CRMR-004</x:v>
      </x:c>
      <x:c r="C8" t="str">
        <x:v>Paulo Almeida</x:v>
      </x:c>
      <x:c r="D8" t="str">
        <x:v>Base Recife/RMR</x:v>
      </x:c>
      <x:c r="E8" t="str">
        <x:v>Cabo de Santo Agostinho</x:v>
      </x:c>
      <x:c r="F8" t="str">
        <x:v>Recife/RMR</x:v>
      </x:c>
      <x:c r="G8" t="str">
        <x:v>MR04</x:v>
      </x:c>
      <x:c r="H8" t="str">
        <x:v>Cabo de Santo Agostinho</x:v>
      </x:c>
      <x:c r="I8" t="str">
        <x:v>Equipe Dupla</x:v>
      </x:c>
      <x:c r="J8" t="str">
        <x:v>Corte / Religação / Vistoria</x:v>
      </x:c>
      <x:c r="K8" t="str">
        <x:v>Em contratação</x:v>
      </x:c>
      <x:c r="L8" t="str">
        <x:v>Cobrança</x:v>
      </x:c>
      <x:c r="M8" t="str">
        <x:v>Não</x:v>
      </x:c>
      <x:c r="N8" t="str">
        <x:v>DADO FICTÍCIO – teste do painel; ID repetido em outra microrrota</x:v>
      </x:c>
      <x:c r="O8" s="15" t="n">
        <x:f>IF(A8="","",--(COUNTIF($A$2:A8,A8)=1))</x:f>
        <x:v>1</x:v>
      </x:c>
      <x:c r="P8" s="15" t="n">
        <x:f>IF(A8="","",--(COUNTIFS($A$2:A8,A8,$F$2:F8,F8)=1))</x:f>
        <x:v>1</x:v>
      </x:c>
    </x:row>
    <x:row r="9">
      <x:c r="A9" s="18" t="str">
        <x:v>CRMR-01-02-02</x:v>
      </x:c>
      <x:c r="B9" t="str">
        <x:v>Equipe CRMR-004</x:v>
      </x:c>
      <x:c r="C9" t="str">
        <x:v>Paulo Almeida</x:v>
      </x:c>
      <x:c r="D9" t="str">
        <x:v>Base Recife/RMR</x:v>
      </x:c>
      <x:c r="E9" t="str">
        <x:v>Itapissuma</x:v>
      </x:c>
      <x:c r="F9" t="str">
        <x:v>Recife/RMR</x:v>
      </x:c>
      <x:c r="G9" t="str">
        <x:v>MR01</x:v>
      </x:c>
      <x:c r="H9" t="str">
        <x:v>Itapissuma</x:v>
      </x:c>
      <x:c r="I9" t="str">
        <x:v>Equipe Dupla</x:v>
      </x:c>
      <x:c r="J9" t="str">
        <x:v>Corte / Religação / Vistoria</x:v>
      </x:c>
      <x:c r="K9" t="str">
        <x:v>Em contratação</x:v>
      </x:c>
      <x:c r="L9" t="str">
        <x:v>Cobrança</x:v>
      </x:c>
      <x:c r="M9" t="str">
        <x:v>Não</x:v>
      </x:c>
      <x:c r="N9" t="str">
        <x:v>DADO FICTÍCIO – teste do painel; ID repetido em outra microrrota</x:v>
      </x:c>
      <x:c r="O9" s="15" t="n">
        <x:f>IF(A9="","",--(COUNTIF($A$2:A9,A9)=1))</x:f>
        <x:v>0</x:v>
      </x:c>
      <x:c r="P9" s="15" t="n">
        <x:f>IF(A9="","",--(COUNTIFS($A$2:A9,A9,$F$2:F9,F9)=1))</x:f>
        <x:v>0</x:v>
      </x:c>
    </x:row>
    <x:row r="10">
      <x:c r="A10" s="18" t="str">
        <x:v>CRMR-01-03-01</x:v>
      </x:c>
      <x:c r="B10" t="str">
        <x:v>Equipe CRMR-005</x:v>
      </x:c>
      <x:c r="C10" t="str">
        <x:v>Thiago Gomes</x:v>
      </x:c>
      <x:c r="D10" t="str">
        <x:v>Base Recife/RMR</x:v>
      </x:c>
      <x:c r="E10" t="str">
        <x:v>Itapissuma</x:v>
      </x:c>
      <x:c r="F10" t="str">
        <x:v>Recife/RMR</x:v>
      </x:c>
      <x:c r="G10" t="str">
        <x:v>MR01</x:v>
      </x:c>
      <x:c r="H10" t="str">
        <x:v>Itapissuma</x:v>
      </x:c>
      <x:c r="I10" t="str">
        <x:v>Equipe Dupla</x:v>
      </x:c>
      <x:c r="J10" t="str">
        <x:v>Corte / Religação / Vistoria</x:v>
      </x:c>
      <x:c r="K10" t="str">
        <x:v>Contratada</x:v>
      </x:c>
      <x:c r="L10" t="str">
        <x:v>Cobrança</x:v>
      </x:c>
      <x:c r="M10" t="str">
        <x:v>Sim</x:v>
      </x:c>
      <x:c r="N10" t="str">
        <x:v>DADO FICTÍCIO – teste do painel; ID repetido em outra microrrota</x:v>
      </x:c>
      <x:c r="O10" s="15" t="n">
        <x:f>IF(A10="","",--(COUNTIF($A$2:A10,A10)=1))</x:f>
        <x:v>1</x:v>
      </x:c>
      <x:c r="P10" s="15" t="n">
        <x:f>IF(A10="","",--(COUNTIFS($A$2:A10,A10,$F$2:F10,F10)=1))</x:f>
        <x:v>1</x:v>
      </x:c>
    </x:row>
    <x:row r="11">
      <x:c r="A11" s="18" t="str">
        <x:v>CRMR-01-03-01</x:v>
      </x:c>
      <x:c r="B11" t="str">
        <x:v>Equipe CRMR-005</x:v>
      </x:c>
      <x:c r="C11" t="str">
        <x:v>Thiago Gomes</x:v>
      </x:c>
      <x:c r="D11" t="str">
        <x:v>Base Recife/RMR</x:v>
      </x:c>
      <x:c r="E11" t="str">
        <x:v>Paulista</x:v>
      </x:c>
      <x:c r="F11" t="str">
        <x:v>Recife/RMR</x:v>
      </x:c>
      <x:c r="G11" t="str">
        <x:v>MR02</x:v>
      </x:c>
      <x:c r="H11" t="str">
        <x:v>Paulista</x:v>
      </x:c>
      <x:c r="I11" t="str">
        <x:v>Equipe Dupla</x:v>
      </x:c>
      <x:c r="J11" t="str">
        <x:v>Corte / Religação / Vistoria</x:v>
      </x:c>
      <x:c r="K11" t="str">
        <x:v>Contratada</x:v>
      </x:c>
      <x:c r="L11" t="str">
        <x:v>Cobrança</x:v>
      </x:c>
      <x:c r="M11" t="str">
        <x:v>Sim</x:v>
      </x:c>
      <x:c r="N11" t="str">
        <x:v>DADO FICTÍCIO – teste do painel; ID repetido em outra microrrota</x:v>
      </x:c>
      <x:c r="O11" s="15" t="n">
        <x:f>IF(A11="","",--(COUNTIF($A$2:A11,A11)=1))</x:f>
        <x:v>0</x:v>
      </x:c>
      <x:c r="P11" s="15" t="n">
        <x:f>IF(A11="","",--(COUNTIFS($A$2:A11,A11,$F$2:F11,F11)=1))</x:f>
        <x:v>0</x:v>
      </x:c>
    </x:row>
    <x:row r="12">
      <x:c r="A12" s="18" t="str">
        <x:v>CRMR-01-03-02</x:v>
      </x:c>
      <x:c r="B12" t="str">
        <x:v>Equipe CRMR-006</x:v>
      </x:c>
      <x:c r="C12" t="str">
        <x:v>Alex Pereira</x:v>
      </x:c>
      <x:c r="D12" t="str">
        <x:v>Base Recife/RMR</x:v>
      </x:c>
      <x:c r="E12" t="str">
        <x:v>Paulista</x:v>
      </x:c>
      <x:c r="F12" t="str">
        <x:v>Recife/RMR</x:v>
      </x:c>
      <x:c r="G12" t="str">
        <x:v>MR02</x:v>
      </x:c>
      <x:c r="H12" t="str">
        <x:v>Paulista</x:v>
      </x:c>
      <x:c r="I12" t="str">
        <x:v>Equipe Simples</x:v>
      </x:c>
      <x:c r="J12" t="str">
        <x:v>Corte / Religação / Vistoria</x:v>
      </x:c>
      <x:c r="K12" t="str">
        <x:v>Contratada</x:v>
      </x:c>
      <x:c r="L12" t="str">
        <x:v>Cobrança</x:v>
      </x:c>
      <x:c r="M12" t="str">
        <x:v>Sim</x:v>
      </x:c>
      <x:c r="N12" t="str">
        <x:v>DADO FICTÍCIO – teste do painel; ID repetido em outra microrrota</x:v>
      </x:c>
      <x:c r="O12" s="15" t="n">
        <x:f>IF(A12="","",--(COUNTIF($A$2:A12,A12)=1))</x:f>
        <x:v>1</x:v>
      </x:c>
      <x:c r="P12" s="15" t="n">
        <x:f>IF(A12="","",--(COUNTIFS($A$2:A12,A12,$F$2:F12,F12)=1))</x:f>
        <x:v>1</x:v>
      </x:c>
    </x:row>
    <x:row r="13">
      <x:c r="A13" s="18" t="str">
        <x:v>CRMR-01-03-02</x:v>
      </x:c>
      <x:c r="B13" t="str">
        <x:v>Equipe CRMR-006</x:v>
      </x:c>
      <x:c r="C13" t="str">
        <x:v>Alex Pereira</x:v>
      </x:c>
      <x:c r="D13" t="str">
        <x:v>Base Recife/RMR</x:v>
      </x:c>
      <x:c r="E13" t="str">
        <x:v>Camaragibe</x:v>
      </x:c>
      <x:c r="F13" t="str">
        <x:v>Recife/RMR</x:v>
      </x:c>
      <x:c r="G13" t="str">
        <x:v>MR03</x:v>
      </x:c>
      <x:c r="H13" t="str">
        <x:v>Camaragibe</x:v>
      </x:c>
      <x:c r="I13" t="str">
        <x:v>Equipe Simples</x:v>
      </x:c>
      <x:c r="J13" t="str">
        <x:v>Corte / Religação / Vistoria</x:v>
      </x:c>
      <x:c r="K13" t="str">
        <x:v>Contratada</x:v>
      </x:c>
      <x:c r="L13" t="str">
        <x:v>Cobrança</x:v>
      </x:c>
      <x:c r="M13" t="str">
        <x:v>Sim</x:v>
      </x:c>
      <x:c r="N13" t="str">
        <x:v>DADO FICTÍCIO – teste do painel; ID repetido em outra microrrota</x:v>
      </x:c>
      <x:c r="O13" s="15" t="n">
        <x:f>IF(A13="","",--(COUNTIF($A$2:A13,A13)=1))</x:f>
        <x:v>0</x:v>
      </x:c>
      <x:c r="P13" s="15" t="n">
        <x:f>IF(A13="","",--(COUNTIFS($A$2:A13,A13,$F$2:F13,F13)=1))</x:f>
        <x:v>0</x:v>
      </x:c>
    </x:row>
    <x:row r="14">
      <x:c r="A14" s="18" t="str">
        <x:v>CRMR-01-04-01</x:v>
      </x:c>
      <x:c r="B14" t="str">
        <x:v>Equipe CRMR-007</x:v>
      </x:c>
      <x:c r="C14" t="str">
        <x:v>Bruno Teixeira</x:v>
      </x:c>
      <x:c r="D14" t="str">
        <x:v>Base Recife/RMR</x:v>
      </x:c>
      <x:c r="E14" t="str">
        <x:v>Camaragibe</x:v>
      </x:c>
      <x:c r="F14" t="str">
        <x:v>Recife/RMR</x:v>
      </x:c>
      <x:c r="G14" t="str">
        <x:v>MR03</x:v>
      </x:c>
      <x:c r="H14" t="str">
        <x:v>Camaragibe</x:v>
      </x:c>
      <x:c r="I14" t="str">
        <x:v>Equipe Simples</x:v>
      </x:c>
      <x:c r="J14" t="str">
        <x:v>Corte / Religação / Vistoria</x:v>
      </x:c>
      <x:c r="K14" t="str">
        <x:v>Mobilizada</x:v>
      </x:c>
      <x:c r="L14" t="str">
        <x:v>Cobrança</x:v>
      </x:c>
      <x:c r="M14" t="str">
        <x:v>Sim</x:v>
      </x:c>
      <x:c r="N14" t="str">
        <x:v>DADO FICTÍCIO – teste do painel; ID repetido em outra microrrota</x:v>
      </x:c>
      <x:c r="O14" s="15" t="n">
        <x:f>IF(A14="","",--(COUNTIF($A$2:A14,A14)=1))</x:f>
        <x:v>1</x:v>
      </x:c>
      <x:c r="P14" s="15" t="n">
        <x:f>IF(A14="","",--(COUNTIFS($A$2:A14,A14,$F$2:F14,F14)=1))</x:f>
        <x:v>1</x:v>
      </x:c>
    </x:row>
    <x:row r="15">
      <x:c r="A15" s="18" t="str">
        <x:v>CRMR-01-04-01</x:v>
      </x:c>
      <x:c r="B15" t="str">
        <x:v>Equipe CRMR-007</x:v>
      </x:c>
      <x:c r="C15" t="str">
        <x:v>Bruno Teixeira</x:v>
      </x:c>
      <x:c r="D15" t="str">
        <x:v>Base Recife/RMR</x:v>
      </x:c>
      <x:c r="E15" t="str">
        <x:v>Cabo de Santo Agostinho</x:v>
      </x:c>
      <x:c r="F15" t="str">
        <x:v>Recife/RMR</x:v>
      </x:c>
      <x:c r="G15" t="str">
        <x:v>MR04</x:v>
      </x:c>
      <x:c r="H15" t="str">
        <x:v>Cabo de Santo Agostinho</x:v>
      </x:c>
      <x:c r="I15" t="str">
        <x:v>Equipe Simples</x:v>
      </x:c>
      <x:c r="J15" t="str">
        <x:v>Corte / Religação / Vistoria</x:v>
      </x:c>
      <x:c r="K15" t="str">
        <x:v>Mobilizada</x:v>
      </x:c>
      <x:c r="L15" t="str">
        <x:v>Cobrança</x:v>
      </x:c>
      <x:c r="M15" t="str">
        <x:v>Sim</x:v>
      </x:c>
      <x:c r="N15" t="str">
        <x:v>DADO FICTÍCIO – teste do painel; ID repetido em outra microrrota</x:v>
      </x:c>
      <x:c r="O15" s="15" t="n">
        <x:f>IF(A15="","",--(COUNTIF($A$2:A15,A15)=1))</x:f>
        <x:v>0</x:v>
      </x:c>
      <x:c r="P15" s="15" t="n">
        <x:f>IF(A15="","",--(COUNTIFS($A$2:A15,A15,$F$2:F15,F15)=1))</x:f>
        <x:v>0</x:v>
      </x:c>
    </x:row>
    <x:row r="16">
      <x:c r="A16" s="18" t="str">
        <x:v>CRMR-01-04-02</x:v>
      </x:c>
      <x:c r="B16" t="str">
        <x:v>Equipe CRMR-008</x:v>
      </x:c>
      <x:c r="C16" t="str">
        <x:v>Eduardo Almeida</x:v>
      </x:c>
      <x:c r="D16" t="str">
        <x:v>Base Recife/RMR</x:v>
      </x:c>
      <x:c r="E16" t="str">
        <x:v>Cabo de Santo Agostinho</x:v>
      </x:c>
      <x:c r="F16" t="str">
        <x:v>Recife/RMR</x:v>
      </x:c>
      <x:c r="G16" t="str">
        <x:v>MR04</x:v>
      </x:c>
      <x:c r="H16" t="str">
        <x:v>Cabo de Santo Agostinho</x:v>
      </x:c>
      <x:c r="I16" t="str">
        <x:v>Equipe Dupla</x:v>
      </x:c>
      <x:c r="J16" t="str">
        <x:v>Corte / Religação / Vistoria</x:v>
      </x:c>
      <x:c r="K16" t="str">
        <x:v>Mobilizada</x:v>
      </x:c>
      <x:c r="L16" t="str">
        <x:v>Cobrança</x:v>
      </x:c>
      <x:c r="M16" t="str">
        <x:v>Sim</x:v>
      </x:c>
      <x:c r="N16" t="str">
        <x:v>DADO FICTÍCIO – teste do painel; ID repetido em outra microrrota</x:v>
      </x:c>
      <x:c r="O16" s="15" t="n">
        <x:f>IF(A16="","",--(COUNTIF($A$2:A16,A16)=1))</x:f>
        <x:v>1</x:v>
      </x:c>
      <x:c r="P16" s="15" t="n">
        <x:f>IF(A16="","",--(COUNTIFS($A$2:A16,A16,$F$2:F16,F16)=1))</x:f>
        <x:v>1</x:v>
      </x:c>
    </x:row>
    <x:row r="17">
      <x:c r="A17" s="18" t="str">
        <x:v>CRMR-01-04-02</x:v>
      </x:c>
      <x:c r="B17" t="str">
        <x:v>Equipe CRMR-008</x:v>
      </x:c>
      <x:c r="C17" t="str">
        <x:v>Eduardo Almeida</x:v>
      </x:c>
      <x:c r="D17" t="str">
        <x:v>Base Recife/RMR</x:v>
      </x:c>
      <x:c r="E17" t="str">
        <x:v>Itapissuma</x:v>
      </x:c>
      <x:c r="F17" t="str">
        <x:v>Recife/RMR</x:v>
      </x:c>
      <x:c r="G17" t="str">
        <x:v>MR01</x:v>
      </x:c>
      <x:c r="H17" t="str">
        <x:v>Itapissuma</x:v>
      </x:c>
      <x:c r="I17" t="str">
        <x:v>Equipe Dupla</x:v>
      </x:c>
      <x:c r="J17" t="str">
        <x:v>Corte / Religação / Vistoria</x:v>
      </x:c>
      <x:c r="K17" t="str">
        <x:v>Mobilizada</x:v>
      </x:c>
      <x:c r="L17" t="str">
        <x:v>Cobrança</x:v>
      </x:c>
      <x:c r="M17" t="str">
        <x:v>Sim</x:v>
      </x:c>
      <x:c r="N17" t="str">
        <x:v>DADO FICTÍCIO – teste do painel; ID repetido em outra microrrota</x:v>
      </x:c>
      <x:c r="O17" s="15" t="n">
        <x:f>IF(A17="","",--(COUNTIF($A$2:A17,A17)=1))</x:f>
        <x:v>0</x:v>
      </x:c>
      <x:c r="P17" s="15" t="n">
        <x:f>IF(A17="","",--(COUNTIFS($A$2:A17,A17,$F$2:F17,F17)=1))</x:f>
        <x:v>0</x:v>
      </x:c>
    </x:row>
    <x:row r="18">
      <x:c r="A18" s="18"/>
      <x:c r="O18" s="15" t="str">
        <x:f>IF(A18="","",--(COUNTIF($A$2:A18,A18)=1))</x:f>
      </x:c>
      <x:c r="P18" s="15" t="str">
        <x:f>IF(A18="","",--(COUNTIFS($A$2:A18,A18,$F$2:F18,F18)=1))</x:f>
      </x:c>
    </x:row>
    <x:row r="19">
      <x:c r="A19" s="18"/>
      <x:c r="O19" s="15" t="str">
        <x:f>IF(A19="","",--(COUNTIF($A$2:A19,A19)=1))</x:f>
      </x:c>
      <x:c r="P19" s="15" t="str">
        <x:f>IF(A19="","",--(COUNTIFS($A$2:A19,A19,$F$2:F19,F19)=1))</x:f>
      </x:c>
    </x:row>
    <x:row r="20">
      <x:c r="A20" s="18"/>
      <x:c r="O20" s="15" t="str">
        <x:f>IF(A20="","",--(COUNTIF($A$2:A20,A20)=1))</x:f>
      </x:c>
      <x:c r="P20" s="15" t="str">
        <x:f>IF(A20="","",--(COUNTIFS($A$2:A20,A20,$F$2:F20,F20)=1))</x:f>
      </x:c>
    </x:row>
    <x:row r="21">
      <x:c r="A21" s="18"/>
      <x:c r="O21" s="15" t="str">
        <x:f>IF(A21="","",--(COUNTIF($A$2:A21,A21)=1))</x:f>
      </x:c>
      <x:c r="P21" s="15" t="str">
        <x:f>IF(A21="","",--(COUNTIFS($A$2:A21,A21,$F$2:F21,F21)=1))</x:f>
      </x:c>
    </x:row>
    <x:row r="22">
      <x:c r="A22" s="18"/>
      <x:c r="O22" s="15" t="str">
        <x:f>IF(A22="","",--(COUNTIF($A$2:A22,A22)=1))</x:f>
      </x:c>
      <x:c r="P22" s="15" t="str">
        <x:f>IF(A22="","",--(COUNTIFS($A$2:A22,A22,$F$2:F22,F22)=1))</x:f>
      </x:c>
    </x:row>
    <x:row r="23">
      <x:c r="A23" s="18"/>
      <x:c r="O23" s="15" t="str">
        <x:f>IF(A23="","",--(COUNTIF($A$2:A23,A23)=1))</x:f>
      </x:c>
      <x:c r="P23" s="15" t="str">
        <x:f>IF(A23="","",--(COUNTIFS($A$2:A23,A23,$F$2:F23,F23)=1))</x:f>
      </x:c>
    </x:row>
    <x:row r="24">
      <x:c r="A24" s="18"/>
      <x:c r="O24" s="15" t="str">
        <x:f>IF(A24="","",--(COUNTIF($A$2:A24,A24)=1))</x:f>
      </x:c>
      <x:c r="P24" s="15" t="str">
        <x:f>IF(A24="","",--(COUNTIFS($A$2:A24,A24,$F$2:F24,F24)=1))</x:f>
      </x:c>
    </x:row>
    <x:row r="25">
      <x:c r="A25" s="18"/>
      <x:c r="O25" s="15" t="str">
        <x:f>IF(A25="","",--(COUNTIF($A$2:A25,A25)=1))</x:f>
      </x:c>
      <x:c r="P25" s="15" t="str">
        <x:f>IF(A25="","",--(COUNTIFS($A$2:A25,A25,$F$2:F25,F25)=1))</x:f>
      </x:c>
    </x:row>
    <x:row r="26">
      <x:c r="A26" s="18"/>
      <x:c r="O26" s="15" t="str">
        <x:f>IF(A26="","",--(COUNTIF($A$2:A26,A26)=1))</x:f>
      </x:c>
      <x:c r="P26" s="15" t="str">
        <x:f>IF(A26="","",--(COUNTIFS($A$2:A26,A26,$F$2:F26,F26)=1))</x:f>
      </x:c>
    </x:row>
    <x:row r="27">
      <x:c r="A27" s="18"/>
      <x:c r="O27" s="15" t="str">
        <x:f>IF(A27="","",--(COUNTIF($A$2:A27,A27)=1))</x:f>
      </x:c>
      <x:c r="P27" s="15" t="str">
        <x:f>IF(A27="","",--(COUNTIFS($A$2:A27,A27,$F$2:F27,F27)=1))</x:f>
      </x:c>
    </x:row>
    <x:row r="28">
      <x:c r="A28" s="18"/>
      <x:c r="O28" s="15" t="str">
        <x:f>IF(A28="","",--(COUNTIF($A$2:A28,A28)=1))</x:f>
      </x:c>
      <x:c r="P28" s="15" t="str">
        <x:f>IF(A28="","",--(COUNTIFS($A$2:A28,A28,$F$2:F28,F28)=1))</x:f>
      </x:c>
    </x:row>
    <x:row r="29">
      <x:c r="A29" s="18"/>
      <x:c r="O29" s="15" t="str">
        <x:f>IF(A29="","",--(COUNTIF($A$2:A29,A29)=1))</x:f>
      </x:c>
      <x:c r="P29" s="15" t="str">
        <x:f>IF(A29="","",--(COUNTIFS($A$2:A29,A29,$F$2:F29,F29)=1))</x:f>
      </x:c>
    </x:row>
    <x:row r="30">
      <x:c r="A30" s="18"/>
      <x:c r="O30" s="15" t="str">
        <x:f>IF(A30="","",--(COUNTIF($A$2:A30,A30)=1))</x:f>
      </x:c>
      <x:c r="P30" s="15" t="str">
        <x:f>IF(A30="","",--(COUNTIFS($A$2:A30,A30,$F$2:F30,F30)=1))</x:f>
      </x:c>
    </x:row>
    <x:row r="31">
      <x:c r="A31" s="18"/>
      <x:c r="O31" s="15" t="str">
        <x:f>IF(A31="","",--(COUNTIF($A$2:A31,A31)=1))</x:f>
      </x:c>
      <x:c r="P31" s="15" t="str">
        <x:f>IF(A31="","",--(COUNTIFS($A$2:A31,A31,$F$2:F31,F31)=1))</x:f>
      </x:c>
    </x:row>
    <x:row r="32">
      <x:c r="A32" s="18"/>
      <x:c r="O32" s="15" t="str">
        <x:f>IF(A32="","",--(COUNTIF($A$2:A32,A32)=1))</x:f>
      </x:c>
      <x:c r="P32" s="15" t="str">
        <x:f>IF(A32="","",--(COUNTIFS($A$2:A32,A32,$F$2:F32,F32)=1))</x:f>
      </x:c>
    </x:row>
    <x:row r="33">
      <x:c r="A33" s="18"/>
      <x:c r="O33" s="15" t="str">
        <x:f>IF(A33="","",--(COUNTIF($A$2:A33,A33)=1))</x:f>
      </x:c>
      <x:c r="P33" s="15" t="str">
        <x:f>IF(A33="","",--(COUNTIFS($A$2:A33,A33,$F$2:F33,F33)=1))</x:f>
      </x:c>
    </x:row>
    <x:row r="34">
      <x:c r="A34" s="18"/>
      <x:c r="O34" s="15" t="str">
        <x:f>IF(A34="","",--(COUNTIF($A$2:A34,A34)=1))</x:f>
      </x:c>
      <x:c r="P34" s="15" t="str">
        <x:f>IF(A34="","",--(COUNTIFS($A$2:A34,A34,$F$2:F34,F34)=1))</x:f>
      </x:c>
    </x:row>
    <x:row r="35">
      <x:c r="A35" s="18"/>
      <x:c r="O35" s="15" t="str">
        <x:f>IF(A35="","",--(COUNTIF($A$2:A35,A35)=1))</x:f>
      </x:c>
      <x:c r="P35" s="15" t="str">
        <x:f>IF(A35="","",--(COUNTIFS($A$2:A35,A35,$F$2:F35,F35)=1))</x:f>
      </x:c>
    </x:row>
    <x:row r="36">
      <x:c r="A36" s="18"/>
      <x:c r="O36" s="15" t="str">
        <x:f>IF(A36="","",--(COUNTIF($A$2:A36,A36)=1))</x:f>
      </x:c>
      <x:c r="P36" s="15" t="str">
        <x:f>IF(A36="","",--(COUNTIFS($A$2:A36,A36,$F$2:F36,F36)=1))</x:f>
      </x:c>
    </x:row>
    <x:row r="37">
      <x:c r="A37" s="18"/>
      <x:c r="O37" s="15" t="str">
        <x:f>IF(A37="","",--(COUNTIF($A$2:A37,A37)=1))</x:f>
      </x:c>
      <x:c r="P37" s="15" t="str">
        <x:f>IF(A37="","",--(COUNTIFS($A$2:A37,A37,$F$2:F37,F37)=1))</x:f>
      </x:c>
    </x:row>
    <x:row r="38">
      <x:c r="A38" s="18"/>
      <x:c r="O38" s="15" t="str">
        <x:f>IF(A38="","",--(COUNTIF($A$2:A38,A38)=1))</x:f>
      </x:c>
      <x:c r="P38" s="15" t="str">
        <x:f>IF(A38="","",--(COUNTIFS($A$2:A38,A38,$F$2:F38,F38)=1))</x:f>
      </x:c>
    </x:row>
    <x:row r="39">
      <x:c r="A39" s="18"/>
      <x:c r="O39" s="15" t="str">
        <x:f>IF(A39="","",--(COUNTIF($A$2:A39,A39)=1))</x:f>
      </x:c>
      <x:c r="P39" s="15" t="str">
        <x:f>IF(A39="","",--(COUNTIFS($A$2:A39,A39,$F$2:F39,F39)=1))</x:f>
      </x:c>
    </x:row>
    <x:row r="40">
      <x:c r="A40" s="18"/>
      <x:c r="O40" s="15" t="str">
        <x:f>IF(A40="","",--(COUNTIF($A$2:A40,A40)=1))</x:f>
      </x:c>
      <x:c r="P40" s="15" t="str">
        <x:f>IF(A40="","",--(COUNTIFS($A$2:A40,A40,$F$2:F40,F40)=1))</x:f>
      </x:c>
    </x:row>
    <x:row r="41">
      <x:c r="A41" s="18"/>
      <x:c r="O41" s="15" t="str">
        <x:f>IF(A41="","",--(COUNTIF($A$2:A41,A41)=1))</x:f>
      </x:c>
      <x:c r="P41" s="15" t="str">
        <x:f>IF(A41="","",--(COUNTIFS($A$2:A41,A41,$F$2:F41,F41)=1))</x:f>
      </x:c>
    </x:row>
    <x:row r="42">
      <x:c r="A42" s="18"/>
      <x:c r="O42" s="15" t="str">
        <x:f>IF(A42="","",--(COUNTIF($A$2:A42,A42)=1))</x:f>
      </x:c>
      <x:c r="P42" s="15" t="str">
        <x:f>IF(A42="","",--(COUNTIFS($A$2:A42,A42,$F$2:F42,F42)=1))</x:f>
      </x:c>
    </x:row>
    <x:row r="43">
      <x:c r="A43" s="18"/>
      <x:c r="O43" s="15" t="str">
        <x:f>IF(A43="","",--(COUNTIF($A$2:A43,A43)=1))</x:f>
      </x:c>
      <x:c r="P43" s="15" t="str">
        <x:f>IF(A43="","",--(COUNTIFS($A$2:A43,A43,$F$2:F43,F43)=1))</x:f>
      </x:c>
    </x:row>
    <x:row r="44">
      <x:c r="A44" s="18"/>
      <x:c r="O44" s="15" t="str">
        <x:f>IF(A44="","",--(COUNTIF($A$2:A44,A44)=1))</x:f>
      </x:c>
      <x:c r="P44" s="15" t="str">
        <x:f>IF(A44="","",--(COUNTIFS($A$2:A44,A44,$F$2:F44,F44)=1))</x:f>
      </x:c>
    </x:row>
    <x:row r="45">
      <x:c r="A45" s="18"/>
      <x:c r="O45" s="15" t="str">
        <x:f>IF(A45="","",--(COUNTIF($A$2:A45,A45)=1))</x:f>
      </x:c>
      <x:c r="P45" s="15" t="str">
        <x:f>IF(A45="","",--(COUNTIFS($A$2:A45,A45,$F$2:F45,F45)=1))</x:f>
      </x:c>
    </x:row>
    <x:row r="46">
      <x:c r="A46" s="18"/>
      <x:c r="O46" s="15" t="str">
        <x:f>IF(A46="","",--(COUNTIF($A$2:A46,A46)=1))</x:f>
      </x:c>
      <x:c r="P46" s="15" t="str">
        <x:f>IF(A46="","",--(COUNTIFS($A$2:A46,A46,$F$2:F46,F46)=1))</x:f>
      </x:c>
    </x:row>
    <x:row r="47">
      <x:c r="A47" s="18"/>
      <x:c r="O47" s="15" t="str">
        <x:f>IF(A47="","",--(COUNTIF($A$2:A47,A47)=1))</x:f>
      </x:c>
      <x:c r="P47" s="15" t="str">
        <x:f>IF(A47="","",--(COUNTIFS($A$2:A47,A47,$F$2:F47,F47)=1))</x:f>
      </x:c>
    </x:row>
    <x:row r="48">
      <x:c r="A48" s="18"/>
      <x:c r="O48" s="15" t="str">
        <x:f>IF(A48="","",--(COUNTIF($A$2:A48,A48)=1))</x:f>
      </x:c>
      <x:c r="P48" s="15" t="str">
        <x:f>IF(A48="","",--(COUNTIFS($A$2:A48,A48,$F$2:F48,F48)=1))</x:f>
      </x:c>
    </x:row>
    <x:row r="49">
      <x:c r="A49" s="18"/>
      <x:c r="O49" s="15" t="str">
        <x:f>IF(A49="","",--(COUNTIF($A$2:A49,A49)=1))</x:f>
      </x:c>
      <x:c r="P49" s="15" t="str">
        <x:f>IF(A49="","",--(COUNTIFS($A$2:A49,A49,$F$2:F49,F49)=1))</x:f>
      </x:c>
    </x:row>
    <x:row r="50">
      <x:c r="A50" s="18"/>
      <x:c r="O50" s="15" t="str">
        <x:f>IF(A50="","",--(COUNTIF($A$2:A50,A50)=1))</x:f>
      </x:c>
      <x:c r="P50" s="15" t="str">
        <x:f>IF(A50="","",--(COUNTIFS($A$2:A50,A50,$F$2:F50,F50)=1))</x:f>
      </x:c>
    </x:row>
    <x:row r="51">
      <x:c r="A51" s="18"/>
      <x:c r="O51" s="15" t="str">
        <x:f>IF(A51="","",--(COUNTIF($A$2:A51,A51)=1))</x:f>
      </x:c>
      <x:c r="P51" s="15" t="str">
        <x:f>IF(A51="","",--(COUNTIFS($A$2:A51,A51,$F$2:F51,F51)=1))</x:f>
      </x:c>
    </x:row>
    <x:row r="52">
      <x:c r="A52" s="18"/>
      <x:c r="O52" s="15" t="str">
        <x:f>IF(A52="","",--(COUNTIF($A$2:A52,A52)=1))</x:f>
      </x:c>
      <x:c r="P52" s="15" t="str">
        <x:f>IF(A52="","",--(COUNTIFS($A$2:A52,A52,$F$2:F52,F52)=1))</x:f>
      </x:c>
    </x:row>
    <x:row r="53">
      <x:c r="A53" s="18"/>
      <x:c r="O53" s="15" t="str">
        <x:f>IF(A53="","",--(COUNTIF($A$2:A53,A53)=1))</x:f>
      </x:c>
      <x:c r="P53" s="15" t="str">
        <x:f>IF(A53="","",--(COUNTIFS($A$2:A53,A53,$F$2:F53,F53)=1))</x:f>
      </x:c>
    </x:row>
    <x:row r="54">
      <x:c r="A54" s="18"/>
      <x:c r="O54" s="15" t="str">
        <x:f>IF(A54="","",--(COUNTIF($A$2:A54,A54)=1))</x:f>
      </x:c>
      <x:c r="P54" s="15" t="str">
        <x:f>IF(A54="","",--(COUNTIFS($A$2:A54,A54,$F$2:F54,F54)=1))</x:f>
      </x:c>
    </x:row>
    <x:row r="55">
      <x:c r="A55" s="18"/>
      <x:c r="O55" s="15" t="str">
        <x:f>IF(A55="","",--(COUNTIF($A$2:A55,A55)=1))</x:f>
      </x:c>
      <x:c r="P55" s="15" t="str">
        <x:f>IF(A55="","",--(COUNTIFS($A$2:A55,A55,$F$2:F55,F55)=1))</x:f>
      </x:c>
    </x:row>
    <x:row r="56">
      <x:c r="A56" s="18"/>
      <x:c r="O56" s="15" t="str">
        <x:f>IF(A56="","",--(COUNTIF($A$2:A56,A56)=1))</x:f>
      </x:c>
      <x:c r="P56" s="15" t="str">
        <x:f>IF(A56="","",--(COUNTIFS($A$2:A56,A56,$F$2:F56,F56)=1))</x:f>
      </x:c>
    </x:row>
    <x:row r="57">
      <x:c r="A57" s="18"/>
      <x:c r="O57" s="15" t="str">
        <x:f>IF(A57="","",--(COUNTIF($A$2:A57,A57)=1))</x:f>
      </x:c>
      <x:c r="P57" s="15" t="str">
        <x:f>IF(A57="","",--(COUNTIFS($A$2:A57,A57,$F$2:F57,F57)=1))</x:f>
      </x:c>
    </x:row>
    <x:row r="58">
      <x:c r="A58" s="18"/>
      <x:c r="O58" s="15" t="str">
        <x:f>IF(A58="","",--(COUNTIF($A$2:A58,A58)=1))</x:f>
      </x:c>
      <x:c r="P58" s="15" t="str">
        <x:f>IF(A58="","",--(COUNTIFS($A$2:A58,A58,$F$2:F58,F58)=1))</x:f>
      </x:c>
    </x:row>
    <x:row r="59">
      <x:c r="A59" s="18"/>
      <x:c r="O59" s="15" t="str">
        <x:f>IF(A59="","",--(COUNTIF($A$2:A59,A59)=1))</x:f>
      </x:c>
      <x:c r="P59" s="15" t="str">
        <x:f>IF(A59="","",--(COUNTIFS($A$2:A59,A59,$F$2:F59,F59)=1))</x:f>
      </x:c>
    </x:row>
    <x:row r="60">
      <x:c r="A60" s="18"/>
      <x:c r="O60" s="15" t="str">
        <x:f>IF(A60="","",--(COUNTIF($A$2:A60,A60)=1))</x:f>
      </x:c>
      <x:c r="P60" s="15" t="str">
        <x:f>IF(A60="","",--(COUNTIFS($A$2:A60,A60,$F$2:F60,F60)=1))</x:f>
      </x:c>
    </x:row>
    <x:row r="61">
      <x:c r="A61" s="18"/>
      <x:c r="O61" s="15" t="str">
        <x:f>IF(A61="","",--(COUNTIF($A$2:A61,A61)=1))</x:f>
      </x:c>
      <x:c r="P61" s="15" t="str">
        <x:f>IF(A61="","",--(COUNTIFS($A$2:A61,A61,$F$2:F61,F61)=1))</x:f>
      </x:c>
    </x:row>
    <x:row r="62">
      <x:c r="A62" s="18"/>
      <x:c r="O62" s="15" t="str">
        <x:f>IF(A62="","",--(COUNTIF($A$2:A62,A62)=1))</x:f>
      </x:c>
      <x:c r="P62" s="15" t="str">
        <x:f>IF(A62="","",--(COUNTIFS($A$2:A62,A62,$F$2:F62,F62)=1))</x:f>
      </x:c>
    </x:row>
    <x:row r="63">
      <x:c r="A63" s="18"/>
      <x:c r="O63" s="15" t="str">
        <x:f>IF(A63="","",--(COUNTIF($A$2:A63,A63)=1))</x:f>
      </x:c>
      <x:c r="P63" s="15" t="str">
        <x:f>IF(A63="","",--(COUNTIFS($A$2:A63,A63,$F$2:F63,F63)=1))</x:f>
      </x:c>
    </x:row>
    <x:row r="64">
      <x:c r="A64" s="18"/>
      <x:c r="O64" s="15" t="str">
        <x:f>IF(A64="","",--(COUNTIF($A$2:A64,A64)=1))</x:f>
      </x:c>
      <x:c r="P64" s="15" t="str">
        <x:f>IF(A64="","",--(COUNTIFS($A$2:A64,A64,$F$2:F64,F64)=1))</x:f>
      </x:c>
    </x:row>
    <x:row r="65">
      <x:c r="A65" s="18"/>
      <x:c r="O65" s="15" t="str">
        <x:f>IF(A65="","",--(COUNTIF($A$2:A65,A65)=1))</x:f>
      </x:c>
      <x:c r="P65" s="15" t="str">
        <x:f>IF(A65="","",--(COUNTIFS($A$2:A65,A65,$F$2:F65,F65)=1))</x:f>
      </x:c>
    </x:row>
    <x:row r="66">
      <x:c r="A66" s="18"/>
      <x:c r="O66" s="15" t="str">
        <x:f>IF(A66="","",--(COUNTIF($A$2:A66,A66)=1))</x:f>
      </x:c>
      <x:c r="P66" s="15" t="str">
        <x:f>IF(A66="","",--(COUNTIFS($A$2:A66,A66,$F$2:F66,F66)=1))</x:f>
      </x:c>
    </x:row>
    <x:row r="67">
      <x:c r="A67" s="18"/>
      <x:c r="O67" s="15" t="str">
        <x:f>IF(A67="","",--(COUNTIF($A$2:A67,A67)=1))</x:f>
      </x:c>
      <x:c r="P67" s="15" t="str">
        <x:f>IF(A67="","",--(COUNTIFS($A$2:A67,A67,$F$2:F67,F67)=1))</x:f>
      </x:c>
    </x:row>
    <x:row r="68">
      <x:c r="A68" s="18"/>
      <x:c r="O68" s="15" t="str">
        <x:f>IF(A68="","",--(COUNTIF($A$2:A68,A68)=1))</x:f>
      </x:c>
      <x:c r="P68" s="15" t="str">
        <x:f>IF(A68="","",--(COUNTIFS($A$2:A68,A68,$F$2:F68,F68)=1))</x:f>
      </x:c>
    </x:row>
    <x:row r="69">
      <x:c r="A69" s="18"/>
      <x:c r="O69" s="15" t="str">
        <x:f>IF(A69="","",--(COUNTIF($A$2:A69,A69)=1))</x:f>
      </x:c>
      <x:c r="P69" s="15" t="str">
        <x:f>IF(A69="","",--(COUNTIFS($A$2:A69,A69,$F$2:F69,F69)=1))</x:f>
      </x:c>
    </x:row>
    <x:row r="70">
      <x:c r="A70" s="18"/>
      <x:c r="O70" s="15" t="str">
        <x:f>IF(A70="","",--(COUNTIF($A$2:A70,A70)=1))</x:f>
      </x:c>
      <x:c r="P70" s="15" t="str">
        <x:f>IF(A70="","",--(COUNTIFS($A$2:A70,A70,$F$2:F70,F70)=1))</x:f>
      </x:c>
    </x:row>
    <x:row r="71">
      <x:c r="A71" s="18"/>
      <x:c r="O71" s="15" t="str">
        <x:f>IF(A71="","",--(COUNTIF($A$2:A71,A71)=1))</x:f>
      </x:c>
      <x:c r="P71" s="15" t="str">
        <x:f>IF(A71="","",--(COUNTIFS($A$2:A71,A71,$F$2:F71,F71)=1))</x:f>
      </x:c>
    </x:row>
    <x:row r="72">
      <x:c r="A72" s="18"/>
      <x:c r="O72" s="15" t="str">
        <x:f>IF(A72="","",--(COUNTIF($A$2:A72,A72)=1))</x:f>
      </x:c>
      <x:c r="P72" s="15" t="str">
        <x:f>IF(A72="","",--(COUNTIFS($A$2:A72,A72,$F$2:F72,F72)=1))</x:f>
      </x:c>
    </x:row>
    <x:row r="73">
      <x:c r="A73" s="18"/>
      <x:c r="O73" s="15" t="str">
        <x:f>IF(A73="","",--(COUNTIF($A$2:A73,A73)=1))</x:f>
      </x:c>
      <x:c r="P73" s="15" t="str">
        <x:f>IF(A73="","",--(COUNTIFS($A$2:A73,A73,$F$2:F73,F73)=1))</x:f>
      </x:c>
    </x:row>
    <x:row r="74">
      <x:c r="A74" s="18"/>
      <x:c r="O74" s="15" t="str">
        <x:f>IF(A74="","",--(COUNTIF($A$2:A74,A74)=1))</x:f>
      </x:c>
      <x:c r="P74" s="15" t="str">
        <x:f>IF(A74="","",--(COUNTIFS($A$2:A74,A74,$F$2:F74,F74)=1))</x:f>
      </x:c>
    </x:row>
    <x:row r="75">
      <x:c r="A75" s="18"/>
      <x:c r="O75" s="15" t="str">
        <x:f>IF(A75="","",--(COUNTIF($A$2:A75,A75)=1))</x:f>
      </x:c>
      <x:c r="P75" s="15" t="str">
        <x:f>IF(A75="","",--(COUNTIFS($A$2:A75,A75,$F$2:F75,F75)=1))</x:f>
      </x:c>
    </x:row>
    <x:row r="76">
      <x:c r="A76" s="18"/>
      <x:c r="O76" s="15" t="str">
        <x:f>IF(A76="","",--(COUNTIF($A$2:A76,A76)=1))</x:f>
      </x:c>
      <x:c r="P76" s="15" t="str">
        <x:f>IF(A76="","",--(COUNTIFS($A$2:A76,A76,$F$2:F76,F76)=1))</x:f>
      </x:c>
    </x:row>
    <x:row r="77">
      <x:c r="A77" s="18"/>
      <x:c r="O77" s="15" t="str">
        <x:f>IF(A77="","",--(COUNTIF($A$2:A77,A77)=1))</x:f>
      </x:c>
      <x:c r="P77" s="15" t="str">
        <x:f>IF(A77="","",--(COUNTIFS($A$2:A77,A77,$F$2:F77,F77)=1))</x:f>
      </x:c>
    </x:row>
    <x:row r="78">
      <x:c r="A78" s="18"/>
      <x:c r="O78" s="15" t="str">
        <x:f>IF(A78="","",--(COUNTIF($A$2:A78,A78)=1))</x:f>
      </x:c>
      <x:c r="P78" s="15" t="str">
        <x:f>IF(A78="","",--(COUNTIFS($A$2:A78,A78,$F$2:F78,F78)=1))</x:f>
      </x:c>
    </x:row>
    <x:row r="79">
      <x:c r="A79" s="18"/>
      <x:c r="O79" s="15" t="str">
        <x:f>IF(A79="","",--(COUNTIF($A$2:A79,A79)=1))</x:f>
      </x:c>
      <x:c r="P79" s="15" t="str">
        <x:f>IF(A79="","",--(COUNTIFS($A$2:A79,A79,$F$2:F79,F79)=1))</x:f>
      </x:c>
    </x:row>
    <x:row r="80">
      <x:c r="A80" s="18"/>
      <x:c r="O80" s="15" t="str">
        <x:f>IF(A80="","",--(COUNTIF($A$2:A80,A80)=1))</x:f>
      </x:c>
      <x:c r="P80" s="15" t="str">
        <x:f>IF(A80="","",--(COUNTIFS($A$2:A80,A80,$F$2:F80,F80)=1))</x:f>
      </x:c>
    </x:row>
    <x:row r="81">
      <x:c r="A81" s="18"/>
      <x:c r="O81" s="15" t="str">
        <x:f>IF(A81="","",--(COUNTIF($A$2:A81,A81)=1))</x:f>
      </x:c>
      <x:c r="P81" s="15" t="str">
        <x:f>IF(A81="","",--(COUNTIFS($A$2:A81,A81,$F$2:F81,F81)=1))</x:f>
      </x:c>
    </x:row>
    <x:row r="82">
      <x:c r="A82" s="18"/>
      <x:c r="O82" s="15" t="str">
        <x:f>IF(A82="","",--(COUNTIF($A$2:A82,A82)=1))</x:f>
      </x:c>
      <x:c r="P82" s="15" t="str">
        <x:f>IF(A82="","",--(COUNTIFS($A$2:A82,A82,$F$2:F82,F82)=1))</x:f>
      </x:c>
    </x:row>
    <x:row r="83">
      <x:c r="A83" s="18"/>
      <x:c r="O83" s="15" t="str">
        <x:f>IF(A83="","",--(COUNTIF($A$2:A83,A83)=1))</x:f>
      </x:c>
      <x:c r="P83" s="15" t="str">
        <x:f>IF(A83="","",--(COUNTIFS($A$2:A83,A83,$F$2:F83,F83)=1))</x:f>
      </x:c>
    </x:row>
    <x:row r="84">
      <x:c r="A84" s="18"/>
      <x:c r="O84" s="15" t="str">
        <x:f>IF(A84="","",--(COUNTIF($A$2:A84,A84)=1))</x:f>
      </x:c>
      <x:c r="P84" s="15" t="str">
        <x:f>IF(A84="","",--(COUNTIFS($A$2:A84,A84,$F$2:F84,F84)=1))</x:f>
      </x:c>
    </x:row>
    <x:row r="85">
      <x:c r="A85" s="18"/>
      <x:c r="O85" s="15" t="str">
        <x:f>IF(A85="","",--(COUNTIF($A$2:A85,A85)=1))</x:f>
      </x:c>
      <x:c r="P85" s="15" t="str">
        <x:f>IF(A85="","",--(COUNTIFS($A$2:A85,A85,$F$2:F85,F85)=1))</x:f>
      </x:c>
    </x:row>
    <x:row r="86">
      <x:c r="A86" s="18"/>
      <x:c r="O86" s="15" t="str">
        <x:f>IF(A86="","",--(COUNTIF($A$2:A86,A86)=1))</x:f>
      </x:c>
      <x:c r="P86" s="15" t="str">
        <x:f>IF(A86="","",--(COUNTIFS($A$2:A86,A86,$F$2:F86,F86)=1))</x:f>
      </x:c>
    </x:row>
    <x:row r="87">
      <x:c r="A87" s="18"/>
      <x:c r="O87" s="15" t="str">
        <x:f>IF(A87="","",--(COUNTIF($A$2:A87,A87)=1))</x:f>
      </x:c>
      <x:c r="P87" s="15" t="str">
        <x:f>IF(A87="","",--(COUNTIFS($A$2:A87,A87,$F$2:F87,F87)=1))</x:f>
      </x:c>
    </x:row>
    <x:row r="88">
      <x:c r="A88" s="18"/>
      <x:c r="O88" s="15" t="str">
        <x:f>IF(A88="","",--(COUNTIF($A$2:A88,A88)=1))</x:f>
      </x:c>
      <x:c r="P88" s="15" t="str">
        <x:f>IF(A88="","",--(COUNTIFS($A$2:A88,A88,$F$2:F88,F88)=1))</x:f>
      </x:c>
    </x:row>
    <x:row r="89">
      <x:c r="A89" s="18"/>
      <x:c r="O89" s="15" t="str">
        <x:f>IF(A89="","",--(COUNTIF($A$2:A89,A89)=1))</x:f>
      </x:c>
      <x:c r="P89" s="15" t="str">
        <x:f>IF(A89="","",--(COUNTIFS($A$2:A89,A89,$F$2:F89,F89)=1))</x:f>
      </x:c>
    </x:row>
    <x:row r="90">
      <x:c r="A90" s="18"/>
      <x:c r="O90" s="15" t="str">
        <x:f>IF(A90="","",--(COUNTIF($A$2:A90,A90)=1))</x:f>
      </x:c>
      <x:c r="P90" s="15" t="str">
        <x:f>IF(A90="","",--(COUNTIFS($A$2:A90,A90,$F$2:F90,F90)=1))</x:f>
      </x:c>
    </x:row>
    <x:row r="91">
      <x:c r="A91" s="18"/>
      <x:c r="O91" s="15" t="str">
        <x:f>IF(A91="","",--(COUNTIF($A$2:A91,A91)=1))</x:f>
      </x:c>
      <x:c r="P91" s="15" t="str">
        <x:f>IF(A91="","",--(COUNTIFS($A$2:A91,A91,$F$2:F91,F91)=1))</x:f>
      </x:c>
    </x:row>
    <x:row r="92">
      <x:c r="A92" s="18"/>
      <x:c r="O92" s="15" t="str">
        <x:f>IF(A92="","",--(COUNTIF($A$2:A92,A92)=1))</x:f>
      </x:c>
      <x:c r="P92" s="15" t="str">
        <x:f>IF(A92="","",--(COUNTIFS($A$2:A92,A92,$F$2:F92,F92)=1))</x:f>
      </x:c>
    </x:row>
    <x:row r="93">
      <x:c r="A93" s="18"/>
      <x:c r="O93" s="15" t="str">
        <x:f>IF(A93="","",--(COUNTIF($A$2:A93,A93)=1))</x:f>
      </x:c>
      <x:c r="P93" s="15" t="str">
        <x:f>IF(A93="","",--(COUNTIFS($A$2:A93,A93,$F$2:F93,F93)=1))</x:f>
      </x:c>
    </x:row>
    <x:row r="94">
      <x:c r="A94" s="18"/>
      <x:c r="O94" s="15" t="str">
        <x:f>IF(A94="","",--(COUNTIF($A$2:A94,A94)=1))</x:f>
      </x:c>
      <x:c r="P94" s="15" t="str">
        <x:f>IF(A94="","",--(COUNTIFS($A$2:A94,A94,$F$2:F94,F94)=1))</x:f>
      </x:c>
    </x:row>
    <x:row r="95">
      <x:c r="A95" s="18"/>
      <x:c r="O95" s="15" t="str">
        <x:f>IF(A95="","",--(COUNTIF($A$2:A95,A95)=1))</x:f>
      </x:c>
      <x:c r="P95" s="15" t="str">
        <x:f>IF(A95="","",--(COUNTIFS($A$2:A95,A95,$F$2:F95,F95)=1))</x:f>
      </x:c>
    </x:row>
    <x:row r="96">
      <x:c r="A96" s="18"/>
      <x:c r="O96" s="15" t="str">
        <x:f>IF(A96="","",--(COUNTIF($A$2:A96,A96)=1))</x:f>
      </x:c>
      <x:c r="P96" s="15" t="str">
        <x:f>IF(A96="","",--(COUNTIFS($A$2:A96,A96,$F$2:F96,F96)=1))</x:f>
      </x:c>
    </x:row>
    <x:row r="97">
      <x:c r="A97" s="18"/>
      <x:c r="O97" s="15" t="str">
        <x:f>IF(A97="","",--(COUNTIF($A$2:A97,A97)=1))</x:f>
      </x:c>
      <x:c r="P97" s="15" t="str">
        <x:f>IF(A97="","",--(COUNTIFS($A$2:A97,A97,$F$2:F97,F97)=1))</x:f>
      </x:c>
    </x:row>
    <x:row r="98">
      <x:c r="A98" s="18"/>
      <x:c r="O98" s="15" t="str">
        <x:f>IF(A98="","",--(COUNTIF($A$2:A98,A98)=1))</x:f>
      </x:c>
      <x:c r="P98" s="15" t="str">
        <x:f>IF(A98="","",--(COUNTIFS($A$2:A98,A98,$F$2:F98,F98)=1))</x:f>
      </x:c>
    </x:row>
    <x:row r="99">
      <x:c r="A99" s="18"/>
      <x:c r="O99" s="15" t="str">
        <x:f>IF(A99="","",--(COUNTIF($A$2:A99,A99)=1))</x:f>
      </x:c>
      <x:c r="P99" s="15" t="str">
        <x:f>IF(A99="","",--(COUNTIFS($A$2:A99,A99,$F$2:F99,F99)=1))</x:f>
      </x:c>
    </x:row>
    <x:row r="100">
      <x:c r="A100" s="18"/>
      <x:c r="O100" s="15" t="str">
        <x:f>IF(A100="","",--(COUNTIF($A$2:A100,A100)=1))</x:f>
      </x:c>
      <x:c r="P100" s="15" t="str">
        <x:f>IF(A100="","",--(COUNTIFS($A$2:A100,A100,$F$2:F100,F100)=1))</x:f>
      </x:c>
    </x:row>
    <x:row r="101">
      <x:c r="A101" s="18"/>
      <x:c r="O101" s="15" t="str">
        <x:f>IF(A101="","",--(COUNTIF($A$2:A101,A101)=1))</x:f>
      </x:c>
      <x:c r="P101" s="15" t="str">
        <x:f>IF(A101="","",--(COUNTIFS($A$2:A101,A101,$F$2:F101,F101)=1))</x:f>
      </x:c>
    </x:row>
    <x:row r="102">
      <x:c r="A102" s="18"/>
      <x:c r="O102" s="15" t="str">
        <x:f>IF(A102="","",--(COUNTIF($A$2:A102,A102)=1))</x:f>
      </x:c>
      <x:c r="P102" s="15" t="str">
        <x:f>IF(A102="","",--(COUNTIFS($A$2:A102,A102,$F$2:F102,F102)=1))</x:f>
      </x:c>
    </x:row>
    <x:row r="103">
      <x:c r="A103" s="18"/>
      <x:c r="O103" s="15" t="str">
        <x:f>IF(A103="","",--(COUNTIF($A$2:A103,A103)=1))</x:f>
      </x:c>
      <x:c r="P103" s="15" t="str">
        <x:f>IF(A103="","",--(COUNTIFS($A$2:A103,A103,$F$2:F103,F103)=1))</x:f>
      </x:c>
    </x:row>
    <x:row r="104">
      <x:c r="A104" s="18"/>
      <x:c r="O104" s="15" t="str">
        <x:f>IF(A104="","",--(COUNTIF($A$2:A104,A104)=1))</x:f>
      </x:c>
      <x:c r="P104" s="15" t="str">
        <x:f>IF(A104="","",--(COUNTIFS($A$2:A104,A104,$F$2:F104,F104)=1))</x:f>
      </x:c>
    </x:row>
    <x:row r="105">
      <x:c r="A105" s="18"/>
      <x:c r="O105" s="15" t="str">
        <x:f>IF(A105="","",--(COUNTIF($A$2:A105,A105)=1))</x:f>
      </x:c>
      <x:c r="P105" s="15" t="str">
        <x:f>IF(A105="","",--(COUNTIFS($A$2:A105,A105,$F$2:F105,F105)=1))</x:f>
      </x:c>
    </x:row>
    <x:row r="106">
      <x:c r="A106" s="18"/>
      <x:c r="O106" s="15" t="str">
        <x:f>IF(A106="","",--(COUNTIF($A$2:A106,A106)=1))</x:f>
      </x:c>
      <x:c r="P106" s="15" t="str">
        <x:f>IF(A106="","",--(COUNTIFS($A$2:A106,A106,$F$2:F106,F106)=1))</x:f>
      </x:c>
    </x:row>
    <x:row r="107">
      <x:c r="A107" s="18"/>
      <x:c r="O107" s="15" t="str">
        <x:f>IF(A107="","",--(COUNTIF($A$2:A107,A107)=1))</x:f>
      </x:c>
      <x:c r="P107" s="15" t="str">
        <x:f>IF(A107="","",--(COUNTIFS($A$2:A107,A107,$F$2:F107,F107)=1))</x:f>
      </x:c>
    </x:row>
    <x:row r="108">
      <x:c r="A108" s="18"/>
      <x:c r="O108" s="15" t="str">
        <x:f>IF(A108="","",--(COUNTIF($A$2:A108,A108)=1))</x:f>
      </x:c>
      <x:c r="P108" s="15" t="str">
        <x:f>IF(A108="","",--(COUNTIFS($A$2:A108,A108,$F$2:F108,F108)=1))</x:f>
      </x:c>
    </x:row>
    <x:row r="109">
      <x:c r="A109" s="18"/>
      <x:c r="O109" s="15" t="str">
        <x:f>IF(A109="","",--(COUNTIF($A$2:A109,A109)=1))</x:f>
      </x:c>
      <x:c r="P109" s="15" t="str">
        <x:f>IF(A109="","",--(COUNTIFS($A$2:A109,A109,$F$2:F109,F109)=1))</x:f>
      </x:c>
    </x:row>
    <x:row r="110">
      <x:c r="A110" s="18"/>
      <x:c r="O110" s="15" t="str">
        <x:f>IF(A110="","",--(COUNTIF($A$2:A110,A110)=1))</x:f>
      </x:c>
      <x:c r="P110" s="15" t="str">
        <x:f>IF(A110="","",--(COUNTIFS($A$2:A110,A110,$F$2:F110,F110)=1))</x:f>
      </x:c>
    </x:row>
    <x:row r="111">
      <x:c r="A111" s="18"/>
      <x:c r="O111" s="15" t="str">
        <x:f>IF(A111="","",--(COUNTIF($A$2:A111,A111)=1))</x:f>
      </x:c>
      <x:c r="P111" s="15" t="str">
        <x:f>IF(A111="","",--(COUNTIFS($A$2:A111,A111,$F$2:F111,F111)=1))</x:f>
      </x:c>
    </x:row>
    <x:row r="112">
      <x:c r="A112" s="18"/>
      <x:c r="O112" s="15" t="str">
        <x:f>IF(A112="","",--(COUNTIF($A$2:A112,A112)=1))</x:f>
      </x:c>
      <x:c r="P112" s="15" t="str">
        <x:f>IF(A112="","",--(COUNTIFS($A$2:A112,A112,$F$2:F112,F112)=1))</x:f>
      </x:c>
    </x:row>
    <x:row r="113">
      <x:c r="A113" s="18"/>
      <x:c r="O113" s="15" t="str">
        <x:f>IF(A113="","",--(COUNTIF($A$2:A113,A113)=1))</x:f>
      </x:c>
      <x:c r="P113" s="15" t="str">
        <x:f>IF(A113="","",--(COUNTIFS($A$2:A113,A113,$F$2:F113,F113)=1))</x:f>
      </x:c>
    </x:row>
    <x:row r="114">
      <x:c r="A114" s="18"/>
      <x:c r="O114" s="15" t="str">
        <x:f>IF(A114="","",--(COUNTIF($A$2:A114,A114)=1))</x:f>
      </x:c>
      <x:c r="P114" s="15" t="str">
        <x:f>IF(A114="","",--(COUNTIFS($A$2:A114,A114,$F$2:F114,F114)=1))</x:f>
      </x:c>
    </x:row>
    <x:row r="115">
      <x:c r="A115" s="18"/>
      <x:c r="O115" s="15" t="str">
        <x:f>IF(A115="","",--(COUNTIF($A$2:A115,A115)=1))</x:f>
      </x:c>
      <x:c r="P115" s="15" t="str">
        <x:f>IF(A115="","",--(COUNTIFS($A$2:A115,A115,$F$2:F115,F115)=1))</x:f>
      </x:c>
    </x:row>
    <x:row r="116">
      <x:c r="A116" s="18"/>
      <x:c r="O116" s="15" t="str">
        <x:f>IF(A116="","",--(COUNTIF($A$2:A116,A116)=1))</x:f>
      </x:c>
      <x:c r="P116" s="15" t="str">
        <x:f>IF(A116="","",--(COUNTIFS($A$2:A116,A116,$F$2:F116,F116)=1))</x:f>
      </x:c>
    </x:row>
    <x:row r="117">
      <x:c r="A117" s="18"/>
      <x:c r="O117" s="15" t="str">
        <x:f>IF(A117="","",--(COUNTIF($A$2:A117,A117)=1))</x:f>
      </x:c>
      <x:c r="P117" s="15" t="str">
        <x:f>IF(A117="","",--(COUNTIFS($A$2:A117,A117,$F$2:F117,F117)=1))</x:f>
      </x:c>
    </x:row>
    <x:row r="118">
      <x:c r="A118" s="18"/>
      <x:c r="O118" s="15" t="str">
        <x:f>IF(A118="","",--(COUNTIF($A$2:A118,A118)=1))</x:f>
      </x:c>
      <x:c r="P118" s="15" t="str">
        <x:f>IF(A118="","",--(COUNTIFS($A$2:A118,A118,$F$2:F118,F118)=1))</x:f>
      </x:c>
    </x:row>
    <x:row r="119">
      <x:c r="A119" s="18"/>
      <x:c r="O119" s="15" t="str">
        <x:f>IF(A119="","",--(COUNTIF($A$2:A119,A119)=1))</x:f>
      </x:c>
      <x:c r="P119" s="15" t="str">
        <x:f>IF(A119="","",--(COUNTIFS($A$2:A119,A119,$F$2:F119,F119)=1))</x:f>
      </x:c>
    </x:row>
    <x:row r="120">
      <x:c r="A120" s="18"/>
      <x:c r="O120" s="15" t="str">
        <x:f>IF(A120="","",--(COUNTIF($A$2:A120,A120)=1))</x:f>
      </x:c>
      <x:c r="P120" s="15" t="str">
        <x:f>IF(A120="","",--(COUNTIFS($A$2:A120,A120,$F$2:F120,F120)=1))</x:f>
      </x:c>
    </x:row>
    <x:row r="121">
      <x:c r="A121" s="18"/>
      <x:c r="O121" s="15" t="str">
        <x:f>IF(A121="","",--(COUNTIF($A$2:A121,A121)=1))</x:f>
      </x:c>
      <x:c r="P121" s="15" t="str">
        <x:f>IF(A121="","",--(COUNTIFS($A$2:A121,A121,$F$2:F121,F121)=1))</x:f>
      </x:c>
    </x:row>
    <x:row r="122">
      <x:c r="A122" s="18"/>
      <x:c r="O122" s="15" t="str">
        <x:f>IF(A122="","",--(COUNTIF($A$2:A122,A122)=1))</x:f>
      </x:c>
      <x:c r="P122" s="15" t="str">
        <x:f>IF(A122="","",--(COUNTIFS($A$2:A122,A122,$F$2:F122,F122)=1))</x:f>
      </x:c>
    </x:row>
    <x:row r="123">
      <x:c r="A123" s="18"/>
      <x:c r="O123" s="15" t="str">
        <x:f>IF(A123="","",--(COUNTIF($A$2:A123,A123)=1))</x:f>
      </x:c>
      <x:c r="P123" s="15" t="str">
        <x:f>IF(A123="","",--(COUNTIFS($A$2:A123,A123,$F$2:F123,F123)=1))</x:f>
      </x:c>
    </x:row>
    <x:row r="124">
      <x:c r="A124" s="18"/>
      <x:c r="O124" s="15" t="str">
        <x:f>IF(A124="","",--(COUNTIF($A$2:A124,A124)=1))</x:f>
      </x:c>
      <x:c r="P124" s="15" t="str">
        <x:f>IF(A124="","",--(COUNTIFS($A$2:A124,A124,$F$2:F124,F124)=1))</x:f>
      </x:c>
    </x:row>
    <x:row r="125">
      <x:c r="A125" s="18"/>
      <x:c r="O125" s="15" t="str">
        <x:f>IF(A125="","",--(COUNTIF($A$2:A125,A125)=1))</x:f>
      </x:c>
      <x:c r="P125" s="15" t="str">
        <x:f>IF(A125="","",--(COUNTIFS($A$2:A125,A125,$F$2:F125,F125)=1))</x:f>
      </x:c>
    </x:row>
    <x:row r="126">
      <x:c r="A126" s="18"/>
      <x:c r="O126" s="15" t="str">
        <x:f>IF(A126="","",--(COUNTIF($A$2:A126,A126)=1))</x:f>
      </x:c>
      <x:c r="P126" s="15" t="str">
        <x:f>IF(A126="","",--(COUNTIFS($A$2:A126,A126,$F$2:F126,F126)=1))</x:f>
      </x:c>
    </x:row>
    <x:row r="127">
      <x:c r="A127" s="18"/>
      <x:c r="O127" s="15" t="str">
        <x:f>IF(A127="","",--(COUNTIF($A$2:A127,A127)=1))</x:f>
      </x:c>
      <x:c r="P127" s="15" t="str">
        <x:f>IF(A127="","",--(COUNTIFS($A$2:A127,A127,$F$2:F127,F127)=1))</x:f>
      </x:c>
    </x:row>
    <x:row r="128">
      <x:c r="A128" s="18"/>
      <x:c r="O128" s="15" t="str">
        <x:f>IF(A128="","",--(COUNTIF($A$2:A128,A128)=1))</x:f>
      </x:c>
      <x:c r="P128" s="15" t="str">
        <x:f>IF(A128="","",--(COUNTIFS($A$2:A128,A128,$F$2:F128,F128)=1))</x:f>
      </x:c>
    </x:row>
    <x:row r="129">
      <x:c r="A129" s="18"/>
      <x:c r="O129" s="15" t="str">
        <x:f>IF(A129="","",--(COUNTIF($A$2:A129,A129)=1))</x:f>
      </x:c>
      <x:c r="P129" s="15" t="str">
        <x:f>IF(A129="","",--(COUNTIFS($A$2:A129,A129,$F$2:F129,F129)=1))</x:f>
      </x:c>
    </x:row>
    <x:row r="130">
      <x:c r="A130" s="18"/>
      <x:c r="O130" s="15" t="str">
        <x:f>IF(A130="","",--(COUNTIF($A$2:A130,A130)=1))</x:f>
      </x:c>
      <x:c r="P130" s="15" t="str">
        <x:f>IF(A130="","",--(COUNTIFS($A$2:A130,A130,$F$2:F130,F130)=1))</x:f>
      </x:c>
    </x:row>
    <x:row r="131">
      <x:c r="A131" s="18"/>
      <x:c r="O131" s="15" t="str">
        <x:f>IF(A131="","",--(COUNTIF($A$2:A131,A131)=1))</x:f>
      </x:c>
      <x:c r="P131" s="15" t="str">
        <x:f>IF(A131="","",--(COUNTIFS($A$2:A131,A131,$F$2:F131,F131)=1))</x:f>
      </x:c>
    </x:row>
    <x:row r="132">
      <x:c r="A132" s="18"/>
      <x:c r="O132" s="15" t="str">
        <x:f>IF(A132="","",--(COUNTIF($A$2:A132,A132)=1))</x:f>
      </x:c>
      <x:c r="P132" s="15" t="str">
        <x:f>IF(A132="","",--(COUNTIFS($A$2:A132,A132,$F$2:F132,F132)=1))</x:f>
      </x:c>
    </x:row>
    <x:row r="133">
      <x:c r="A133" s="18"/>
      <x:c r="O133" s="15" t="str">
        <x:f>IF(A133="","",--(COUNTIF($A$2:A133,A133)=1))</x:f>
      </x:c>
      <x:c r="P133" s="15" t="str">
        <x:f>IF(A133="","",--(COUNTIFS($A$2:A133,A133,$F$2:F133,F133)=1))</x:f>
      </x:c>
    </x:row>
    <x:row r="134">
      <x:c r="A134" s="18"/>
      <x:c r="O134" s="15" t="str">
        <x:f>IF(A134="","",--(COUNTIF($A$2:A134,A134)=1))</x:f>
      </x:c>
      <x:c r="P134" s="15" t="str">
        <x:f>IF(A134="","",--(COUNTIFS($A$2:A134,A134,$F$2:F134,F134)=1))</x:f>
      </x:c>
    </x:row>
    <x:row r="135">
      <x:c r="A135" s="18"/>
      <x:c r="O135" s="15" t="str">
        <x:f>IF(A135="","",--(COUNTIF($A$2:A135,A135)=1))</x:f>
      </x:c>
      <x:c r="P135" s="15" t="str">
        <x:f>IF(A135="","",--(COUNTIFS($A$2:A135,A135,$F$2:F135,F135)=1))</x:f>
      </x:c>
    </x:row>
    <x:row r="136">
      <x:c r="A136" s="18"/>
      <x:c r="O136" s="15" t="str">
        <x:f>IF(A136="","",--(COUNTIF($A$2:A136,A136)=1))</x:f>
      </x:c>
      <x:c r="P136" s="15" t="str">
        <x:f>IF(A136="","",--(COUNTIFS($A$2:A136,A136,$F$2:F136,F136)=1))</x:f>
      </x:c>
    </x:row>
    <x:row r="137">
      <x:c r="A137" s="18"/>
      <x:c r="O137" s="15" t="str">
        <x:f>IF(A137="","",--(COUNTIF($A$2:A137,A137)=1))</x:f>
      </x:c>
      <x:c r="P137" s="15" t="str">
        <x:f>IF(A137="","",--(COUNTIFS($A$2:A137,A137,$F$2:F137,F137)=1))</x:f>
      </x:c>
    </x:row>
    <x:row r="138">
      <x:c r="A138" s="18"/>
      <x:c r="O138" s="15" t="str">
        <x:f>IF(A138="","",--(COUNTIF($A$2:A138,A138)=1))</x:f>
      </x:c>
      <x:c r="P138" s="15" t="str">
        <x:f>IF(A138="","",--(COUNTIFS($A$2:A138,A138,$F$2:F138,F138)=1))</x:f>
      </x:c>
    </x:row>
    <x:row r="139">
      <x:c r="A139" s="18"/>
      <x:c r="O139" s="15" t="str">
        <x:f>IF(A139="","",--(COUNTIF($A$2:A139,A139)=1))</x:f>
      </x:c>
      <x:c r="P139" s="15" t="str">
        <x:f>IF(A139="","",--(COUNTIFS($A$2:A139,A139,$F$2:F139,F139)=1))</x:f>
      </x:c>
    </x:row>
    <x:row r="140">
      <x:c r="A140" s="18"/>
      <x:c r="O140" s="15" t="str">
        <x:f>IF(A140="","",--(COUNTIF($A$2:A140,A140)=1))</x:f>
      </x:c>
      <x:c r="P140" s="15" t="str">
        <x:f>IF(A140="","",--(COUNTIFS($A$2:A140,A140,$F$2:F140,F140)=1))</x:f>
      </x:c>
    </x:row>
    <x:row r="141">
      <x:c r="A141" s="18"/>
      <x:c r="O141" s="15" t="str">
        <x:f>IF(A141="","",--(COUNTIF($A$2:A141,A141)=1))</x:f>
      </x:c>
      <x:c r="P141" s="15" t="str">
        <x:f>IF(A141="","",--(COUNTIFS($A$2:A141,A141,$F$2:F141,F141)=1))</x:f>
      </x:c>
    </x:row>
    <x:row r="142">
      <x:c r="A142" s="18"/>
      <x:c r="O142" s="15" t="str">
        <x:f>IF(A142="","",--(COUNTIF($A$2:A142,A142)=1))</x:f>
      </x:c>
      <x:c r="P142" s="15" t="str">
        <x:f>IF(A142="","",--(COUNTIFS($A$2:A142,A142,$F$2:F142,F142)=1))</x:f>
      </x:c>
    </x:row>
    <x:row r="143">
      <x:c r="A143" s="18"/>
      <x:c r="O143" s="15" t="str">
        <x:f>IF(A143="","",--(COUNTIF($A$2:A143,A143)=1))</x:f>
      </x:c>
      <x:c r="P143" s="15" t="str">
        <x:f>IF(A143="","",--(COUNTIFS($A$2:A143,A143,$F$2:F143,F143)=1))</x:f>
      </x:c>
    </x:row>
    <x:row r="144">
      <x:c r="A144" s="18"/>
      <x:c r="O144" s="15" t="str">
        <x:f>IF(A144="","",--(COUNTIF($A$2:A144,A144)=1))</x:f>
      </x:c>
      <x:c r="P144" s="15" t="str">
        <x:f>IF(A144="","",--(COUNTIFS($A$2:A144,A144,$F$2:F144,F144)=1))</x:f>
      </x:c>
    </x:row>
    <x:row r="145">
      <x:c r="A145" s="18"/>
      <x:c r="O145" s="15" t="str">
        <x:f>IF(A145="","",--(COUNTIF($A$2:A145,A145)=1))</x:f>
      </x:c>
      <x:c r="P145" s="15" t="str">
        <x:f>IF(A145="","",--(COUNTIFS($A$2:A145,A145,$F$2:F145,F145)=1))</x:f>
      </x:c>
    </x:row>
    <x:row r="146">
      <x:c r="A146" s="18"/>
      <x:c r="O146" s="15" t="str">
        <x:f>IF(A146="","",--(COUNTIF($A$2:A146,A146)=1))</x:f>
      </x:c>
      <x:c r="P146" s="15" t="str">
        <x:f>IF(A146="","",--(COUNTIFS($A$2:A146,A146,$F$2:F146,F146)=1))</x:f>
      </x:c>
    </x:row>
    <x:row r="147">
      <x:c r="A147" s="18"/>
      <x:c r="O147" s="15" t="str">
        <x:f>IF(A147="","",--(COUNTIF($A$2:A147,A147)=1))</x:f>
      </x:c>
      <x:c r="P147" s="15" t="str">
        <x:f>IF(A147="","",--(COUNTIFS($A$2:A147,A147,$F$2:F147,F147)=1))</x:f>
      </x:c>
    </x:row>
    <x:row r="148">
      <x:c r="A148" s="18"/>
      <x:c r="O148" s="15" t="str">
        <x:f>IF(A148="","",--(COUNTIF($A$2:A148,A148)=1))</x:f>
      </x:c>
      <x:c r="P148" s="15" t="str">
        <x:f>IF(A148="","",--(COUNTIFS($A$2:A148,A148,$F$2:F148,F148)=1))</x:f>
      </x:c>
    </x:row>
    <x:row r="149">
      <x:c r="A149" s="18"/>
      <x:c r="O149" s="15" t="str">
        <x:f>IF(A149="","",--(COUNTIF($A$2:A149,A149)=1))</x:f>
      </x:c>
      <x:c r="P149" s="15" t="str">
        <x:f>IF(A149="","",--(COUNTIFS($A$2:A149,A149,$F$2:F149,F149)=1))</x:f>
      </x:c>
    </x:row>
    <x:row r="150">
      <x:c r="A150" s="18"/>
      <x:c r="O150" s="15" t="str">
        <x:f>IF(A150="","",--(COUNTIF($A$2:A150,A150)=1))</x:f>
      </x:c>
      <x:c r="P150" s="15" t="str">
        <x:f>IF(A150="","",--(COUNTIFS($A$2:A150,A150,$F$2:F150,F150)=1))</x:f>
      </x:c>
    </x:row>
    <x:row r="151">
      <x:c r="A151" s="18"/>
      <x:c r="O151" s="15" t="str">
        <x:f>IF(A151="","",--(COUNTIF($A$2:A151,A151)=1))</x:f>
      </x:c>
      <x:c r="P151" s="15" t="str">
        <x:f>IF(A151="","",--(COUNTIFS($A$2:A151,A151,$F$2:F151,F151)=1))</x:f>
      </x:c>
    </x:row>
    <x:row r="152">
      <x:c r="A152" s="18"/>
      <x:c r="O152" s="15" t="str">
        <x:f>IF(A152="","",--(COUNTIF($A$2:A152,A152)=1))</x:f>
      </x:c>
      <x:c r="P152" s="15" t="str">
        <x:f>IF(A152="","",--(COUNTIFS($A$2:A152,A152,$F$2:F152,F152)=1))</x:f>
      </x:c>
    </x:row>
    <x:row r="153">
      <x:c r="A153" s="18"/>
      <x:c r="O153" s="15" t="str">
        <x:f>IF(A153="","",--(COUNTIF($A$2:A153,A153)=1))</x:f>
      </x:c>
      <x:c r="P153" s="15" t="str">
        <x:f>IF(A153="","",--(COUNTIFS($A$2:A153,A153,$F$2:F153,F153)=1))</x:f>
      </x:c>
    </x:row>
    <x:row r="154">
      <x:c r="A154" s="18"/>
      <x:c r="O154" s="15" t="str">
        <x:f>IF(A154="","",--(COUNTIF($A$2:A154,A154)=1))</x:f>
      </x:c>
      <x:c r="P154" s="15" t="str">
        <x:f>IF(A154="","",--(COUNTIFS($A$2:A154,A154,$F$2:F154,F154)=1))</x:f>
      </x:c>
    </x:row>
    <x:row r="155">
      <x:c r="A155" s="18"/>
      <x:c r="O155" s="15" t="str">
        <x:f>IF(A155="","",--(COUNTIF($A$2:A155,A155)=1))</x:f>
      </x:c>
      <x:c r="P155" s="15" t="str">
        <x:f>IF(A155="","",--(COUNTIFS($A$2:A155,A155,$F$2:F155,F155)=1))</x:f>
      </x:c>
    </x:row>
    <x:row r="156">
      <x:c r="A156" s="18"/>
      <x:c r="O156" s="15" t="str">
        <x:f>IF(A156="","",--(COUNTIF($A$2:A156,A156)=1))</x:f>
      </x:c>
      <x:c r="P156" s="15" t="str">
        <x:f>IF(A156="","",--(COUNTIFS($A$2:A156,A156,$F$2:F156,F156)=1))</x:f>
      </x:c>
    </x:row>
    <x:row r="157">
      <x:c r="A157" s="18"/>
      <x:c r="O157" s="15" t="str">
        <x:f>IF(A157="","",--(COUNTIF($A$2:A157,A157)=1))</x:f>
      </x:c>
      <x:c r="P157" s="15" t="str">
        <x:f>IF(A157="","",--(COUNTIFS($A$2:A157,A157,$F$2:F157,F157)=1))</x:f>
      </x:c>
    </x:row>
    <x:row r="158">
      <x:c r="A158" s="18"/>
      <x:c r="O158" s="15" t="str">
        <x:f>IF(A158="","",--(COUNTIF($A$2:A158,A158)=1))</x:f>
      </x:c>
      <x:c r="P158" s="15" t="str">
        <x:f>IF(A158="","",--(COUNTIFS($A$2:A158,A158,$F$2:F158,F158)=1))</x:f>
      </x:c>
    </x:row>
    <x:row r="159">
      <x:c r="A159" s="18"/>
      <x:c r="O159" s="15" t="str">
        <x:f>IF(A159="","",--(COUNTIF($A$2:A159,A159)=1))</x:f>
      </x:c>
      <x:c r="P159" s="15" t="str">
        <x:f>IF(A159="","",--(COUNTIFS($A$2:A159,A159,$F$2:F159,F159)=1))</x:f>
      </x:c>
    </x:row>
    <x:row r="160">
      <x:c r="A160" s="18"/>
      <x:c r="O160" s="15" t="str">
        <x:f>IF(A160="","",--(COUNTIF($A$2:A160,A160)=1))</x:f>
      </x:c>
      <x:c r="P160" s="15" t="str">
        <x:f>IF(A160="","",--(COUNTIFS($A$2:A160,A160,$F$2:F160,F160)=1))</x:f>
      </x:c>
    </x:row>
    <x:row r="161">
      <x:c r="A161" s="18"/>
      <x:c r="O161" s="15" t="str">
        <x:f>IF(A161="","",--(COUNTIF($A$2:A161,A161)=1))</x:f>
      </x:c>
      <x:c r="P161" s="15" t="str">
        <x:f>IF(A161="","",--(COUNTIFS($A$2:A161,A161,$F$2:F161,F161)=1))</x:f>
      </x:c>
    </x:row>
    <x:row r="162">
      <x:c r="A162" s="18"/>
      <x:c r="O162" s="15" t="str">
        <x:f>IF(A162="","",--(COUNTIF($A$2:A162,A162)=1))</x:f>
      </x:c>
      <x:c r="P162" s="15" t="str">
        <x:f>IF(A162="","",--(COUNTIFS($A$2:A162,A162,$F$2:F162,F162)=1))</x:f>
      </x:c>
    </x:row>
    <x:row r="163">
      <x:c r="A163" s="18"/>
      <x:c r="O163" s="15" t="str">
        <x:f>IF(A163="","",--(COUNTIF($A$2:A163,A163)=1))</x:f>
      </x:c>
      <x:c r="P163" s="15" t="str">
        <x:f>IF(A163="","",--(COUNTIFS($A$2:A163,A163,$F$2:F163,F163)=1))</x:f>
      </x:c>
    </x:row>
    <x:row r="164">
      <x:c r="A164" s="18"/>
      <x:c r="O164" s="15" t="str">
        <x:f>IF(A164="","",--(COUNTIF($A$2:A164,A164)=1))</x:f>
      </x:c>
      <x:c r="P164" s="15" t="str">
        <x:f>IF(A164="","",--(COUNTIFS($A$2:A164,A164,$F$2:F164,F164)=1))</x:f>
      </x:c>
    </x:row>
    <x:row r="165">
      <x:c r="A165" s="18"/>
      <x:c r="O165" s="15" t="str">
        <x:f>IF(A165="","",--(COUNTIF($A$2:A165,A165)=1))</x:f>
      </x:c>
      <x:c r="P165" s="15" t="str">
        <x:f>IF(A165="","",--(COUNTIFS($A$2:A165,A165,$F$2:F165,F165)=1))</x:f>
      </x:c>
    </x:row>
    <x:row r="166">
      <x:c r="A166" s="18"/>
      <x:c r="O166" s="15" t="str">
        <x:f>IF(A166="","",--(COUNTIF($A$2:A166,A166)=1))</x:f>
      </x:c>
      <x:c r="P166" s="15" t="str">
        <x:f>IF(A166="","",--(COUNTIFS($A$2:A166,A166,$F$2:F166,F166)=1))</x:f>
      </x:c>
    </x:row>
    <x:row r="167">
      <x:c r="A167" s="18"/>
      <x:c r="O167" s="15" t="str">
        <x:f>IF(A167="","",--(COUNTIF($A$2:A167,A167)=1))</x:f>
      </x:c>
      <x:c r="P167" s="15" t="str">
        <x:f>IF(A167="","",--(COUNTIFS($A$2:A167,A167,$F$2:F167,F167)=1))</x:f>
      </x:c>
    </x:row>
    <x:row r="168">
      <x:c r="A168" s="18"/>
      <x:c r="O168" s="15" t="str">
        <x:f>IF(A168="","",--(COUNTIF($A$2:A168,A168)=1))</x:f>
      </x:c>
      <x:c r="P168" s="15" t="str">
        <x:f>IF(A168="","",--(COUNTIFS($A$2:A168,A168,$F$2:F168,F168)=1))</x:f>
      </x:c>
    </x:row>
    <x:row r="169">
      <x:c r="A169" s="18"/>
      <x:c r="O169" s="15" t="str">
        <x:f>IF(A169="","",--(COUNTIF($A$2:A169,A169)=1))</x:f>
      </x:c>
      <x:c r="P169" s="15" t="str">
        <x:f>IF(A169="","",--(COUNTIFS($A$2:A169,A169,$F$2:F169,F169)=1))</x:f>
      </x:c>
    </x:row>
    <x:row r="170">
      <x:c r="A170" s="18"/>
      <x:c r="O170" s="15" t="str">
        <x:f>IF(A170="","",--(COUNTIF($A$2:A170,A170)=1))</x:f>
      </x:c>
      <x:c r="P170" s="15" t="str">
        <x:f>IF(A170="","",--(COUNTIFS($A$2:A170,A170,$F$2:F170,F170)=1))</x:f>
      </x:c>
    </x:row>
    <x:row r="171">
      <x:c r="A171" s="18"/>
      <x:c r="O171" s="15" t="str">
        <x:f>IF(A171="","",--(COUNTIF($A$2:A171,A171)=1))</x:f>
      </x:c>
      <x:c r="P171" s="15" t="str">
        <x:f>IF(A171="","",--(COUNTIFS($A$2:A171,A171,$F$2:F171,F171)=1))</x:f>
      </x:c>
    </x:row>
    <x:row r="172">
      <x:c r="A172" s="18"/>
      <x:c r="O172" s="15" t="str">
        <x:f>IF(A172="","",--(COUNTIF($A$2:A172,A172)=1))</x:f>
      </x:c>
      <x:c r="P172" s="15" t="str">
        <x:f>IF(A172="","",--(COUNTIFS($A$2:A172,A172,$F$2:F172,F172)=1))</x:f>
      </x:c>
    </x:row>
    <x:row r="173">
      <x:c r="A173" s="18"/>
      <x:c r="O173" s="15" t="str">
        <x:f>IF(A173="","",--(COUNTIF($A$2:A173,A173)=1))</x:f>
      </x:c>
      <x:c r="P173" s="15" t="str">
        <x:f>IF(A173="","",--(COUNTIFS($A$2:A173,A173,$F$2:F173,F173)=1))</x:f>
      </x:c>
    </x:row>
    <x:row r="174">
      <x:c r="A174" s="18"/>
      <x:c r="O174" s="15" t="str">
        <x:f>IF(A174="","",--(COUNTIF($A$2:A174,A174)=1))</x:f>
      </x:c>
      <x:c r="P174" s="15" t="str">
        <x:f>IF(A174="","",--(COUNTIFS($A$2:A174,A174,$F$2:F174,F174)=1))</x:f>
      </x:c>
    </x:row>
    <x:row r="175">
      <x:c r="A175" s="18"/>
      <x:c r="O175" s="15" t="str">
        <x:f>IF(A175="","",--(COUNTIF($A$2:A175,A175)=1))</x:f>
      </x:c>
      <x:c r="P175" s="15" t="str">
        <x:f>IF(A175="","",--(COUNTIFS($A$2:A175,A175,$F$2:F175,F175)=1))</x:f>
      </x:c>
    </x:row>
    <x:row r="176">
      <x:c r="A176" s="18"/>
      <x:c r="O176" s="15" t="str">
        <x:f>IF(A176="","",--(COUNTIF($A$2:A176,A176)=1))</x:f>
      </x:c>
      <x:c r="P176" s="15" t="str">
        <x:f>IF(A176="","",--(COUNTIFS($A$2:A176,A176,$F$2:F176,F176)=1))</x:f>
      </x:c>
    </x:row>
    <x:row r="177">
      <x:c r="A177" s="18"/>
      <x:c r="O177" s="15" t="str">
        <x:f>IF(A177="","",--(COUNTIF($A$2:A177,A177)=1))</x:f>
      </x:c>
      <x:c r="P177" s="15" t="str">
        <x:f>IF(A177="","",--(COUNTIFS($A$2:A177,A177,$F$2:F177,F177)=1))</x:f>
      </x:c>
    </x:row>
    <x:row r="178">
      <x:c r="A178" s="18"/>
      <x:c r="O178" s="15" t="str">
        <x:f>IF(A178="","",--(COUNTIF($A$2:A178,A178)=1))</x:f>
      </x:c>
      <x:c r="P178" s="15" t="str">
        <x:f>IF(A178="","",--(COUNTIFS($A$2:A178,A178,$F$2:F178,F178)=1))</x:f>
      </x:c>
    </x:row>
    <x:row r="179">
      <x:c r="A179" s="18"/>
      <x:c r="O179" s="15" t="str">
        <x:f>IF(A179="","",--(COUNTIF($A$2:A179,A179)=1))</x:f>
      </x:c>
      <x:c r="P179" s="15" t="str">
        <x:f>IF(A179="","",--(COUNTIFS($A$2:A179,A179,$F$2:F179,F179)=1))</x:f>
      </x:c>
    </x:row>
    <x:row r="180">
      <x:c r="A180" s="18"/>
      <x:c r="O180" s="15" t="str">
        <x:f>IF(A180="","",--(COUNTIF($A$2:A180,A180)=1))</x:f>
      </x:c>
      <x:c r="P180" s="15" t="str">
        <x:f>IF(A180="","",--(COUNTIFS($A$2:A180,A180,$F$2:F180,F180)=1))</x:f>
      </x:c>
    </x:row>
    <x:row r="181">
      <x:c r="A181" s="18"/>
      <x:c r="O181" s="15" t="str">
        <x:f>IF(A181="","",--(COUNTIF($A$2:A181,A181)=1))</x:f>
      </x:c>
      <x:c r="P181" s="15" t="str">
        <x:f>IF(A181="","",--(COUNTIFS($A$2:A181,A181,$F$2:F181,F181)=1))</x:f>
      </x:c>
    </x:row>
    <x:row r="182">
      <x:c r="A182" s="18"/>
      <x:c r="O182" s="15" t="str">
        <x:f>IF(A182="","",--(COUNTIF($A$2:A182,A182)=1))</x:f>
      </x:c>
      <x:c r="P182" s="15" t="str">
        <x:f>IF(A182="","",--(COUNTIFS($A$2:A182,A182,$F$2:F182,F182)=1))</x:f>
      </x:c>
    </x:row>
    <x:row r="183">
      <x:c r="A183" s="18"/>
      <x:c r="O183" s="15" t="str">
        <x:f>IF(A183="","",--(COUNTIF($A$2:A183,A183)=1))</x:f>
      </x:c>
      <x:c r="P183" s="15" t="str">
        <x:f>IF(A183="","",--(COUNTIFS($A$2:A183,A183,$F$2:F183,F183)=1))</x:f>
      </x:c>
    </x:row>
    <x:row r="184">
      <x:c r="A184" s="18"/>
      <x:c r="O184" s="15" t="str">
        <x:f>IF(A184="","",--(COUNTIF($A$2:A184,A184)=1))</x:f>
      </x:c>
      <x:c r="P184" s="15" t="str">
        <x:f>IF(A184="","",--(COUNTIFS($A$2:A184,A184,$F$2:F184,F184)=1))</x:f>
      </x:c>
    </x:row>
    <x:row r="185">
      <x:c r="A185" s="18"/>
      <x:c r="O185" s="15" t="str">
        <x:f>IF(A185="","",--(COUNTIF($A$2:A185,A185)=1))</x:f>
      </x:c>
      <x:c r="P185" s="15" t="str">
        <x:f>IF(A185="","",--(COUNTIFS($A$2:A185,A185,$F$2:F185,F185)=1))</x:f>
      </x:c>
    </x:row>
    <x:row r="186">
      <x:c r="A186" s="18"/>
      <x:c r="O186" s="15" t="str">
        <x:f>IF(A186="","",--(COUNTIF($A$2:A186,A186)=1))</x:f>
      </x:c>
      <x:c r="P186" s="15" t="str">
        <x:f>IF(A186="","",--(COUNTIFS($A$2:A186,A186,$F$2:F186,F186)=1))</x:f>
      </x:c>
    </x:row>
    <x:row r="187">
      <x:c r="A187" s="18"/>
      <x:c r="O187" s="15" t="str">
        <x:f>IF(A187="","",--(COUNTIF($A$2:A187,A187)=1))</x:f>
      </x:c>
      <x:c r="P187" s="15" t="str">
        <x:f>IF(A187="","",--(COUNTIFS($A$2:A187,A187,$F$2:F187,F187)=1))</x:f>
      </x:c>
    </x:row>
    <x:row r="188">
      <x:c r="A188" s="18"/>
      <x:c r="O188" s="15" t="str">
        <x:f>IF(A188="","",--(COUNTIF($A$2:A188,A188)=1))</x:f>
      </x:c>
      <x:c r="P188" s="15" t="str">
        <x:f>IF(A188="","",--(COUNTIFS($A$2:A188,A188,$F$2:F188,F188)=1))</x:f>
      </x:c>
    </x:row>
    <x:row r="189">
      <x:c r="A189" s="18"/>
      <x:c r="O189" s="15" t="str">
        <x:f>IF(A189="","",--(COUNTIF($A$2:A189,A189)=1))</x:f>
      </x:c>
      <x:c r="P189" s="15" t="str">
        <x:f>IF(A189="","",--(COUNTIFS($A$2:A189,A189,$F$2:F189,F189)=1))</x:f>
      </x:c>
    </x:row>
    <x:row r="190">
      <x:c r="A190" s="18"/>
      <x:c r="O190" s="15" t="str">
        <x:f>IF(A190="","",--(COUNTIF($A$2:A190,A190)=1))</x:f>
      </x:c>
      <x:c r="P190" s="15" t="str">
        <x:f>IF(A190="","",--(COUNTIFS($A$2:A190,A190,$F$2:F190,F190)=1))</x:f>
      </x:c>
    </x:row>
    <x:row r="191">
      <x:c r="A191" s="18"/>
      <x:c r="O191" s="15" t="str">
        <x:f>IF(A191="","",--(COUNTIF($A$2:A191,A191)=1))</x:f>
      </x:c>
      <x:c r="P191" s="15" t="str">
        <x:f>IF(A191="","",--(COUNTIFS($A$2:A191,A191,$F$2:F191,F191)=1))</x:f>
      </x:c>
    </x:row>
    <x:row r="192">
      <x:c r="A192" s="18"/>
      <x:c r="O192" s="15" t="str">
        <x:f>IF(A192="","",--(COUNTIF($A$2:A192,A192)=1))</x:f>
      </x:c>
      <x:c r="P192" s="15" t="str">
        <x:f>IF(A192="","",--(COUNTIFS($A$2:A192,A192,$F$2:F192,F192)=1))</x:f>
      </x:c>
    </x:row>
    <x:row r="193">
      <x:c r="A193" s="18"/>
      <x:c r="O193" s="15" t="str">
        <x:f>IF(A193="","",--(COUNTIF($A$2:A193,A193)=1))</x:f>
      </x:c>
      <x:c r="P193" s="15" t="str">
        <x:f>IF(A193="","",--(COUNTIFS($A$2:A193,A193,$F$2:F193,F193)=1))</x:f>
      </x:c>
    </x:row>
    <x:row r="194">
      <x:c r="A194" s="18"/>
      <x:c r="O194" s="15" t="str">
        <x:f>IF(A194="","",--(COUNTIF($A$2:A194,A194)=1))</x:f>
      </x:c>
      <x:c r="P194" s="15" t="str">
        <x:f>IF(A194="","",--(COUNTIFS($A$2:A194,A194,$F$2:F194,F194)=1))</x:f>
      </x:c>
    </x:row>
    <x:row r="195">
      <x:c r="A195" s="18"/>
      <x:c r="O195" s="15" t="str">
        <x:f>IF(A195="","",--(COUNTIF($A$2:A195,A195)=1))</x:f>
      </x:c>
      <x:c r="P195" s="15" t="str">
        <x:f>IF(A195="","",--(COUNTIFS($A$2:A195,A195,$F$2:F195,F195)=1))</x:f>
      </x:c>
    </x:row>
    <x:row r="196">
      <x:c r="A196" s="18"/>
      <x:c r="O196" s="15" t="str">
        <x:f>IF(A196="","",--(COUNTIF($A$2:A196,A196)=1))</x:f>
      </x:c>
      <x:c r="P196" s="15" t="str">
        <x:f>IF(A196="","",--(COUNTIFS($A$2:A196,A196,$F$2:F196,F196)=1))</x:f>
      </x:c>
    </x:row>
    <x:row r="197">
      <x:c r="A197" s="18"/>
      <x:c r="O197" s="15" t="str">
        <x:f>IF(A197="","",--(COUNTIF($A$2:A197,A197)=1))</x:f>
      </x:c>
      <x:c r="P197" s="15" t="str">
        <x:f>IF(A197="","",--(COUNTIFS($A$2:A197,A197,$F$2:F197,F197)=1))</x:f>
      </x:c>
    </x:row>
    <x:row r="198">
      <x:c r="A198" s="18"/>
      <x:c r="O198" s="15" t="str">
        <x:f>IF(A198="","",--(COUNTIF($A$2:A198,A198)=1))</x:f>
      </x:c>
      <x:c r="P198" s="15" t="str">
        <x:f>IF(A198="","",--(COUNTIFS($A$2:A198,A198,$F$2:F198,F198)=1))</x:f>
      </x:c>
    </x:row>
    <x:row r="199">
      <x:c r="A199" s="18"/>
      <x:c r="O199" s="15" t="str">
        <x:f>IF(A199="","",--(COUNTIF($A$2:A199,A199)=1))</x:f>
      </x:c>
      <x:c r="P199" s="15" t="str">
        <x:f>IF(A199="","",--(COUNTIFS($A$2:A199,A199,$F$2:F199,F199)=1))</x:f>
      </x:c>
    </x:row>
    <x:row r="200">
      <x:c r="A200" s="18"/>
      <x:c r="O200" s="15" t="str">
        <x:f>IF(A200="","",--(COUNTIF($A$2:A200,A200)=1))</x:f>
      </x:c>
      <x:c r="P200" s="15" t="str">
        <x:f>IF(A200="","",--(COUNTIFS($A$2:A200,A200,$F$2:F200,F200)=1))</x:f>
      </x:c>
    </x:row>
    <x:row r="201">
      <x:c r="A201" s="18"/>
      <x:c r="O201" s="15" t="str">
        <x:f>IF(A201="","",--(COUNTIF($A$2:A201,A201)=1))</x:f>
      </x:c>
      <x:c r="P201" s="15" t="str">
        <x:f>IF(A201="","",--(COUNTIFS($A$2:A201,A201,$F$2:F201,F201)=1))</x:f>
      </x:c>
    </x:row>
    <x:row r="202">
      <x:c r="A202" s="18"/>
      <x:c r="O202" s="15" t="str">
        <x:f>IF(A202="","",--(COUNTIF($A$2:A202,A202)=1))</x:f>
      </x:c>
      <x:c r="P202" s="15" t="str">
        <x:f>IF(A202="","",--(COUNTIFS($A$2:A202,A202,$F$2:F202,F202)=1))</x:f>
      </x:c>
    </x:row>
    <x:row r="203">
      <x:c r="A203" s="18"/>
      <x:c r="O203" s="15" t="str">
        <x:f>IF(A203="","",--(COUNTIF($A$2:A203,A203)=1))</x:f>
      </x:c>
      <x:c r="P203" s="15" t="str">
        <x:f>IF(A203="","",--(COUNTIFS($A$2:A203,A203,$F$2:F203,F203)=1))</x:f>
      </x:c>
    </x:row>
    <x:row r="204">
      <x:c r="A204" s="18"/>
      <x:c r="O204" s="15" t="str">
        <x:f>IF(A204="","",--(COUNTIF($A$2:A204,A204)=1))</x:f>
      </x:c>
      <x:c r="P204" s="15" t="str">
        <x:f>IF(A204="","",--(COUNTIFS($A$2:A204,A204,$F$2:F204,F204)=1))</x:f>
      </x:c>
    </x:row>
    <x:row r="205">
      <x:c r="A205" s="18"/>
      <x:c r="O205" s="15" t="str">
        <x:f>IF(A205="","",--(COUNTIF($A$2:A205,A205)=1))</x:f>
      </x:c>
      <x:c r="P205" s="15" t="str">
        <x:f>IF(A205="","",--(COUNTIFS($A$2:A205,A205,$F$2:F205,F205)=1))</x:f>
      </x:c>
    </x:row>
    <x:row r="206">
      <x:c r="A206" s="18"/>
      <x:c r="O206" s="15" t="str">
        <x:f>IF(A206="","",--(COUNTIF($A$2:A206,A206)=1))</x:f>
      </x:c>
      <x:c r="P206" s="15" t="str">
        <x:f>IF(A206="","",--(COUNTIFS($A$2:A206,A206,$F$2:F206,F206)=1))</x:f>
      </x:c>
    </x:row>
    <x:row r="207">
      <x:c r="A207" s="18"/>
      <x:c r="O207" s="15" t="str">
        <x:f>IF(A207="","",--(COUNTIF($A$2:A207,A207)=1))</x:f>
      </x:c>
      <x:c r="P207" s="15" t="str">
        <x:f>IF(A207="","",--(COUNTIFS($A$2:A207,A207,$F$2:F207,F207)=1))</x:f>
      </x:c>
    </x:row>
    <x:row r="208">
      <x:c r="A208" s="18"/>
      <x:c r="O208" s="15" t="str">
        <x:f>IF(A208="","",--(COUNTIF($A$2:A208,A208)=1))</x:f>
      </x:c>
      <x:c r="P208" s="15" t="str">
        <x:f>IF(A208="","",--(COUNTIFS($A$2:A208,A208,$F$2:F208,F208)=1))</x:f>
      </x:c>
    </x:row>
    <x:row r="209">
      <x:c r="A209" s="18"/>
      <x:c r="O209" s="15" t="str">
        <x:f>IF(A209="","",--(COUNTIF($A$2:A209,A209)=1))</x:f>
      </x:c>
      <x:c r="P209" s="15" t="str">
        <x:f>IF(A209="","",--(COUNTIFS($A$2:A209,A209,$F$2:F209,F209)=1))</x:f>
      </x:c>
    </x:row>
    <x:row r="210">
      <x:c r="A210" s="18"/>
      <x:c r="O210" s="15" t="str">
        <x:f>IF(A210="","",--(COUNTIF($A$2:A210,A210)=1))</x:f>
      </x:c>
      <x:c r="P210" s="15" t="str">
        <x:f>IF(A210="","",--(COUNTIFS($A$2:A210,A210,$F$2:F210,F210)=1))</x:f>
      </x:c>
    </x:row>
    <x:row r="211">
      <x:c r="A211" s="18"/>
      <x:c r="O211" s="15" t="str">
        <x:f>IF(A211="","",--(COUNTIF($A$2:A211,A211)=1))</x:f>
      </x:c>
      <x:c r="P211" s="15" t="str">
        <x:f>IF(A211="","",--(COUNTIFS($A$2:A211,A211,$F$2:F211,F211)=1))</x:f>
      </x:c>
    </x:row>
    <x:row r="212">
      <x:c r="A212" s="18"/>
      <x:c r="O212" s="15" t="str">
        <x:f>IF(A212="","",--(COUNTIF($A$2:A212,A212)=1))</x:f>
      </x:c>
      <x:c r="P212" s="15" t="str">
        <x:f>IF(A212="","",--(COUNTIFS($A$2:A212,A212,$F$2:F212,F212)=1))</x:f>
      </x:c>
    </x:row>
    <x:row r="213">
      <x:c r="A213" s="18"/>
      <x:c r="O213" s="15" t="str">
        <x:f>IF(A213="","",--(COUNTIF($A$2:A213,A213)=1))</x:f>
      </x:c>
      <x:c r="P213" s="15" t="str">
        <x:f>IF(A213="","",--(COUNTIFS($A$2:A213,A213,$F$2:F213,F213)=1))</x:f>
      </x:c>
    </x:row>
    <x:row r="214">
      <x:c r="A214" s="18"/>
      <x:c r="O214" s="15" t="str">
        <x:f>IF(A214="","",--(COUNTIF($A$2:A214,A214)=1))</x:f>
      </x:c>
      <x:c r="P214" s="15" t="str">
        <x:f>IF(A214="","",--(COUNTIFS($A$2:A214,A214,$F$2:F214,F214)=1))</x:f>
      </x:c>
    </x:row>
    <x:row r="215">
      <x:c r="A215" s="18"/>
      <x:c r="O215" s="15" t="str">
        <x:f>IF(A215="","",--(COUNTIF($A$2:A215,A215)=1))</x:f>
      </x:c>
      <x:c r="P215" s="15" t="str">
        <x:f>IF(A215="","",--(COUNTIFS($A$2:A215,A215,$F$2:F215,F215)=1))</x:f>
      </x:c>
    </x:row>
    <x:row r="216">
      <x:c r="A216" s="18"/>
      <x:c r="O216" s="15" t="str">
        <x:f>IF(A216="","",--(COUNTIF($A$2:A216,A216)=1))</x:f>
      </x:c>
      <x:c r="P216" s="15" t="str">
        <x:f>IF(A216="","",--(COUNTIFS($A$2:A216,A216,$F$2:F216,F216)=1))</x:f>
      </x:c>
    </x:row>
    <x:row r="217">
      <x:c r="A217" s="18"/>
      <x:c r="O217" s="15" t="str">
        <x:f>IF(A217="","",--(COUNTIF($A$2:A217,A217)=1))</x:f>
      </x:c>
      <x:c r="P217" s="15" t="str">
        <x:f>IF(A217="","",--(COUNTIFS($A$2:A217,A217,$F$2:F217,F217)=1))</x:f>
      </x:c>
    </x:row>
    <x:row r="218">
      <x:c r="A218" s="18"/>
      <x:c r="O218" s="15" t="str">
        <x:f>IF(A218="","",--(COUNTIF($A$2:A218,A218)=1))</x:f>
      </x:c>
      <x:c r="P218" s="15" t="str">
        <x:f>IF(A218="","",--(COUNTIFS($A$2:A218,A218,$F$2:F218,F218)=1))</x:f>
      </x:c>
    </x:row>
    <x:row r="219">
      <x:c r="A219" s="18"/>
      <x:c r="O219" s="15" t="str">
        <x:f>IF(A219="","",--(COUNTIF($A$2:A219,A219)=1))</x:f>
      </x:c>
      <x:c r="P219" s="15" t="str">
        <x:f>IF(A219="","",--(COUNTIFS($A$2:A219,A219,$F$2:F219,F219)=1))</x:f>
      </x:c>
    </x:row>
    <x:row r="220">
      <x:c r="A220" s="18"/>
      <x:c r="O220" s="15" t="str">
        <x:f>IF(A220="","",--(COUNTIF($A$2:A220,A220)=1))</x:f>
      </x:c>
      <x:c r="P220" s="15" t="str">
        <x:f>IF(A220="","",--(COUNTIFS($A$2:A220,A220,$F$2:F220,F220)=1))</x:f>
      </x:c>
    </x:row>
    <x:row r="221">
      <x:c r="A221" s="18"/>
      <x:c r="O221" s="15" t="str">
        <x:f>IF(A221="","",--(COUNTIF($A$2:A221,A221)=1))</x:f>
      </x:c>
      <x:c r="P221" s="15" t="str">
        <x:f>IF(A221="","",--(COUNTIFS($A$2:A221,A221,$F$2:F221,F221)=1))</x:f>
      </x:c>
    </x:row>
    <x:row r="222">
      <x:c r="A222" s="18"/>
      <x:c r="O222" s="15" t="str">
        <x:f>IF(A222="","",--(COUNTIF($A$2:A222,A222)=1))</x:f>
      </x:c>
      <x:c r="P222" s="15" t="str">
        <x:f>IF(A222="","",--(COUNTIFS($A$2:A222,A222,$F$2:F222,F222)=1))</x:f>
      </x:c>
    </x:row>
    <x:row r="223">
      <x:c r="A223" s="18"/>
      <x:c r="O223" s="15" t="str">
        <x:f>IF(A223="","",--(COUNTIF($A$2:A223,A223)=1))</x:f>
      </x:c>
      <x:c r="P223" s="15" t="str">
        <x:f>IF(A223="","",--(COUNTIFS($A$2:A223,A223,$F$2:F223,F223)=1))</x:f>
      </x:c>
    </x:row>
    <x:row r="224">
      <x:c r="A224" s="18"/>
      <x:c r="O224" s="15" t="str">
        <x:f>IF(A224="","",--(COUNTIF($A$2:A224,A224)=1))</x:f>
      </x:c>
      <x:c r="P224" s="15" t="str">
        <x:f>IF(A224="","",--(COUNTIFS($A$2:A224,A224,$F$2:F224,F224)=1))</x:f>
      </x:c>
    </x:row>
    <x:row r="225">
      <x:c r="A225" s="18"/>
      <x:c r="O225" s="15" t="str">
        <x:f>IF(A225="","",--(COUNTIF($A$2:A225,A225)=1))</x:f>
      </x:c>
      <x:c r="P225" s="15" t="str">
        <x:f>IF(A225="","",--(COUNTIFS($A$2:A225,A225,$F$2:F225,F225)=1))</x:f>
      </x:c>
    </x:row>
    <x:row r="226">
      <x:c r="A226" s="18"/>
      <x:c r="O226" s="15" t="str">
        <x:f>IF(A226="","",--(COUNTIF($A$2:A226,A226)=1))</x:f>
      </x:c>
      <x:c r="P226" s="15" t="str">
        <x:f>IF(A226="","",--(COUNTIFS($A$2:A226,A226,$F$2:F226,F226)=1))</x:f>
      </x:c>
    </x:row>
    <x:row r="227">
      <x:c r="A227" s="18"/>
      <x:c r="O227" s="15" t="str">
        <x:f>IF(A227="","",--(COUNTIF($A$2:A227,A227)=1))</x:f>
      </x:c>
      <x:c r="P227" s="15" t="str">
        <x:f>IF(A227="","",--(COUNTIFS($A$2:A227,A227,$F$2:F227,F227)=1))</x:f>
      </x:c>
    </x:row>
    <x:row r="228">
      <x:c r="A228" s="18"/>
      <x:c r="O228" s="15" t="str">
        <x:f>IF(A228="","",--(COUNTIF($A$2:A228,A228)=1))</x:f>
      </x:c>
      <x:c r="P228" s="15" t="str">
        <x:f>IF(A228="","",--(COUNTIFS($A$2:A228,A228,$F$2:F228,F228)=1))</x:f>
      </x:c>
    </x:row>
    <x:row r="229">
      <x:c r="A229" s="18"/>
      <x:c r="O229" s="15" t="str">
        <x:f>IF(A229="","",--(COUNTIF($A$2:A229,A229)=1))</x:f>
      </x:c>
      <x:c r="P229" s="15" t="str">
        <x:f>IF(A229="","",--(COUNTIFS($A$2:A229,A229,$F$2:F229,F229)=1))</x:f>
      </x:c>
    </x:row>
    <x:row r="230">
      <x:c r="A230" s="18"/>
      <x:c r="O230" s="15" t="str">
        <x:f>IF(A230="","",--(COUNTIF($A$2:A230,A230)=1))</x:f>
      </x:c>
      <x:c r="P230" s="15" t="str">
        <x:f>IF(A230="","",--(COUNTIFS($A$2:A230,A230,$F$2:F230,F230)=1))</x:f>
      </x:c>
    </x:row>
    <x:row r="231">
      <x:c r="A231" s="18"/>
      <x:c r="O231" s="15" t="str">
        <x:f>IF(A231="","",--(COUNTIF($A$2:A231,A231)=1))</x:f>
      </x:c>
      <x:c r="P231" s="15" t="str">
        <x:f>IF(A231="","",--(COUNTIFS($A$2:A231,A231,$F$2:F231,F231)=1))</x:f>
      </x:c>
    </x:row>
    <x:row r="232">
      <x:c r="A232" s="18"/>
      <x:c r="O232" s="15" t="str">
        <x:f>IF(A232="","",--(COUNTIF($A$2:A232,A232)=1))</x:f>
      </x:c>
      <x:c r="P232" s="15" t="str">
        <x:f>IF(A232="","",--(COUNTIFS($A$2:A232,A232,$F$2:F232,F232)=1))</x:f>
      </x:c>
    </x:row>
    <x:row r="233">
      <x:c r="A233" s="18"/>
      <x:c r="O233" s="15" t="str">
        <x:f>IF(A233="","",--(COUNTIF($A$2:A233,A233)=1))</x:f>
      </x:c>
      <x:c r="P233" s="15" t="str">
        <x:f>IF(A233="","",--(COUNTIFS($A$2:A233,A233,$F$2:F233,F233)=1))</x:f>
      </x:c>
    </x:row>
    <x:row r="234">
      <x:c r="A234" s="18"/>
      <x:c r="O234" s="15" t="str">
        <x:f>IF(A234="","",--(COUNTIF($A$2:A234,A234)=1))</x:f>
      </x:c>
      <x:c r="P234" s="15" t="str">
        <x:f>IF(A234="","",--(COUNTIFS($A$2:A234,A234,$F$2:F234,F234)=1))</x:f>
      </x:c>
    </x:row>
    <x:row r="235">
      <x:c r="A235" s="18"/>
      <x:c r="O235" s="15" t="str">
        <x:f>IF(A235="","",--(COUNTIF($A$2:A235,A235)=1))</x:f>
      </x:c>
      <x:c r="P235" s="15" t="str">
        <x:f>IF(A235="","",--(COUNTIFS($A$2:A235,A235,$F$2:F235,F235)=1))</x:f>
      </x:c>
    </x:row>
    <x:row r="236">
      <x:c r="A236" s="18"/>
      <x:c r="O236" s="15" t="str">
        <x:f>IF(A236="","",--(COUNTIF($A$2:A236,A236)=1))</x:f>
      </x:c>
      <x:c r="P236" s="15" t="str">
        <x:f>IF(A236="","",--(COUNTIFS($A$2:A236,A236,$F$2:F236,F236)=1))</x:f>
      </x:c>
    </x:row>
    <x:row r="237">
      <x:c r="A237" s="18"/>
      <x:c r="O237" s="15" t="str">
        <x:f>IF(A237="","",--(COUNTIF($A$2:A237,A237)=1))</x:f>
      </x:c>
      <x:c r="P237" s="15" t="str">
        <x:f>IF(A237="","",--(COUNTIFS($A$2:A237,A237,$F$2:F237,F237)=1))</x:f>
      </x:c>
    </x:row>
    <x:row r="238">
      <x:c r="A238" s="18"/>
      <x:c r="O238" s="15" t="str">
        <x:f>IF(A238="","",--(COUNTIF($A$2:A238,A238)=1))</x:f>
      </x:c>
      <x:c r="P238" s="15" t="str">
        <x:f>IF(A238="","",--(COUNTIFS($A$2:A238,A238,$F$2:F238,F238)=1))</x:f>
      </x:c>
    </x:row>
    <x:row r="239">
      <x:c r="A239" s="18"/>
      <x:c r="O239" s="15" t="str">
        <x:f>IF(A239="","",--(COUNTIF($A$2:A239,A239)=1))</x:f>
      </x:c>
      <x:c r="P239" s="15" t="str">
        <x:f>IF(A239="","",--(COUNTIFS($A$2:A239,A239,$F$2:F239,F239)=1))</x:f>
      </x:c>
    </x:row>
    <x:row r="240">
      <x:c r="A240" s="18"/>
      <x:c r="O240" s="15" t="str">
        <x:f>IF(A240="","",--(COUNTIF($A$2:A240,A240)=1))</x:f>
      </x:c>
      <x:c r="P240" s="15" t="str">
        <x:f>IF(A240="","",--(COUNTIFS($A$2:A240,A240,$F$2:F240,F240)=1))</x:f>
      </x:c>
    </x:row>
    <x:row r="241">
      <x:c r="A241" s="18"/>
      <x:c r="O241" s="15" t="str">
        <x:f>IF(A241="","",--(COUNTIF($A$2:A241,A241)=1))</x:f>
      </x:c>
      <x:c r="P241" s="15" t="str">
        <x:f>IF(A241="","",--(COUNTIFS($A$2:A241,A241,$F$2:F241,F241)=1))</x:f>
      </x:c>
    </x:row>
    <x:row r="242">
      <x:c r="A242" s="18"/>
      <x:c r="O242" s="15" t="str">
        <x:f>IF(A242="","",--(COUNTIF($A$2:A242,A242)=1))</x:f>
      </x:c>
      <x:c r="P242" s="15" t="str">
        <x:f>IF(A242="","",--(COUNTIFS($A$2:A242,A242,$F$2:F242,F242)=1))</x:f>
      </x:c>
    </x:row>
    <x:row r="243">
      <x:c r="A243" s="18"/>
      <x:c r="O243" s="15" t="str">
        <x:f>IF(A243="","",--(COUNTIF($A$2:A243,A243)=1))</x:f>
      </x:c>
      <x:c r="P243" s="15" t="str">
        <x:f>IF(A243="","",--(COUNTIFS($A$2:A243,A243,$F$2:F243,F243)=1))</x:f>
      </x:c>
    </x:row>
    <x:row r="244">
      <x:c r="A244" s="18"/>
      <x:c r="O244" s="15" t="str">
        <x:f>IF(A244="","",--(COUNTIF($A$2:A244,A244)=1))</x:f>
      </x:c>
      <x:c r="P244" s="15" t="str">
        <x:f>IF(A244="","",--(COUNTIFS($A$2:A244,A244,$F$2:F244,F244)=1))</x:f>
      </x:c>
    </x:row>
    <x:row r="245">
      <x:c r="A245" s="18"/>
      <x:c r="O245" s="15" t="str">
        <x:f>IF(A245="","",--(COUNTIF($A$2:A245,A245)=1))</x:f>
      </x:c>
      <x:c r="P245" s="15" t="str">
        <x:f>IF(A245="","",--(COUNTIFS($A$2:A245,A245,$F$2:F245,F245)=1))</x:f>
      </x:c>
    </x:row>
    <x:row r="246">
      <x:c r="A246" s="18"/>
      <x:c r="O246" s="15" t="str">
        <x:f>IF(A246="","",--(COUNTIF($A$2:A246,A246)=1))</x:f>
      </x:c>
      <x:c r="P246" s="15" t="str">
        <x:f>IF(A246="","",--(COUNTIFS($A$2:A246,A246,$F$2:F246,F246)=1))</x:f>
      </x:c>
    </x:row>
    <x:row r="247">
      <x:c r="A247" s="18"/>
      <x:c r="O247" s="15" t="str">
        <x:f>IF(A247="","",--(COUNTIF($A$2:A247,A247)=1))</x:f>
      </x:c>
      <x:c r="P247" s="15" t="str">
        <x:f>IF(A247="","",--(COUNTIFS($A$2:A247,A247,$F$2:F247,F247)=1))</x:f>
      </x:c>
    </x:row>
    <x:row r="248">
      <x:c r="A248" s="18"/>
      <x:c r="O248" s="15" t="str">
        <x:f>IF(A248="","",--(COUNTIF($A$2:A248,A248)=1))</x:f>
      </x:c>
      <x:c r="P248" s="15" t="str">
        <x:f>IF(A248="","",--(COUNTIFS($A$2:A248,A248,$F$2:F248,F248)=1))</x:f>
      </x:c>
    </x:row>
    <x:row r="249">
      <x:c r="A249" s="18"/>
      <x:c r="O249" s="15" t="str">
        <x:f>IF(A249="","",--(COUNTIF($A$2:A249,A249)=1))</x:f>
      </x:c>
      <x:c r="P249" s="15" t="str">
        <x:f>IF(A249="","",--(COUNTIFS($A$2:A249,A249,$F$2:F249,F249)=1))</x:f>
      </x:c>
    </x:row>
    <x:row r="250">
      <x:c r="A250" s="18"/>
      <x:c r="O250" s="15" t="str">
        <x:f>IF(A250="","",--(COUNTIF($A$2:A250,A250)=1))</x:f>
      </x:c>
      <x:c r="P250" s="15" t="str">
        <x:f>IF(A250="","",--(COUNTIFS($A$2:A250,A250,$F$2:F250,F250)=1))</x:f>
      </x:c>
    </x:row>
    <x:row r="251">
      <x:c r="A251" s="18"/>
      <x:c r="O251" s="15" t="str">
        <x:f>IF(A251="","",--(COUNTIF($A$2:A251,A251)=1))</x:f>
      </x:c>
      <x:c r="P251" s="15" t="str">
        <x:f>IF(A251="","",--(COUNTIFS($A$2:A251,A251,$F$2:F251,F251)=1))</x:f>
      </x:c>
    </x:row>
    <x:row r="252">
      <x:c r="A252" s="18"/>
      <x:c r="O252" s="15" t="str">
        <x:f>IF(A252="","",--(COUNTIF($A$2:A252,A252)=1))</x:f>
      </x:c>
      <x:c r="P252" s="15" t="str">
        <x:f>IF(A252="","",--(COUNTIFS($A$2:A252,A252,$F$2:F252,F252)=1))</x:f>
      </x:c>
    </x:row>
    <x:row r="253">
      <x:c r="A253" s="18"/>
      <x:c r="O253" s="15" t="str">
        <x:f>IF(A253="","",--(COUNTIF($A$2:A253,A253)=1))</x:f>
      </x:c>
      <x:c r="P253" s="15" t="str">
        <x:f>IF(A253="","",--(COUNTIFS($A$2:A253,A253,$F$2:F253,F253)=1))</x:f>
      </x:c>
    </x:row>
    <x:row r="254">
      <x:c r="A254" s="18"/>
      <x:c r="O254" s="15" t="str">
        <x:f>IF(A254="","",--(COUNTIF($A$2:A254,A254)=1))</x:f>
      </x:c>
      <x:c r="P254" s="15" t="str">
        <x:f>IF(A254="","",--(COUNTIFS($A$2:A254,A254,$F$2:F254,F254)=1))</x:f>
      </x:c>
    </x:row>
    <x:row r="255">
      <x:c r="A255" s="18"/>
      <x:c r="O255" s="15" t="str">
        <x:f>IF(A255="","",--(COUNTIF($A$2:A255,A255)=1))</x:f>
      </x:c>
      <x:c r="P255" s="15" t="str">
        <x:f>IF(A255="","",--(COUNTIFS($A$2:A255,A255,$F$2:F255,F255)=1))</x:f>
      </x:c>
    </x:row>
    <x:row r="256">
      <x:c r="A256" s="18"/>
      <x:c r="O256" s="15" t="str">
        <x:f>IF(A256="","",--(COUNTIF($A$2:A256,A256)=1))</x:f>
      </x:c>
      <x:c r="P256" s="15" t="str">
        <x:f>IF(A256="","",--(COUNTIFS($A$2:A256,A256,$F$2:F256,F256)=1))</x:f>
      </x:c>
    </x:row>
    <x:row r="257">
      <x:c r="A257" s="18"/>
      <x:c r="O257" s="15" t="str">
        <x:f>IF(A257="","",--(COUNTIF($A$2:A257,A257)=1))</x:f>
      </x:c>
      <x:c r="P257" s="15" t="str">
        <x:f>IF(A257="","",--(COUNTIFS($A$2:A257,A257,$F$2:F257,F257)=1))</x:f>
      </x:c>
    </x:row>
    <x:row r="258">
      <x:c r="A258" s="18"/>
      <x:c r="O258" s="15" t="str">
        <x:f>IF(A258="","",--(COUNTIF($A$2:A258,A258)=1))</x:f>
      </x:c>
      <x:c r="P258" s="15" t="str">
        <x:f>IF(A258="","",--(COUNTIFS($A$2:A258,A258,$F$2:F258,F258)=1))</x:f>
      </x:c>
    </x:row>
    <x:row r="259">
      <x:c r="A259" s="18"/>
      <x:c r="O259" s="15" t="str">
        <x:f>IF(A259="","",--(COUNTIF($A$2:A259,A259)=1))</x:f>
      </x:c>
      <x:c r="P259" s="15" t="str">
        <x:f>IF(A259="","",--(COUNTIFS($A$2:A259,A259,$F$2:F259,F259)=1))</x:f>
      </x:c>
    </x:row>
    <x:row r="260">
      <x:c r="A260" s="18"/>
      <x:c r="O260" s="15" t="str">
        <x:f>IF(A260="","",--(COUNTIF($A$2:A260,A260)=1))</x:f>
      </x:c>
      <x:c r="P260" s="15" t="str">
        <x:f>IF(A260="","",--(COUNTIFS($A$2:A260,A260,$F$2:F260,F260)=1))</x:f>
      </x:c>
    </x:row>
    <x:row r="261">
      <x:c r="A261" s="18"/>
      <x:c r="O261" s="15" t="str">
        <x:f>IF(A261="","",--(COUNTIF($A$2:A261,A261)=1))</x:f>
      </x:c>
      <x:c r="P261" s="15" t="str">
        <x:f>IF(A261="","",--(COUNTIFS($A$2:A261,A261,$F$2:F261,F261)=1))</x:f>
      </x:c>
    </x:row>
    <x:row r="262">
      <x:c r="A262" s="18"/>
      <x:c r="O262" s="15" t="str">
        <x:f>IF(A262="","",--(COUNTIF($A$2:A262,A262)=1))</x:f>
      </x:c>
      <x:c r="P262" s="15" t="str">
        <x:f>IF(A262="","",--(COUNTIFS($A$2:A262,A262,$F$2:F262,F262)=1))</x:f>
      </x:c>
    </x:row>
    <x:row r="263">
      <x:c r="A263" s="18"/>
      <x:c r="O263" s="15" t="str">
        <x:f>IF(A263="","",--(COUNTIF($A$2:A263,A263)=1))</x:f>
      </x:c>
      <x:c r="P263" s="15" t="str">
        <x:f>IF(A263="","",--(COUNTIFS($A$2:A263,A263,$F$2:F263,F263)=1))</x:f>
      </x:c>
    </x:row>
    <x:row r="264">
      <x:c r="A264" s="18"/>
      <x:c r="O264" s="15" t="str">
        <x:f>IF(A264="","",--(COUNTIF($A$2:A264,A264)=1))</x:f>
      </x:c>
      <x:c r="P264" s="15" t="str">
        <x:f>IF(A264="","",--(COUNTIFS($A$2:A264,A264,$F$2:F264,F264)=1))</x:f>
      </x:c>
    </x:row>
    <x:row r="265">
      <x:c r="A265" s="18"/>
      <x:c r="O265" s="15" t="str">
        <x:f>IF(A265="","",--(COUNTIF($A$2:A265,A265)=1))</x:f>
      </x:c>
      <x:c r="P265" s="15" t="str">
        <x:f>IF(A265="","",--(COUNTIFS($A$2:A265,A265,$F$2:F265,F265)=1))</x:f>
      </x:c>
    </x:row>
    <x:row r="266">
      <x:c r="A266" s="18"/>
      <x:c r="O266" s="15" t="str">
        <x:f>IF(A266="","",--(COUNTIF($A$2:A266,A266)=1))</x:f>
      </x:c>
      <x:c r="P266" s="15" t="str">
        <x:f>IF(A266="","",--(COUNTIFS($A$2:A266,A266,$F$2:F266,F266)=1))</x:f>
      </x:c>
    </x:row>
    <x:row r="267">
      <x:c r="A267" s="18"/>
      <x:c r="O267" s="15" t="str">
        <x:f>IF(A267="","",--(COUNTIF($A$2:A267,A267)=1))</x:f>
      </x:c>
      <x:c r="P267" s="15" t="str">
        <x:f>IF(A267="","",--(COUNTIFS($A$2:A267,A267,$F$2:F267,F267)=1))</x:f>
      </x:c>
    </x:row>
    <x:row r="268">
      <x:c r="A268" s="18"/>
      <x:c r="O268" s="15" t="str">
        <x:f>IF(A268="","",--(COUNTIF($A$2:A268,A268)=1))</x:f>
      </x:c>
      <x:c r="P268" s="15" t="str">
        <x:f>IF(A268="","",--(COUNTIFS($A$2:A268,A268,$F$2:F268,F268)=1))</x:f>
      </x:c>
    </x:row>
    <x:row r="269">
      <x:c r="A269" s="18"/>
      <x:c r="O269" s="15" t="str">
        <x:f>IF(A269="","",--(COUNTIF($A$2:A269,A269)=1))</x:f>
      </x:c>
      <x:c r="P269" s="15" t="str">
        <x:f>IF(A269="","",--(COUNTIFS($A$2:A269,A269,$F$2:F269,F269)=1))</x:f>
      </x:c>
    </x:row>
    <x:row r="270">
      <x:c r="A270" s="18"/>
      <x:c r="O270" s="15" t="str">
        <x:f>IF(A270="","",--(COUNTIF($A$2:A270,A270)=1))</x:f>
      </x:c>
      <x:c r="P270" s="15" t="str">
        <x:f>IF(A270="","",--(COUNTIFS($A$2:A270,A270,$F$2:F270,F270)=1))</x:f>
      </x:c>
    </x:row>
    <x:row r="271">
      <x:c r="A271" s="18"/>
      <x:c r="O271" s="15" t="str">
        <x:f>IF(A271="","",--(COUNTIF($A$2:A271,A271)=1))</x:f>
      </x:c>
      <x:c r="P271" s="15" t="str">
        <x:f>IF(A271="","",--(COUNTIFS($A$2:A271,A271,$F$2:F271,F271)=1))</x:f>
      </x:c>
    </x:row>
    <x:row r="272">
      <x:c r="A272" s="18"/>
      <x:c r="O272" s="15" t="str">
        <x:f>IF(A272="","",--(COUNTIF($A$2:A272,A272)=1))</x:f>
      </x:c>
      <x:c r="P272" s="15" t="str">
        <x:f>IF(A272="","",--(COUNTIFS($A$2:A272,A272,$F$2:F272,F272)=1))</x:f>
      </x:c>
    </x:row>
    <x:row r="273">
      <x:c r="A273" s="18"/>
      <x:c r="O273" s="15" t="str">
        <x:f>IF(A273="","",--(COUNTIF($A$2:A273,A273)=1))</x:f>
      </x:c>
      <x:c r="P273" s="15" t="str">
        <x:f>IF(A273="","",--(COUNTIFS($A$2:A273,A273,$F$2:F273,F273)=1))</x:f>
      </x:c>
    </x:row>
    <x:row r="274">
      <x:c r="A274" s="18"/>
      <x:c r="O274" s="15" t="str">
        <x:f>IF(A274="","",--(COUNTIF($A$2:A274,A274)=1))</x:f>
      </x:c>
      <x:c r="P274" s="15" t="str">
        <x:f>IF(A274="","",--(COUNTIFS($A$2:A274,A274,$F$2:F274,F274)=1))</x:f>
      </x:c>
    </x:row>
    <x:row r="275">
      <x:c r="A275" s="18"/>
      <x:c r="O275" s="15" t="str">
        <x:f>IF(A275="","",--(COUNTIF($A$2:A275,A275)=1))</x:f>
      </x:c>
      <x:c r="P275" s="15" t="str">
        <x:f>IF(A275="","",--(COUNTIFS($A$2:A275,A275,$F$2:F275,F275)=1))</x:f>
      </x:c>
    </x:row>
    <x:row r="276">
      <x:c r="A276" s="18"/>
      <x:c r="O276" s="15" t="str">
        <x:f>IF(A276="","",--(COUNTIF($A$2:A276,A276)=1))</x:f>
      </x:c>
      <x:c r="P276" s="15" t="str">
        <x:f>IF(A276="","",--(COUNTIFS($A$2:A276,A276,$F$2:F276,F276)=1))</x:f>
      </x:c>
    </x:row>
    <x:row r="277">
      <x:c r="A277" s="18"/>
      <x:c r="O277" s="15" t="str">
        <x:f>IF(A277="","",--(COUNTIF($A$2:A277,A277)=1))</x:f>
      </x:c>
      <x:c r="P277" s="15" t="str">
        <x:f>IF(A277="","",--(COUNTIFS($A$2:A277,A277,$F$2:F277,F277)=1))</x:f>
      </x:c>
    </x:row>
    <x:row r="278">
      <x:c r="A278" s="18"/>
      <x:c r="O278" s="15" t="str">
        <x:f>IF(A278="","",--(COUNTIF($A$2:A278,A278)=1))</x:f>
      </x:c>
      <x:c r="P278" s="15" t="str">
        <x:f>IF(A278="","",--(COUNTIFS($A$2:A278,A278,$F$2:F278,F278)=1))</x:f>
      </x:c>
    </x:row>
    <x:row r="279">
      <x:c r="A279" s="18"/>
      <x:c r="O279" s="15" t="str">
        <x:f>IF(A279="","",--(COUNTIF($A$2:A279,A279)=1))</x:f>
      </x:c>
      <x:c r="P279" s="15" t="str">
        <x:f>IF(A279="","",--(COUNTIFS($A$2:A279,A279,$F$2:F279,F279)=1))</x:f>
      </x:c>
    </x:row>
    <x:row r="280">
      <x:c r="A280" s="18"/>
      <x:c r="O280" s="15" t="str">
        <x:f>IF(A280="","",--(COUNTIF($A$2:A280,A280)=1))</x:f>
      </x:c>
      <x:c r="P280" s="15" t="str">
        <x:f>IF(A280="","",--(COUNTIFS($A$2:A280,A280,$F$2:F280,F280)=1))</x:f>
      </x:c>
    </x:row>
    <x:row r="281">
      <x:c r="A281" s="18"/>
      <x:c r="O281" s="15" t="str">
        <x:f>IF(A281="","",--(COUNTIF($A$2:A281,A281)=1))</x:f>
      </x:c>
      <x:c r="P281" s="15" t="str">
        <x:f>IF(A281="","",--(COUNTIFS($A$2:A281,A281,$F$2:F281,F281)=1))</x:f>
      </x:c>
    </x:row>
    <x:row r="282">
      <x:c r="A282" s="18"/>
      <x:c r="O282" s="15" t="str">
        <x:f>IF(A282="","",--(COUNTIF($A$2:A282,A282)=1))</x:f>
      </x:c>
      <x:c r="P282" s="15" t="str">
        <x:f>IF(A282="","",--(COUNTIFS($A$2:A282,A282,$F$2:F282,F282)=1))</x:f>
      </x:c>
    </x:row>
    <x:row r="283">
      <x:c r="A283" s="18"/>
      <x:c r="O283" s="15" t="str">
        <x:f>IF(A283="","",--(COUNTIF($A$2:A283,A283)=1))</x:f>
      </x:c>
      <x:c r="P283" s="15" t="str">
        <x:f>IF(A283="","",--(COUNTIFS($A$2:A283,A283,$F$2:F283,F283)=1))</x:f>
      </x:c>
    </x:row>
    <x:row r="284">
      <x:c r="A284" s="18"/>
      <x:c r="O284" s="15" t="str">
        <x:f>IF(A284="","",--(COUNTIF($A$2:A284,A284)=1))</x:f>
      </x:c>
      <x:c r="P284" s="15" t="str">
        <x:f>IF(A284="","",--(COUNTIFS($A$2:A284,A284,$F$2:F284,F284)=1))</x:f>
      </x:c>
    </x:row>
    <x:row r="285">
      <x:c r="A285" s="18"/>
      <x:c r="O285" s="15" t="str">
        <x:f>IF(A285="","",--(COUNTIF($A$2:A285,A285)=1))</x:f>
      </x:c>
      <x:c r="P285" s="15" t="str">
        <x:f>IF(A285="","",--(COUNTIFS($A$2:A285,A285,$F$2:F285,F285)=1))</x:f>
      </x:c>
    </x:row>
    <x:row r="286">
      <x:c r="A286" s="18"/>
      <x:c r="O286" s="15" t="str">
        <x:f>IF(A286="","",--(COUNTIF($A$2:A286,A286)=1))</x:f>
      </x:c>
      <x:c r="P286" s="15" t="str">
        <x:f>IF(A286="","",--(COUNTIFS($A$2:A286,A286,$F$2:F286,F286)=1))</x:f>
      </x:c>
    </x:row>
    <x:row r="287">
      <x:c r="A287" s="18"/>
      <x:c r="O287" s="15" t="str">
        <x:f>IF(A287="","",--(COUNTIF($A$2:A287,A287)=1))</x:f>
      </x:c>
      <x:c r="P287" s="15" t="str">
        <x:f>IF(A287="","",--(COUNTIFS($A$2:A287,A287,$F$2:F287,F287)=1))</x:f>
      </x:c>
    </x:row>
    <x:row r="288">
      <x:c r="A288" s="18"/>
      <x:c r="O288" s="15" t="str">
        <x:f>IF(A288="","",--(COUNTIF($A$2:A288,A288)=1))</x:f>
      </x:c>
      <x:c r="P288" s="15" t="str">
        <x:f>IF(A288="","",--(COUNTIFS($A$2:A288,A288,$F$2:F288,F288)=1))</x:f>
      </x:c>
    </x:row>
    <x:row r="289">
      <x:c r="A289" s="18"/>
      <x:c r="O289" s="15" t="str">
        <x:f>IF(A289="","",--(COUNTIF($A$2:A289,A289)=1))</x:f>
      </x:c>
      <x:c r="P289" s="15" t="str">
        <x:f>IF(A289="","",--(COUNTIFS($A$2:A289,A289,$F$2:F289,F289)=1))</x:f>
      </x:c>
    </x:row>
    <x:row r="290">
      <x:c r="A290" s="18"/>
      <x:c r="O290" s="15" t="str">
        <x:f>IF(A290="","",--(COUNTIF($A$2:A290,A290)=1))</x:f>
      </x:c>
      <x:c r="P290" s="15" t="str">
        <x:f>IF(A290="","",--(COUNTIFS($A$2:A290,A290,$F$2:F290,F290)=1))</x:f>
      </x:c>
    </x:row>
    <x:row r="291">
      <x:c r="A291" s="18"/>
      <x:c r="O291" s="15" t="str">
        <x:f>IF(A291="","",--(COUNTIF($A$2:A291,A291)=1))</x:f>
      </x:c>
      <x:c r="P291" s="15" t="str">
        <x:f>IF(A291="","",--(COUNTIFS($A$2:A291,A291,$F$2:F291,F291)=1))</x:f>
      </x:c>
    </x:row>
    <x:row r="292">
      <x:c r="A292" s="18"/>
      <x:c r="O292" s="15" t="str">
        <x:f>IF(A292="","",--(COUNTIF($A$2:A292,A292)=1))</x:f>
      </x:c>
      <x:c r="P292" s="15" t="str">
        <x:f>IF(A292="","",--(COUNTIFS($A$2:A292,A292,$F$2:F292,F292)=1))</x:f>
      </x:c>
    </x:row>
    <x:row r="293">
      <x:c r="A293" s="18"/>
      <x:c r="O293" s="15" t="str">
        <x:f>IF(A293="","",--(COUNTIF($A$2:A293,A293)=1))</x:f>
      </x:c>
      <x:c r="P293" s="15" t="str">
        <x:f>IF(A293="","",--(COUNTIFS($A$2:A293,A293,$F$2:F293,F293)=1))</x:f>
      </x:c>
    </x:row>
    <x:row r="294">
      <x:c r="A294" s="18"/>
      <x:c r="O294" s="15" t="str">
        <x:f>IF(A294="","",--(COUNTIF($A$2:A294,A294)=1))</x:f>
      </x:c>
      <x:c r="P294" s="15" t="str">
        <x:f>IF(A294="","",--(COUNTIFS($A$2:A294,A294,$F$2:F294,F294)=1))</x:f>
      </x:c>
    </x:row>
    <x:row r="295">
      <x:c r="A295" s="18"/>
      <x:c r="O295" s="15" t="str">
        <x:f>IF(A295="","",--(COUNTIF($A$2:A295,A295)=1))</x:f>
      </x:c>
      <x:c r="P295" s="15" t="str">
        <x:f>IF(A295="","",--(COUNTIFS($A$2:A295,A295,$F$2:F295,F295)=1))</x:f>
      </x:c>
    </x:row>
    <x:row r="296">
      <x:c r="A296" s="18"/>
      <x:c r="O296" s="15" t="str">
        <x:f>IF(A296="","",--(COUNTIF($A$2:A296,A296)=1))</x:f>
      </x:c>
      <x:c r="P296" s="15" t="str">
        <x:f>IF(A296="","",--(COUNTIFS($A$2:A296,A296,$F$2:F296,F296)=1))</x:f>
      </x:c>
    </x:row>
    <x:row r="297">
      <x:c r="A297" s="18"/>
      <x:c r="O297" s="15" t="str">
        <x:f>IF(A297="","",--(COUNTIF($A$2:A297,A297)=1))</x:f>
      </x:c>
      <x:c r="P297" s="15" t="str">
        <x:f>IF(A297="","",--(COUNTIFS($A$2:A297,A297,$F$2:F297,F297)=1))</x:f>
      </x:c>
    </x:row>
    <x:row r="298">
      <x:c r="A298" s="18"/>
      <x:c r="O298" s="15" t="str">
        <x:f>IF(A298="","",--(COUNTIF($A$2:A298,A298)=1))</x:f>
      </x:c>
      <x:c r="P298" s="15" t="str">
        <x:f>IF(A298="","",--(COUNTIFS($A$2:A298,A298,$F$2:F298,F298)=1))</x:f>
      </x:c>
    </x:row>
    <x:row r="299">
      <x:c r="A299" s="18"/>
      <x:c r="O299" s="15" t="str">
        <x:f>IF(A299="","",--(COUNTIF($A$2:A299,A299)=1))</x:f>
      </x:c>
      <x:c r="P299" s="15" t="str">
        <x:f>IF(A299="","",--(COUNTIFS($A$2:A299,A299,$F$2:F299,F299)=1))</x:f>
      </x:c>
    </x:row>
    <x:row r="300">
      <x:c r="A300" s="18"/>
      <x:c r="O300" s="15" t="str">
        <x:f>IF(A300="","",--(COUNTIF($A$2:A300,A300)=1))</x:f>
      </x:c>
      <x:c r="P300" s="15" t="str">
        <x:f>IF(A300="","",--(COUNTIFS($A$2:A300,A300,$F$2:F300,F300)=1))</x:f>
      </x:c>
    </x:row>
    <x:row r="301">
      <x:c r="A301" s="18"/>
      <x:c r="O301" s="15" t="str">
        <x:f>IF(A301="","",--(COUNTIF($A$2:A301,A301)=1))</x:f>
      </x:c>
      <x:c r="P301" s="15" t="str">
        <x:f>IF(A301="","",--(COUNTIFS($A$2:A301,A301,$F$2:F301,F301)=1))</x:f>
      </x:c>
    </x:row>
    <x:row r="302">
      <x:c r="A302" s="18"/>
      <x:c r="O302" s="15" t="str">
        <x:f>IF(A302="","",--(COUNTIF($A$2:A302,A302)=1))</x:f>
      </x:c>
      <x:c r="P302" s="15" t="str">
        <x:f>IF(A302="","",--(COUNTIFS($A$2:A302,A302,$F$2:F302,F302)=1))</x:f>
      </x:c>
    </x:row>
    <x:row r="303">
      <x:c r="A303" s="18"/>
      <x:c r="O303" s="15" t="str">
        <x:f>IF(A303="","",--(COUNTIF($A$2:A303,A303)=1))</x:f>
      </x:c>
      <x:c r="P303" s="15" t="str">
        <x:f>IF(A303="","",--(COUNTIFS($A$2:A303,A303,$F$2:F303,F303)=1))</x:f>
      </x:c>
    </x:row>
    <x:row r="304">
      <x:c r="A304" s="18"/>
      <x:c r="O304" s="15" t="str">
        <x:f>IF(A304="","",--(COUNTIF($A$2:A304,A304)=1))</x:f>
      </x:c>
      <x:c r="P304" s="15" t="str">
        <x:f>IF(A304="","",--(COUNTIFS($A$2:A304,A304,$F$2:F304,F304)=1))</x:f>
      </x:c>
    </x:row>
    <x:row r="305">
      <x:c r="A305" s="18"/>
      <x:c r="O305" s="15" t="str">
        <x:f>IF(A305="","",--(COUNTIF($A$2:A305,A305)=1))</x:f>
      </x:c>
      <x:c r="P305" s="15" t="str">
        <x:f>IF(A305="","",--(COUNTIFS($A$2:A305,A305,$F$2:F305,F305)=1))</x:f>
      </x:c>
    </x:row>
    <x:row r="306">
      <x:c r="A306" s="18"/>
      <x:c r="O306" s="15" t="str">
        <x:f>IF(A306="","",--(COUNTIF($A$2:A306,A306)=1))</x:f>
      </x:c>
      <x:c r="P306" s="15" t="str">
        <x:f>IF(A306="","",--(COUNTIFS($A$2:A306,A306,$F$2:F306,F306)=1))</x:f>
      </x:c>
    </x:row>
    <x:row r="307">
      <x:c r="A307" s="18"/>
      <x:c r="O307" s="15" t="str">
        <x:f>IF(A307="","",--(COUNTIF($A$2:A307,A307)=1))</x:f>
      </x:c>
      <x:c r="P307" s="15" t="str">
        <x:f>IF(A307="","",--(COUNTIFS($A$2:A307,A307,$F$2:F307,F307)=1))</x:f>
      </x:c>
    </x:row>
    <x:row r="308">
      <x:c r="A308" s="18"/>
      <x:c r="O308" s="15" t="str">
        <x:f>IF(A308="","",--(COUNTIF($A$2:A308,A308)=1))</x:f>
      </x:c>
      <x:c r="P308" s="15" t="str">
        <x:f>IF(A308="","",--(COUNTIFS($A$2:A308,A308,$F$2:F308,F308)=1))</x:f>
      </x:c>
    </x:row>
    <x:row r="309">
      <x:c r="A309" s="18"/>
      <x:c r="O309" s="15" t="str">
        <x:f>IF(A309="","",--(COUNTIF($A$2:A309,A309)=1))</x:f>
      </x:c>
      <x:c r="P309" s="15" t="str">
        <x:f>IF(A309="","",--(COUNTIFS($A$2:A309,A309,$F$2:F309,F309)=1))</x:f>
      </x:c>
    </x:row>
    <x:row r="310">
      <x:c r="A310" s="18"/>
      <x:c r="O310" s="15" t="str">
        <x:f>IF(A310="","",--(COUNTIF($A$2:A310,A310)=1))</x:f>
      </x:c>
      <x:c r="P310" s="15" t="str">
        <x:f>IF(A310="","",--(COUNTIFS($A$2:A310,A310,$F$2:F310,F310)=1))</x:f>
      </x:c>
    </x:row>
    <x:row r="311">
      <x:c r="A311" s="18"/>
      <x:c r="O311" s="15" t="str">
        <x:f>IF(A311="","",--(COUNTIF($A$2:A311,A311)=1))</x:f>
      </x:c>
      <x:c r="P311" s="15" t="str">
        <x:f>IF(A311="","",--(COUNTIFS($A$2:A311,A311,$F$2:F311,F311)=1))</x:f>
      </x:c>
    </x:row>
    <x:row r="312">
      <x:c r="A312" s="18"/>
      <x:c r="O312" s="15" t="str">
        <x:f>IF(A312="","",--(COUNTIF($A$2:A312,A312)=1))</x:f>
      </x:c>
      <x:c r="P312" s="15" t="str">
        <x:f>IF(A312="","",--(COUNTIFS($A$2:A312,A312,$F$2:F312,F312)=1))</x:f>
      </x:c>
    </x:row>
    <x:row r="313">
      <x:c r="A313" s="18"/>
      <x:c r="O313" s="15" t="str">
        <x:f>IF(A313="","",--(COUNTIF($A$2:A313,A313)=1))</x:f>
      </x:c>
      <x:c r="P313" s="15" t="str">
        <x:f>IF(A313="","",--(COUNTIFS($A$2:A313,A313,$F$2:F313,F313)=1))</x:f>
      </x:c>
    </x:row>
    <x:row r="314">
      <x:c r="A314" s="18"/>
      <x:c r="O314" s="15" t="str">
        <x:f>IF(A314="","",--(COUNTIF($A$2:A314,A314)=1))</x:f>
      </x:c>
      <x:c r="P314" s="15" t="str">
        <x:f>IF(A314="","",--(COUNTIFS($A$2:A314,A314,$F$2:F314,F314)=1))</x:f>
      </x:c>
    </x:row>
    <x:row r="315">
      <x:c r="A315" s="18"/>
      <x:c r="O315" s="15" t="str">
        <x:f>IF(A315="","",--(COUNTIF($A$2:A315,A315)=1))</x:f>
      </x:c>
      <x:c r="P315" s="15" t="str">
        <x:f>IF(A315="","",--(COUNTIFS($A$2:A315,A315,$F$2:F315,F315)=1))</x:f>
      </x:c>
    </x:row>
    <x:row r="316">
      <x:c r="A316" s="18"/>
      <x:c r="O316" s="15" t="str">
        <x:f>IF(A316="","",--(COUNTIF($A$2:A316,A316)=1))</x:f>
      </x:c>
      <x:c r="P316" s="15" t="str">
        <x:f>IF(A316="","",--(COUNTIFS($A$2:A316,A316,$F$2:F316,F316)=1))</x:f>
      </x:c>
    </x:row>
    <x:row r="317">
      <x:c r="A317" s="18"/>
      <x:c r="O317" s="15" t="str">
        <x:f>IF(A317="","",--(COUNTIF($A$2:A317,A317)=1))</x:f>
      </x:c>
      <x:c r="P317" s="15" t="str">
        <x:f>IF(A317="","",--(COUNTIFS($A$2:A317,A317,$F$2:F317,F317)=1))</x:f>
      </x:c>
    </x:row>
    <x:row r="318">
      <x:c r="A318" s="18"/>
      <x:c r="O318" s="15" t="str">
        <x:f>IF(A318="","",--(COUNTIF($A$2:A318,A318)=1))</x:f>
      </x:c>
      <x:c r="P318" s="15" t="str">
        <x:f>IF(A318="","",--(COUNTIFS($A$2:A318,A318,$F$2:F318,F318)=1))</x:f>
      </x:c>
    </x:row>
    <x:row r="319">
      <x:c r="A319" s="18"/>
      <x:c r="O319" s="15" t="str">
        <x:f>IF(A319="","",--(COUNTIF($A$2:A319,A319)=1))</x:f>
      </x:c>
      <x:c r="P319" s="15" t="str">
        <x:f>IF(A319="","",--(COUNTIFS($A$2:A319,A319,$F$2:F319,F319)=1))</x:f>
      </x:c>
    </x:row>
    <x:row r="320">
      <x:c r="A320" s="18"/>
      <x:c r="O320" s="15" t="str">
        <x:f>IF(A320="","",--(COUNTIF($A$2:A320,A320)=1))</x:f>
      </x:c>
      <x:c r="P320" s="15" t="str">
        <x:f>IF(A320="","",--(COUNTIFS($A$2:A320,A320,$F$2:F320,F320)=1))</x:f>
      </x:c>
    </x:row>
    <x:row r="321">
      <x:c r="A321" s="18"/>
      <x:c r="O321" s="15" t="str">
        <x:f>IF(A321="","",--(COUNTIF($A$2:A321,A321)=1))</x:f>
      </x:c>
      <x:c r="P321" s="15" t="str">
        <x:f>IF(A321="","",--(COUNTIFS($A$2:A321,A321,$F$2:F321,F321)=1))</x:f>
      </x:c>
    </x:row>
    <x:row r="322">
      <x:c r="A322" s="18"/>
      <x:c r="O322" s="15" t="str">
        <x:f>IF(A322="","",--(COUNTIF($A$2:A322,A322)=1))</x:f>
      </x:c>
      <x:c r="P322" s="15" t="str">
        <x:f>IF(A322="","",--(COUNTIFS($A$2:A322,A322,$F$2:F322,F322)=1))</x:f>
      </x:c>
    </x:row>
    <x:row r="323">
      <x:c r="A323" s="18"/>
      <x:c r="O323" s="15" t="str">
        <x:f>IF(A323="","",--(COUNTIF($A$2:A323,A323)=1))</x:f>
      </x:c>
      <x:c r="P323" s="15" t="str">
        <x:f>IF(A323="","",--(COUNTIFS($A$2:A323,A323,$F$2:F323,F323)=1))</x:f>
      </x:c>
    </x:row>
    <x:row r="324">
      <x:c r="A324" s="18"/>
      <x:c r="O324" s="15" t="str">
        <x:f>IF(A324="","",--(COUNTIF($A$2:A324,A324)=1))</x:f>
      </x:c>
      <x:c r="P324" s="15" t="str">
        <x:f>IF(A324="","",--(COUNTIFS($A$2:A324,A324,$F$2:F324,F324)=1))</x:f>
      </x:c>
    </x:row>
    <x:row r="325">
      <x:c r="A325" s="18"/>
      <x:c r="O325" s="15" t="str">
        <x:f>IF(A325="","",--(COUNTIF($A$2:A325,A325)=1))</x:f>
      </x:c>
      <x:c r="P325" s="15" t="str">
        <x:f>IF(A325="","",--(COUNTIFS($A$2:A325,A325,$F$2:F325,F325)=1))</x:f>
      </x:c>
    </x:row>
    <x:row r="326">
      <x:c r="A326" s="18"/>
      <x:c r="O326" s="15" t="str">
        <x:f>IF(A326="","",--(COUNTIF($A$2:A326,A326)=1))</x:f>
      </x:c>
      <x:c r="P326" s="15" t="str">
        <x:f>IF(A326="","",--(COUNTIFS($A$2:A326,A326,$F$2:F326,F326)=1))</x:f>
      </x:c>
    </x:row>
    <x:row r="327">
      <x:c r="A327" s="18"/>
      <x:c r="O327" s="15" t="str">
        <x:f>IF(A327="","",--(COUNTIF($A$2:A327,A327)=1))</x:f>
      </x:c>
      <x:c r="P327" s="15" t="str">
        <x:f>IF(A327="","",--(COUNTIFS($A$2:A327,A327,$F$2:F327,F327)=1))</x:f>
      </x:c>
    </x:row>
    <x:row r="328">
      <x:c r="A328" s="18"/>
      <x:c r="O328" s="15" t="str">
        <x:f>IF(A328="","",--(COUNTIF($A$2:A328,A328)=1))</x:f>
      </x:c>
      <x:c r="P328" s="15" t="str">
        <x:f>IF(A328="","",--(COUNTIFS($A$2:A328,A328,$F$2:F328,F328)=1))</x:f>
      </x:c>
    </x:row>
    <x:row r="329">
      <x:c r="A329" s="18"/>
      <x:c r="O329" s="15" t="str">
        <x:f>IF(A329="","",--(COUNTIF($A$2:A329,A329)=1))</x:f>
      </x:c>
      <x:c r="P329" s="15" t="str">
        <x:f>IF(A329="","",--(COUNTIFS($A$2:A329,A329,$F$2:F329,F329)=1))</x:f>
      </x:c>
    </x:row>
    <x:row r="330">
      <x:c r="A330" s="18"/>
      <x:c r="O330" s="15" t="str">
        <x:f>IF(A330="","",--(COUNTIF($A$2:A330,A330)=1))</x:f>
      </x:c>
      <x:c r="P330" s="15" t="str">
        <x:f>IF(A330="","",--(COUNTIFS($A$2:A330,A330,$F$2:F330,F330)=1))</x:f>
      </x:c>
    </x:row>
    <x:row r="331">
      <x:c r="A331" s="18"/>
      <x:c r="O331" s="15" t="str">
        <x:f>IF(A331="","",--(COUNTIF($A$2:A331,A331)=1))</x:f>
      </x:c>
      <x:c r="P331" s="15" t="str">
        <x:f>IF(A331="","",--(COUNTIFS($A$2:A331,A331,$F$2:F331,F331)=1))</x:f>
      </x:c>
    </x:row>
    <x:row r="332">
      <x:c r="A332" s="18"/>
      <x:c r="O332" s="15" t="str">
        <x:f>IF(A332="","",--(COUNTIF($A$2:A332,A332)=1))</x:f>
      </x:c>
      <x:c r="P332" s="15" t="str">
        <x:f>IF(A332="","",--(COUNTIFS($A$2:A332,A332,$F$2:F332,F332)=1))</x:f>
      </x:c>
    </x:row>
    <x:row r="333">
      <x:c r="A333" s="18"/>
      <x:c r="O333" s="15" t="str">
        <x:f>IF(A333="","",--(COUNTIF($A$2:A333,A333)=1))</x:f>
      </x:c>
      <x:c r="P333" s="15" t="str">
        <x:f>IF(A333="","",--(COUNTIFS($A$2:A333,A333,$F$2:F333,F333)=1))</x:f>
      </x:c>
    </x:row>
    <x:row r="334">
      <x:c r="A334" s="18"/>
      <x:c r="O334" s="15" t="str">
        <x:f>IF(A334="","",--(COUNTIF($A$2:A334,A334)=1))</x:f>
      </x:c>
      <x:c r="P334" s="15" t="str">
        <x:f>IF(A334="","",--(COUNTIFS($A$2:A334,A334,$F$2:F334,F334)=1))</x:f>
      </x:c>
    </x:row>
    <x:row r="335">
      <x:c r="A335" s="18"/>
      <x:c r="O335" s="15" t="str">
        <x:f>IF(A335="","",--(COUNTIF($A$2:A335,A335)=1))</x:f>
      </x:c>
      <x:c r="P335" s="15" t="str">
        <x:f>IF(A335="","",--(COUNTIFS($A$2:A335,A335,$F$2:F335,F335)=1))</x:f>
      </x:c>
    </x:row>
    <x:row r="336">
      <x:c r="A336" s="18"/>
      <x:c r="O336" s="15" t="str">
        <x:f>IF(A336="","",--(COUNTIF($A$2:A336,A336)=1))</x:f>
      </x:c>
      <x:c r="P336" s="15" t="str">
        <x:f>IF(A336="","",--(COUNTIFS($A$2:A336,A336,$F$2:F336,F336)=1))</x:f>
      </x:c>
    </x:row>
    <x:row r="337">
      <x:c r="A337" s="18"/>
      <x:c r="O337" s="15" t="str">
        <x:f>IF(A337="","",--(COUNTIF($A$2:A337,A337)=1))</x:f>
      </x:c>
      <x:c r="P337" s="15" t="str">
        <x:f>IF(A337="","",--(COUNTIFS($A$2:A337,A337,$F$2:F337,F337)=1))</x:f>
      </x:c>
    </x:row>
    <x:row r="338">
      <x:c r="A338" s="18"/>
      <x:c r="O338" s="15" t="str">
        <x:f>IF(A338="","",--(COUNTIF($A$2:A338,A338)=1))</x:f>
      </x:c>
      <x:c r="P338" s="15" t="str">
        <x:f>IF(A338="","",--(COUNTIFS($A$2:A338,A338,$F$2:F338,F338)=1))</x:f>
      </x:c>
    </x:row>
    <x:row r="339">
      <x:c r="A339" s="18"/>
      <x:c r="O339" s="15" t="str">
        <x:f>IF(A339="","",--(COUNTIF($A$2:A339,A339)=1))</x:f>
      </x:c>
      <x:c r="P339" s="15" t="str">
        <x:f>IF(A339="","",--(COUNTIFS($A$2:A339,A339,$F$2:F339,F339)=1))</x:f>
      </x:c>
    </x:row>
    <x:row r="340">
      <x:c r="A340" s="18"/>
      <x:c r="O340" s="15" t="str">
        <x:f>IF(A340="","",--(COUNTIF($A$2:A340,A340)=1))</x:f>
      </x:c>
      <x:c r="P340" s="15" t="str">
        <x:f>IF(A340="","",--(COUNTIFS($A$2:A340,A340,$F$2:F340,F340)=1))</x:f>
      </x:c>
    </x:row>
    <x:row r="341">
      <x:c r="A341" s="18"/>
      <x:c r="O341" s="15" t="str">
        <x:f>IF(A341="","",--(COUNTIF($A$2:A341,A341)=1))</x:f>
      </x:c>
      <x:c r="P341" s="15" t="str">
        <x:f>IF(A341="","",--(COUNTIFS($A$2:A341,A341,$F$2:F341,F341)=1))</x:f>
      </x:c>
    </x:row>
    <x:row r="342">
      <x:c r="A342" s="18"/>
      <x:c r="O342" s="15" t="str">
        <x:f>IF(A342="","",--(COUNTIF($A$2:A342,A342)=1))</x:f>
      </x:c>
      <x:c r="P342" s="15" t="str">
        <x:f>IF(A342="","",--(COUNTIFS($A$2:A342,A342,$F$2:F342,F342)=1))</x:f>
      </x:c>
    </x:row>
    <x:row r="343">
      <x:c r="A343" s="18"/>
      <x:c r="O343" s="15" t="str">
        <x:f>IF(A343="","",--(COUNTIF($A$2:A343,A343)=1))</x:f>
      </x:c>
      <x:c r="P343" s="15" t="str">
        <x:f>IF(A343="","",--(COUNTIFS($A$2:A343,A343,$F$2:F343,F343)=1))</x:f>
      </x:c>
    </x:row>
    <x:row r="344">
      <x:c r="A344" s="18"/>
      <x:c r="O344" s="15" t="str">
        <x:f>IF(A344="","",--(COUNTIF($A$2:A344,A344)=1))</x:f>
      </x:c>
      <x:c r="P344" s="15" t="str">
        <x:f>IF(A344="","",--(COUNTIFS($A$2:A344,A344,$F$2:F344,F344)=1))</x:f>
      </x:c>
    </x:row>
    <x:row r="345">
      <x:c r="A345" s="18"/>
      <x:c r="O345" s="15" t="str">
        <x:f>IF(A345="","",--(COUNTIF($A$2:A345,A345)=1))</x:f>
      </x:c>
      <x:c r="P345" s="15" t="str">
        <x:f>IF(A345="","",--(COUNTIFS($A$2:A345,A345,$F$2:F345,F345)=1))</x:f>
      </x:c>
    </x:row>
    <x:row r="346">
      <x:c r="A346" s="18"/>
      <x:c r="O346" s="15" t="str">
        <x:f>IF(A346="","",--(COUNTIF($A$2:A346,A346)=1))</x:f>
      </x:c>
      <x:c r="P346" s="15" t="str">
        <x:f>IF(A346="","",--(COUNTIFS($A$2:A346,A346,$F$2:F346,F346)=1))</x:f>
      </x:c>
    </x:row>
    <x:row r="347">
      <x:c r="A347" s="18"/>
      <x:c r="O347" s="15" t="str">
        <x:f>IF(A347="","",--(COUNTIF($A$2:A347,A347)=1))</x:f>
      </x:c>
      <x:c r="P347" s="15" t="str">
        <x:f>IF(A347="","",--(COUNTIFS($A$2:A347,A347,$F$2:F347,F347)=1))</x:f>
      </x:c>
    </x:row>
    <x:row r="348">
      <x:c r="A348" s="18"/>
      <x:c r="O348" s="15" t="str">
        <x:f>IF(A348="","",--(COUNTIF($A$2:A348,A348)=1))</x:f>
      </x:c>
      <x:c r="P348" s="15" t="str">
        <x:f>IF(A348="","",--(COUNTIFS($A$2:A348,A348,$F$2:F348,F348)=1))</x:f>
      </x:c>
    </x:row>
    <x:row r="349">
      <x:c r="A349" s="18"/>
      <x:c r="O349" s="15" t="str">
        <x:f>IF(A349="","",--(COUNTIF($A$2:A349,A349)=1))</x:f>
      </x:c>
      <x:c r="P349" s="15" t="str">
        <x:f>IF(A349="","",--(COUNTIFS($A$2:A349,A349,$F$2:F349,F349)=1))</x:f>
      </x:c>
    </x:row>
    <x:row r="350">
      <x:c r="A350" s="18"/>
      <x:c r="O350" s="15" t="str">
        <x:f>IF(A350="","",--(COUNTIF($A$2:A350,A350)=1))</x:f>
      </x:c>
      <x:c r="P350" s="15" t="str">
        <x:f>IF(A350="","",--(COUNTIFS($A$2:A350,A350,$F$2:F350,F350)=1))</x:f>
      </x:c>
    </x:row>
    <x:row r="351">
      <x:c r="A351" s="18"/>
      <x:c r="O351" s="15" t="str">
        <x:f>IF(A351="","",--(COUNTIF($A$2:A351,A351)=1))</x:f>
      </x:c>
      <x:c r="P351" s="15" t="str">
        <x:f>IF(A351="","",--(COUNTIFS($A$2:A351,A351,$F$2:F351,F351)=1))</x:f>
      </x:c>
    </x:row>
    <x:row r="352">
      <x:c r="A352" s="18"/>
      <x:c r="O352" s="15" t="str">
        <x:f>IF(A352="","",--(COUNTIF($A$2:A352,A352)=1))</x:f>
      </x:c>
      <x:c r="P352" s="15" t="str">
        <x:f>IF(A352="","",--(COUNTIFS($A$2:A352,A352,$F$2:F352,F352)=1))</x:f>
      </x:c>
    </x:row>
    <x:row r="353">
      <x:c r="A353" s="18"/>
      <x:c r="O353" s="15" t="str">
        <x:f>IF(A353="","",--(COUNTIF($A$2:A353,A353)=1))</x:f>
      </x:c>
      <x:c r="P353" s="15" t="str">
        <x:f>IF(A353="","",--(COUNTIFS($A$2:A353,A353,$F$2:F353,F353)=1))</x:f>
      </x:c>
    </x:row>
    <x:row r="354">
      <x:c r="A354" s="18"/>
      <x:c r="O354" s="15" t="str">
        <x:f>IF(A354="","",--(COUNTIF($A$2:A354,A354)=1))</x:f>
      </x:c>
      <x:c r="P354" s="15" t="str">
        <x:f>IF(A354="","",--(COUNTIFS($A$2:A354,A354,$F$2:F354,F354)=1))</x:f>
      </x:c>
    </x:row>
    <x:row r="355">
      <x:c r="A355" s="18"/>
      <x:c r="O355" s="15" t="str">
        <x:f>IF(A355="","",--(COUNTIF($A$2:A355,A355)=1))</x:f>
      </x:c>
      <x:c r="P355" s="15" t="str">
        <x:f>IF(A355="","",--(COUNTIFS($A$2:A355,A355,$F$2:F355,F355)=1))</x:f>
      </x:c>
    </x:row>
    <x:row r="356">
      <x:c r="A356" s="18"/>
      <x:c r="O356" s="15" t="str">
        <x:f>IF(A356="","",--(COUNTIF($A$2:A356,A356)=1))</x:f>
      </x:c>
      <x:c r="P356" s="15" t="str">
        <x:f>IF(A356="","",--(COUNTIFS($A$2:A356,A356,$F$2:F356,F356)=1))</x:f>
      </x:c>
    </x:row>
    <x:row r="357">
      <x:c r="A357" s="18"/>
      <x:c r="O357" s="15" t="str">
        <x:f>IF(A357="","",--(COUNTIF($A$2:A357,A357)=1))</x:f>
      </x:c>
      <x:c r="P357" s="15" t="str">
        <x:f>IF(A357="","",--(COUNTIFS($A$2:A357,A357,$F$2:F357,F357)=1))</x:f>
      </x:c>
    </x:row>
    <x:row r="358">
      <x:c r="A358" s="18"/>
      <x:c r="O358" s="15" t="str">
        <x:f>IF(A358="","",--(COUNTIF($A$2:A358,A358)=1))</x:f>
      </x:c>
      <x:c r="P358" s="15" t="str">
        <x:f>IF(A358="","",--(COUNTIFS($A$2:A358,A358,$F$2:F358,F358)=1))</x:f>
      </x:c>
    </x:row>
    <x:row r="359">
      <x:c r="A359" s="18"/>
      <x:c r="O359" s="15" t="str">
        <x:f>IF(A359="","",--(COUNTIF($A$2:A359,A359)=1))</x:f>
      </x:c>
      <x:c r="P359" s="15" t="str">
        <x:f>IF(A359="","",--(COUNTIFS($A$2:A359,A359,$F$2:F359,F359)=1))</x:f>
      </x:c>
    </x:row>
    <x:row r="360">
      <x:c r="A360" s="18"/>
      <x:c r="O360" s="15" t="str">
        <x:f>IF(A360="","",--(COUNTIF($A$2:A360,A360)=1))</x:f>
      </x:c>
      <x:c r="P360" s="15" t="str">
        <x:f>IF(A360="","",--(COUNTIFS($A$2:A360,A360,$F$2:F360,F360)=1))</x:f>
      </x:c>
    </x:row>
    <x:row r="361">
      <x:c r="A361" s="18"/>
      <x:c r="O361" s="15" t="str">
        <x:f>IF(A361="","",--(COUNTIF($A$2:A361,A361)=1))</x:f>
      </x:c>
      <x:c r="P361" s="15" t="str">
        <x:f>IF(A361="","",--(COUNTIFS($A$2:A361,A361,$F$2:F361,F361)=1))</x:f>
      </x:c>
    </x:row>
    <x:row r="362">
      <x:c r="A362" s="18"/>
      <x:c r="O362" s="15" t="str">
        <x:f>IF(A362="","",--(COUNTIF($A$2:A362,A362)=1))</x:f>
      </x:c>
      <x:c r="P362" s="15" t="str">
        <x:f>IF(A362="","",--(COUNTIFS($A$2:A362,A362,$F$2:F362,F362)=1))</x:f>
      </x:c>
    </x:row>
    <x:row r="363">
      <x:c r="A363" s="18"/>
      <x:c r="O363" s="15" t="str">
        <x:f>IF(A363="","",--(COUNTIF($A$2:A363,A363)=1))</x:f>
      </x:c>
      <x:c r="P363" s="15" t="str">
        <x:f>IF(A363="","",--(COUNTIFS($A$2:A363,A363,$F$2:F363,F363)=1))</x:f>
      </x:c>
    </x:row>
    <x:row r="364">
      <x:c r="A364" s="18"/>
      <x:c r="O364" s="15" t="str">
        <x:f>IF(A364="","",--(COUNTIF($A$2:A364,A364)=1))</x:f>
      </x:c>
      <x:c r="P364" s="15" t="str">
        <x:f>IF(A364="","",--(COUNTIFS($A$2:A364,A364,$F$2:F364,F364)=1))</x:f>
      </x:c>
    </x:row>
    <x:row r="365">
      <x:c r="A365" s="18"/>
      <x:c r="O365" s="15" t="str">
        <x:f>IF(A365="","",--(COUNTIF($A$2:A365,A365)=1))</x:f>
      </x:c>
      <x:c r="P365" s="15" t="str">
        <x:f>IF(A365="","",--(COUNTIFS($A$2:A365,A365,$F$2:F365,F365)=1))</x:f>
      </x:c>
    </x:row>
    <x:row r="366">
      <x:c r="A366" s="18"/>
      <x:c r="O366" s="15" t="str">
        <x:f>IF(A366="","",--(COUNTIF($A$2:A366,A366)=1))</x:f>
      </x:c>
      <x:c r="P366" s="15" t="str">
        <x:f>IF(A366="","",--(COUNTIFS($A$2:A366,A366,$F$2:F366,F366)=1))</x:f>
      </x:c>
    </x:row>
    <x:row r="367">
      <x:c r="A367" s="18"/>
      <x:c r="O367" s="15" t="str">
        <x:f>IF(A367="","",--(COUNTIF($A$2:A367,A367)=1))</x:f>
      </x:c>
      <x:c r="P367" s="15" t="str">
        <x:f>IF(A367="","",--(COUNTIFS($A$2:A367,A367,$F$2:F367,F367)=1))</x:f>
      </x:c>
    </x:row>
    <x:row r="368">
      <x:c r="A368" s="18"/>
      <x:c r="O368" s="15" t="str">
        <x:f>IF(A368="","",--(COUNTIF($A$2:A368,A368)=1))</x:f>
      </x:c>
      <x:c r="P368" s="15" t="str">
        <x:f>IF(A368="","",--(COUNTIFS($A$2:A368,A368,$F$2:F368,F368)=1))</x:f>
      </x:c>
    </x:row>
    <x:row r="369">
      <x:c r="A369" s="18"/>
      <x:c r="O369" s="15" t="str">
        <x:f>IF(A369="","",--(COUNTIF($A$2:A369,A369)=1))</x:f>
      </x:c>
      <x:c r="P369" s="15" t="str">
        <x:f>IF(A369="","",--(COUNTIFS($A$2:A369,A369,$F$2:F369,F369)=1))</x:f>
      </x:c>
    </x:row>
    <x:row r="370">
      <x:c r="A370" s="18"/>
      <x:c r="O370" s="15" t="str">
        <x:f>IF(A370="","",--(COUNTIF($A$2:A370,A370)=1))</x:f>
      </x:c>
      <x:c r="P370" s="15" t="str">
        <x:f>IF(A370="","",--(COUNTIFS($A$2:A370,A370,$F$2:F370,F370)=1))</x:f>
      </x:c>
    </x:row>
    <x:row r="371">
      <x:c r="A371" s="18"/>
      <x:c r="O371" s="15" t="str">
        <x:f>IF(A371="","",--(COUNTIF($A$2:A371,A371)=1))</x:f>
      </x:c>
      <x:c r="P371" s="15" t="str">
        <x:f>IF(A371="","",--(COUNTIFS($A$2:A371,A371,$F$2:F371,F371)=1))</x:f>
      </x:c>
    </x:row>
    <x:row r="372">
      <x:c r="A372" s="18"/>
      <x:c r="O372" s="15" t="str">
        <x:f>IF(A372="","",--(COUNTIF($A$2:A372,A372)=1))</x:f>
      </x:c>
      <x:c r="P372" s="15" t="str">
        <x:f>IF(A372="","",--(COUNTIFS($A$2:A372,A372,$F$2:F372,F372)=1))</x:f>
      </x:c>
    </x:row>
    <x:row r="373">
      <x:c r="A373" s="18"/>
      <x:c r="O373" s="15" t="str">
        <x:f>IF(A373="","",--(COUNTIF($A$2:A373,A373)=1))</x:f>
      </x:c>
      <x:c r="P373" s="15" t="str">
        <x:f>IF(A373="","",--(COUNTIFS($A$2:A373,A373,$F$2:F373,F373)=1))</x:f>
      </x:c>
    </x:row>
    <x:row r="374">
      <x:c r="A374" s="18"/>
      <x:c r="O374" s="15" t="str">
        <x:f>IF(A374="","",--(COUNTIF($A$2:A374,A374)=1))</x:f>
      </x:c>
      <x:c r="P374" s="15" t="str">
        <x:f>IF(A374="","",--(COUNTIFS($A$2:A374,A374,$F$2:F374,F374)=1))</x:f>
      </x:c>
    </x:row>
    <x:row r="375">
      <x:c r="A375" s="18"/>
      <x:c r="O375" s="15" t="str">
        <x:f>IF(A375="","",--(COUNTIF($A$2:A375,A375)=1))</x:f>
      </x:c>
      <x:c r="P375" s="15" t="str">
        <x:f>IF(A375="","",--(COUNTIFS($A$2:A375,A375,$F$2:F375,F375)=1))</x:f>
      </x:c>
    </x:row>
    <x:row r="376">
      <x:c r="A376" s="18"/>
      <x:c r="O376" s="15" t="str">
        <x:f>IF(A376="","",--(COUNTIF($A$2:A376,A376)=1))</x:f>
      </x:c>
      <x:c r="P376" s="15" t="str">
        <x:f>IF(A376="","",--(COUNTIFS($A$2:A376,A376,$F$2:F376,F376)=1))</x:f>
      </x:c>
    </x:row>
    <x:row r="377">
      <x:c r="A377" s="18"/>
      <x:c r="O377" s="15" t="str">
        <x:f>IF(A377="","",--(COUNTIF($A$2:A377,A377)=1))</x:f>
      </x:c>
      <x:c r="P377" s="15" t="str">
        <x:f>IF(A377="","",--(COUNTIFS($A$2:A377,A377,$F$2:F377,F377)=1))</x:f>
      </x:c>
    </x:row>
    <x:row r="378">
      <x:c r="A378" s="18"/>
      <x:c r="O378" s="15" t="str">
        <x:f>IF(A378="","",--(COUNTIF($A$2:A378,A378)=1))</x:f>
      </x:c>
      <x:c r="P378" s="15" t="str">
        <x:f>IF(A378="","",--(COUNTIFS($A$2:A378,A378,$F$2:F378,F378)=1))</x:f>
      </x:c>
    </x:row>
    <x:row r="379">
      <x:c r="A379" s="18"/>
      <x:c r="O379" s="15" t="str">
        <x:f>IF(A379="","",--(COUNTIF($A$2:A379,A379)=1))</x:f>
      </x:c>
      <x:c r="P379" s="15" t="str">
        <x:f>IF(A379="","",--(COUNTIFS($A$2:A379,A379,$F$2:F379,F379)=1))</x:f>
      </x:c>
    </x:row>
    <x:row r="380">
      <x:c r="A380" s="18"/>
      <x:c r="O380" s="15" t="str">
        <x:f>IF(A380="","",--(COUNTIF($A$2:A380,A380)=1))</x:f>
      </x:c>
      <x:c r="P380" s="15" t="str">
        <x:f>IF(A380="","",--(COUNTIFS($A$2:A380,A380,$F$2:F380,F380)=1))</x:f>
      </x:c>
    </x:row>
    <x:row r="381">
      <x:c r="A381" s="18"/>
      <x:c r="O381" s="15" t="str">
        <x:f>IF(A381="","",--(COUNTIF($A$2:A381,A381)=1))</x:f>
      </x:c>
      <x:c r="P381" s="15" t="str">
        <x:f>IF(A381="","",--(COUNTIFS($A$2:A381,A381,$F$2:F381,F381)=1))</x:f>
      </x:c>
    </x:row>
    <x:row r="382">
      <x:c r="A382" s="18"/>
      <x:c r="O382" s="15" t="str">
        <x:f>IF(A382="","",--(COUNTIF($A$2:A382,A382)=1))</x:f>
      </x:c>
      <x:c r="P382" s="15" t="str">
        <x:f>IF(A382="","",--(COUNTIFS($A$2:A382,A382,$F$2:F382,F382)=1))</x:f>
      </x:c>
    </x:row>
    <x:row r="383">
      <x:c r="A383" s="18"/>
      <x:c r="O383" s="15" t="str">
        <x:f>IF(A383="","",--(COUNTIF($A$2:A383,A383)=1))</x:f>
      </x:c>
      <x:c r="P383" s="15" t="str">
        <x:f>IF(A383="","",--(COUNTIFS($A$2:A383,A383,$F$2:F383,F383)=1))</x:f>
      </x:c>
    </x:row>
    <x:row r="384">
      <x:c r="A384" s="18"/>
      <x:c r="O384" s="15" t="str">
        <x:f>IF(A384="","",--(COUNTIF($A$2:A384,A384)=1))</x:f>
      </x:c>
      <x:c r="P384" s="15" t="str">
        <x:f>IF(A384="","",--(COUNTIFS($A$2:A384,A384,$F$2:F384,F384)=1))</x:f>
      </x:c>
    </x:row>
    <x:row r="385">
      <x:c r="A385" s="18"/>
      <x:c r="O385" s="15" t="str">
        <x:f>IF(A385="","",--(COUNTIF($A$2:A385,A385)=1))</x:f>
      </x:c>
      <x:c r="P385" s="15" t="str">
        <x:f>IF(A385="","",--(COUNTIFS($A$2:A385,A385,$F$2:F385,F385)=1))</x:f>
      </x:c>
    </x:row>
    <x:row r="386">
      <x:c r="A386" s="18"/>
      <x:c r="O386" s="15" t="str">
        <x:f>IF(A386="","",--(COUNTIF($A$2:A386,A386)=1))</x:f>
      </x:c>
      <x:c r="P386" s="15" t="str">
        <x:f>IF(A386="","",--(COUNTIFS($A$2:A386,A386,$F$2:F386,F386)=1))</x:f>
      </x:c>
    </x:row>
    <x:row r="387">
      <x:c r="A387" s="18"/>
      <x:c r="O387" s="15" t="str">
        <x:f>IF(A387="","",--(COUNTIF($A$2:A387,A387)=1))</x:f>
      </x:c>
      <x:c r="P387" s="15" t="str">
        <x:f>IF(A387="","",--(COUNTIFS($A$2:A387,A387,$F$2:F387,F387)=1))</x:f>
      </x:c>
    </x:row>
    <x:row r="388">
      <x:c r="A388" s="18"/>
      <x:c r="O388" s="15" t="str">
        <x:f>IF(A388="","",--(COUNTIF($A$2:A388,A388)=1))</x:f>
      </x:c>
      <x:c r="P388" s="15" t="str">
        <x:f>IF(A388="","",--(COUNTIFS($A$2:A388,A388,$F$2:F388,F388)=1))</x:f>
      </x:c>
    </x:row>
    <x:row r="389">
      <x:c r="A389" s="18"/>
      <x:c r="O389" s="15" t="str">
        <x:f>IF(A389="","",--(COUNTIF($A$2:A389,A389)=1))</x:f>
      </x:c>
      <x:c r="P389" s="15" t="str">
        <x:f>IF(A389="","",--(COUNTIFS($A$2:A389,A389,$F$2:F389,F389)=1))</x:f>
      </x:c>
    </x:row>
    <x:row r="390">
      <x:c r="A390" s="18"/>
      <x:c r="O390" s="15" t="str">
        <x:f>IF(A390="","",--(COUNTIF($A$2:A390,A390)=1))</x:f>
      </x:c>
      <x:c r="P390" s="15" t="str">
        <x:f>IF(A390="","",--(COUNTIFS($A$2:A390,A390,$F$2:F390,F390)=1))</x:f>
      </x:c>
    </x:row>
    <x:row r="391">
      <x:c r="A391" s="18"/>
      <x:c r="O391" s="15" t="str">
        <x:f>IF(A391="","",--(COUNTIF($A$2:A391,A391)=1))</x:f>
      </x:c>
      <x:c r="P391" s="15" t="str">
        <x:f>IF(A391="","",--(COUNTIFS($A$2:A391,A391,$F$2:F391,F391)=1))</x:f>
      </x:c>
    </x:row>
    <x:row r="392">
      <x:c r="A392" s="18"/>
      <x:c r="O392" s="15" t="str">
        <x:f>IF(A392="","",--(COUNTIF($A$2:A392,A392)=1))</x:f>
      </x:c>
      <x:c r="P392" s="15" t="str">
        <x:f>IF(A392="","",--(COUNTIFS($A$2:A392,A392,$F$2:F392,F392)=1))</x:f>
      </x:c>
    </x:row>
    <x:row r="393">
      <x:c r="A393" s="18"/>
      <x:c r="O393" s="15" t="str">
        <x:f>IF(A393="","",--(COUNTIF($A$2:A393,A393)=1))</x:f>
      </x:c>
      <x:c r="P393" s="15" t="str">
        <x:f>IF(A393="","",--(COUNTIFS($A$2:A393,A393,$F$2:F393,F393)=1))</x:f>
      </x:c>
    </x:row>
    <x:row r="394">
      <x:c r="A394" s="18"/>
      <x:c r="O394" s="15" t="str">
        <x:f>IF(A394="","",--(COUNTIF($A$2:A394,A394)=1))</x:f>
      </x:c>
      <x:c r="P394" s="15" t="str">
        <x:f>IF(A394="","",--(COUNTIFS($A$2:A394,A394,$F$2:F394,F394)=1))</x:f>
      </x:c>
    </x:row>
    <x:row r="395">
      <x:c r="A395" s="18"/>
      <x:c r="O395" s="15" t="str">
        <x:f>IF(A395="","",--(COUNTIF($A$2:A395,A395)=1))</x:f>
      </x:c>
      <x:c r="P395" s="15" t="str">
        <x:f>IF(A395="","",--(COUNTIFS($A$2:A395,A395,$F$2:F395,F395)=1))</x:f>
      </x:c>
    </x:row>
    <x:row r="396">
      <x:c r="A396" s="18"/>
      <x:c r="O396" s="15" t="str">
        <x:f>IF(A396="","",--(COUNTIF($A$2:A396,A396)=1))</x:f>
      </x:c>
      <x:c r="P396" s="15" t="str">
        <x:f>IF(A396="","",--(COUNTIFS($A$2:A396,A396,$F$2:F396,F396)=1))</x:f>
      </x:c>
    </x:row>
    <x:row r="397">
      <x:c r="A397" s="18"/>
      <x:c r="O397" s="15" t="str">
        <x:f>IF(A397="","",--(COUNTIF($A$2:A397,A397)=1))</x:f>
      </x:c>
      <x:c r="P397" s="15" t="str">
        <x:f>IF(A397="","",--(COUNTIFS($A$2:A397,A397,$F$2:F397,F397)=1))</x:f>
      </x:c>
    </x:row>
    <x:row r="398">
      <x:c r="A398" s="18"/>
      <x:c r="O398" s="15" t="str">
        <x:f>IF(A398="","",--(COUNTIF($A$2:A398,A398)=1))</x:f>
      </x:c>
      <x:c r="P398" s="15" t="str">
        <x:f>IF(A398="","",--(COUNTIFS($A$2:A398,A398,$F$2:F398,F398)=1))</x:f>
      </x:c>
    </x:row>
    <x:row r="399">
      <x:c r="A399" s="18"/>
      <x:c r="O399" s="15" t="str">
        <x:f>IF(A399="","",--(COUNTIF($A$2:A399,A399)=1))</x:f>
      </x:c>
      <x:c r="P399" s="15" t="str">
        <x:f>IF(A399="","",--(COUNTIFS($A$2:A399,A399,$F$2:F399,F399)=1))</x:f>
      </x:c>
    </x:row>
    <x:row r="400">
      <x:c r="A400" s="18"/>
      <x:c r="O400" s="15" t="str">
        <x:f>IF(A400="","",--(COUNTIF($A$2:A400,A400)=1))</x:f>
      </x:c>
      <x:c r="P400" s="15" t="str">
        <x:f>IF(A400="","",--(COUNTIFS($A$2:A400,A400,$F$2:F400,F400)=1))</x:f>
      </x:c>
    </x:row>
    <x:row r="401">
      <x:c r="A401" s="18"/>
      <x:c r="O401" s="15" t="str">
        <x:f>IF(A401="","",--(COUNTIF($A$2:A401,A401)=1))</x:f>
      </x:c>
      <x:c r="P401" s="15" t="str">
        <x:f>IF(A401="","",--(COUNTIFS($A$2:A401,A401,$F$2:F401,F401)=1))</x:f>
      </x:c>
    </x:row>
    <x:row r="402">
      <x:c r="A402" s="18"/>
      <x:c r="O402" s="15" t="str">
        <x:f>IF(A402="","",--(COUNTIF($A$2:A402,A402)=1))</x:f>
      </x:c>
      <x:c r="P402" s="15" t="str">
        <x:f>IF(A402="","",--(COUNTIFS($A$2:A402,A402,$F$2:F402,F402)=1))</x:f>
      </x:c>
    </x:row>
    <x:row r="403">
      <x:c r="A403" s="18"/>
      <x:c r="O403" s="15" t="str">
        <x:f>IF(A403="","",--(COUNTIF($A$2:A403,A403)=1))</x:f>
      </x:c>
      <x:c r="P403" s="15" t="str">
        <x:f>IF(A403="","",--(COUNTIFS($A$2:A403,A403,$F$2:F403,F403)=1))</x:f>
      </x:c>
    </x:row>
    <x:row r="404">
      <x:c r="A404" s="18"/>
      <x:c r="O404" s="15" t="str">
        <x:f>IF(A404="","",--(COUNTIF($A$2:A404,A404)=1))</x:f>
      </x:c>
      <x:c r="P404" s="15" t="str">
        <x:f>IF(A404="","",--(COUNTIFS($A$2:A404,A404,$F$2:F404,F404)=1))</x:f>
      </x:c>
    </x:row>
    <x:row r="405">
      <x:c r="A405" s="18"/>
      <x:c r="O405" s="15" t="str">
        <x:f>IF(A405="","",--(COUNTIF($A$2:A405,A405)=1))</x:f>
      </x:c>
      <x:c r="P405" s="15" t="str">
        <x:f>IF(A405="","",--(COUNTIFS($A$2:A405,A405,$F$2:F405,F405)=1))</x:f>
      </x:c>
    </x:row>
    <x:row r="406">
      <x:c r="A406" s="18"/>
      <x:c r="O406" s="15" t="str">
        <x:f>IF(A406="","",--(COUNTIF($A$2:A406,A406)=1))</x:f>
      </x:c>
      <x:c r="P406" s="15" t="str">
        <x:f>IF(A406="","",--(COUNTIFS($A$2:A406,A406,$F$2:F406,F406)=1))</x:f>
      </x:c>
    </x:row>
    <x:row r="407">
      <x:c r="A407" s="18"/>
      <x:c r="O407" s="15" t="str">
        <x:f>IF(A407="","",--(COUNTIF($A$2:A407,A407)=1))</x:f>
      </x:c>
      <x:c r="P407" s="15" t="str">
        <x:f>IF(A407="","",--(COUNTIFS($A$2:A407,A407,$F$2:F407,F407)=1))</x:f>
      </x:c>
    </x:row>
    <x:row r="408">
      <x:c r="A408" s="18"/>
      <x:c r="O408" s="15" t="str">
        <x:f>IF(A408="","",--(COUNTIF($A$2:A408,A408)=1))</x:f>
      </x:c>
      <x:c r="P408" s="15" t="str">
        <x:f>IF(A408="","",--(COUNTIFS($A$2:A408,A408,$F$2:F408,F408)=1))</x:f>
      </x:c>
    </x:row>
    <x:row r="409">
      <x:c r="A409" s="18"/>
      <x:c r="O409" s="15" t="str">
        <x:f>IF(A409="","",--(COUNTIF($A$2:A409,A409)=1))</x:f>
      </x:c>
      <x:c r="P409" s="15" t="str">
        <x:f>IF(A409="","",--(COUNTIFS($A$2:A409,A409,$F$2:F409,F409)=1))</x:f>
      </x:c>
    </x:row>
    <x:row r="410">
      <x:c r="A410" s="18"/>
      <x:c r="O410" s="15" t="str">
        <x:f>IF(A410="","",--(COUNTIF($A$2:A410,A410)=1))</x:f>
      </x:c>
      <x:c r="P410" s="15" t="str">
        <x:f>IF(A410="","",--(COUNTIFS($A$2:A410,A410,$F$2:F410,F410)=1))</x:f>
      </x:c>
    </x:row>
    <x:row r="411">
      <x:c r="A411" s="18"/>
      <x:c r="O411" s="15" t="str">
        <x:f>IF(A411="","",--(COUNTIF($A$2:A411,A411)=1))</x:f>
      </x:c>
      <x:c r="P411" s="15" t="str">
        <x:f>IF(A411="","",--(COUNTIFS($A$2:A411,A411,$F$2:F411,F411)=1))</x:f>
      </x:c>
    </x:row>
    <x:row r="412">
      <x:c r="A412" s="18"/>
      <x:c r="O412" s="15" t="str">
        <x:f>IF(A412="","",--(COUNTIF($A$2:A412,A412)=1))</x:f>
      </x:c>
      <x:c r="P412" s="15" t="str">
        <x:f>IF(A412="","",--(COUNTIFS($A$2:A412,A412,$F$2:F412,F412)=1))</x:f>
      </x:c>
    </x:row>
    <x:row r="413">
      <x:c r="A413" s="18"/>
      <x:c r="O413" s="15" t="str">
        <x:f>IF(A413="","",--(COUNTIF($A$2:A413,A413)=1))</x:f>
      </x:c>
      <x:c r="P413" s="15" t="str">
        <x:f>IF(A413="","",--(COUNTIFS($A$2:A413,A413,$F$2:F413,F413)=1))</x:f>
      </x:c>
    </x:row>
    <x:row r="414">
      <x:c r="A414" s="18"/>
      <x:c r="O414" s="15" t="str">
        <x:f>IF(A414="","",--(COUNTIF($A$2:A414,A414)=1))</x:f>
      </x:c>
      <x:c r="P414" s="15" t="str">
        <x:f>IF(A414="","",--(COUNTIFS($A$2:A414,A414,$F$2:F414,F414)=1))</x:f>
      </x:c>
    </x:row>
    <x:row r="415">
      <x:c r="A415" s="18"/>
      <x:c r="O415" s="15" t="str">
        <x:f>IF(A415="","",--(COUNTIF($A$2:A415,A415)=1))</x:f>
      </x:c>
      <x:c r="P415" s="15" t="str">
        <x:f>IF(A415="","",--(COUNTIFS($A$2:A415,A415,$F$2:F415,F415)=1))</x:f>
      </x:c>
    </x:row>
    <x:row r="416">
      <x:c r="A416" s="18"/>
      <x:c r="O416" s="15" t="str">
        <x:f>IF(A416="","",--(COUNTIF($A$2:A416,A416)=1))</x:f>
      </x:c>
      <x:c r="P416" s="15" t="str">
        <x:f>IF(A416="","",--(COUNTIFS($A$2:A416,A416,$F$2:F416,F416)=1))</x:f>
      </x:c>
    </x:row>
    <x:row r="417">
      <x:c r="A417" s="18"/>
      <x:c r="O417" s="15" t="str">
        <x:f>IF(A417="","",--(COUNTIF($A$2:A417,A417)=1))</x:f>
      </x:c>
      <x:c r="P417" s="15" t="str">
        <x:f>IF(A417="","",--(COUNTIFS($A$2:A417,A417,$F$2:F417,F417)=1))</x:f>
      </x:c>
    </x:row>
    <x:row r="418">
      <x:c r="A418" s="18"/>
      <x:c r="O418" s="15" t="str">
        <x:f>IF(A418="","",--(COUNTIF($A$2:A418,A418)=1))</x:f>
      </x:c>
      <x:c r="P418" s="15" t="str">
        <x:f>IF(A418="","",--(COUNTIFS($A$2:A418,A418,$F$2:F418,F418)=1))</x:f>
      </x:c>
    </x:row>
    <x:row r="419">
      <x:c r="A419" s="18"/>
      <x:c r="O419" s="15" t="str">
        <x:f>IF(A419="","",--(COUNTIF($A$2:A419,A419)=1))</x:f>
      </x:c>
      <x:c r="P419" s="15" t="str">
        <x:f>IF(A419="","",--(COUNTIFS($A$2:A419,A419,$F$2:F419,F419)=1))</x:f>
      </x:c>
    </x:row>
    <x:row r="420">
      <x:c r="A420" s="18"/>
      <x:c r="O420" s="15" t="str">
        <x:f>IF(A420="","",--(COUNTIF($A$2:A420,A420)=1))</x:f>
      </x:c>
      <x:c r="P420" s="15" t="str">
        <x:f>IF(A420="","",--(COUNTIFS($A$2:A420,A420,$F$2:F420,F420)=1))</x:f>
      </x:c>
    </x:row>
    <x:row r="421">
      <x:c r="A421" s="18"/>
      <x:c r="O421" s="15" t="str">
        <x:f>IF(A421="","",--(COUNTIF($A$2:A421,A421)=1))</x:f>
      </x:c>
      <x:c r="P421" s="15" t="str">
        <x:f>IF(A421="","",--(COUNTIFS($A$2:A421,A421,$F$2:F421,F421)=1))</x:f>
      </x:c>
    </x:row>
    <x:row r="422">
      <x:c r="A422" s="18"/>
      <x:c r="O422" s="15" t="str">
        <x:f>IF(A422="","",--(COUNTIF($A$2:A422,A422)=1))</x:f>
      </x:c>
      <x:c r="P422" s="15" t="str">
        <x:f>IF(A422="","",--(COUNTIFS($A$2:A422,A422,$F$2:F422,F422)=1))</x:f>
      </x:c>
    </x:row>
    <x:row r="423">
      <x:c r="A423" s="18"/>
      <x:c r="O423" s="15" t="str">
        <x:f>IF(A423="","",--(COUNTIF($A$2:A423,A423)=1))</x:f>
      </x:c>
      <x:c r="P423" s="15" t="str">
        <x:f>IF(A423="","",--(COUNTIFS($A$2:A423,A423,$F$2:F423,F423)=1))</x:f>
      </x:c>
    </x:row>
    <x:row r="424">
      <x:c r="A424" s="18"/>
      <x:c r="O424" s="15" t="str">
        <x:f>IF(A424="","",--(COUNTIF($A$2:A424,A424)=1))</x:f>
      </x:c>
      <x:c r="P424" s="15" t="str">
        <x:f>IF(A424="","",--(COUNTIFS($A$2:A424,A424,$F$2:F424,F424)=1))</x:f>
      </x:c>
    </x:row>
    <x:row r="425">
      <x:c r="A425" s="18"/>
      <x:c r="O425" s="15" t="str">
        <x:f>IF(A425="","",--(COUNTIF($A$2:A425,A425)=1))</x:f>
      </x:c>
      <x:c r="P425" s="15" t="str">
        <x:f>IF(A425="","",--(COUNTIFS($A$2:A425,A425,$F$2:F425,F425)=1))</x:f>
      </x:c>
    </x:row>
    <x:row r="426">
      <x:c r="A426" s="18"/>
      <x:c r="O426" s="15" t="str">
        <x:f>IF(A426="","",--(COUNTIF($A$2:A426,A426)=1))</x:f>
      </x:c>
      <x:c r="P426" s="15" t="str">
        <x:f>IF(A426="","",--(COUNTIFS($A$2:A426,A426,$F$2:F426,F426)=1))</x:f>
      </x:c>
    </x:row>
    <x:row r="427">
      <x:c r="A427" s="18"/>
      <x:c r="O427" s="15" t="str">
        <x:f>IF(A427="","",--(COUNTIF($A$2:A427,A427)=1))</x:f>
      </x:c>
      <x:c r="P427" s="15" t="str">
        <x:f>IF(A427="","",--(COUNTIFS($A$2:A427,A427,$F$2:F427,F427)=1))</x:f>
      </x:c>
    </x:row>
    <x:row r="428">
      <x:c r="A428" s="18"/>
      <x:c r="O428" s="15" t="str">
        <x:f>IF(A428="","",--(COUNTIF($A$2:A428,A428)=1))</x:f>
      </x:c>
      <x:c r="P428" s="15" t="str">
        <x:f>IF(A428="","",--(COUNTIFS($A$2:A428,A428,$F$2:F428,F428)=1))</x:f>
      </x:c>
    </x:row>
    <x:row r="429">
      <x:c r="A429" s="18"/>
      <x:c r="O429" s="15" t="str">
        <x:f>IF(A429="","",--(COUNTIF($A$2:A429,A429)=1))</x:f>
      </x:c>
      <x:c r="P429" s="15" t="str">
        <x:f>IF(A429="","",--(COUNTIFS($A$2:A429,A429,$F$2:F429,F429)=1))</x:f>
      </x:c>
    </x:row>
    <x:row r="430">
      <x:c r="A430" s="18"/>
      <x:c r="O430" s="15" t="str">
        <x:f>IF(A430="","",--(COUNTIF($A$2:A430,A430)=1))</x:f>
      </x:c>
      <x:c r="P430" s="15" t="str">
        <x:f>IF(A430="","",--(COUNTIFS($A$2:A430,A430,$F$2:F430,F430)=1))</x:f>
      </x:c>
    </x:row>
    <x:row r="431">
      <x:c r="A431" s="18"/>
      <x:c r="O431" s="15" t="str">
        <x:f>IF(A431="","",--(COUNTIF($A$2:A431,A431)=1))</x:f>
      </x:c>
      <x:c r="P431" s="15" t="str">
        <x:f>IF(A431="","",--(COUNTIFS($A$2:A431,A431,$F$2:F431,F431)=1))</x:f>
      </x:c>
    </x:row>
    <x:row r="432">
      <x:c r="A432" s="18"/>
      <x:c r="O432" s="15" t="str">
        <x:f>IF(A432="","",--(COUNTIF($A$2:A432,A432)=1))</x:f>
      </x:c>
      <x:c r="P432" s="15" t="str">
        <x:f>IF(A432="","",--(COUNTIFS($A$2:A432,A432,$F$2:F432,F432)=1))</x:f>
      </x:c>
    </x:row>
    <x:row r="433">
      <x:c r="A433" s="18"/>
      <x:c r="O433" s="15" t="str">
        <x:f>IF(A433="","",--(COUNTIF($A$2:A433,A433)=1))</x:f>
      </x:c>
      <x:c r="P433" s="15" t="str">
        <x:f>IF(A433="","",--(COUNTIFS($A$2:A433,A433,$F$2:F433,F433)=1))</x:f>
      </x:c>
    </x:row>
    <x:row r="434">
      <x:c r="A434" s="18"/>
      <x:c r="O434" s="15" t="str">
        <x:f>IF(A434="","",--(COUNTIF($A$2:A434,A434)=1))</x:f>
      </x:c>
      <x:c r="P434" s="15" t="str">
        <x:f>IF(A434="","",--(COUNTIFS($A$2:A434,A434,$F$2:F434,F434)=1))</x:f>
      </x:c>
    </x:row>
    <x:row r="435">
      <x:c r="A435" s="18"/>
      <x:c r="O435" s="15" t="str">
        <x:f>IF(A435="","",--(COUNTIF($A$2:A435,A435)=1))</x:f>
      </x:c>
      <x:c r="P435" s="15" t="str">
        <x:f>IF(A435="","",--(COUNTIFS($A$2:A435,A435,$F$2:F435,F435)=1))</x:f>
      </x:c>
    </x:row>
    <x:row r="436">
      <x:c r="A436" s="18"/>
      <x:c r="O436" s="15" t="str">
        <x:f>IF(A436="","",--(COUNTIF($A$2:A436,A436)=1))</x:f>
      </x:c>
      <x:c r="P436" s="15" t="str">
        <x:f>IF(A436="","",--(COUNTIFS($A$2:A436,A436,$F$2:F436,F436)=1))</x:f>
      </x:c>
    </x:row>
    <x:row r="437">
      <x:c r="A437" s="18"/>
      <x:c r="O437" s="15" t="str">
        <x:f>IF(A437="","",--(COUNTIF($A$2:A437,A437)=1))</x:f>
      </x:c>
      <x:c r="P437" s="15" t="str">
        <x:f>IF(A437="","",--(COUNTIFS($A$2:A437,A437,$F$2:F437,F437)=1))</x:f>
      </x:c>
    </x:row>
    <x:row r="438">
      <x:c r="A438" s="18"/>
      <x:c r="O438" s="15" t="str">
        <x:f>IF(A438="","",--(COUNTIF($A$2:A438,A438)=1))</x:f>
      </x:c>
      <x:c r="P438" s="15" t="str">
        <x:f>IF(A438="","",--(COUNTIFS($A$2:A438,A438,$F$2:F438,F438)=1))</x:f>
      </x:c>
    </x:row>
    <x:row r="439">
      <x:c r="A439" s="18"/>
      <x:c r="O439" s="15" t="str">
        <x:f>IF(A439="","",--(COUNTIF($A$2:A439,A439)=1))</x:f>
      </x:c>
      <x:c r="P439" s="15" t="str">
        <x:f>IF(A439="","",--(COUNTIFS($A$2:A439,A439,$F$2:F439,F439)=1))</x:f>
      </x:c>
    </x:row>
    <x:row r="440">
      <x:c r="A440" s="18"/>
      <x:c r="O440" s="15" t="str">
        <x:f>IF(A440="","",--(COUNTIF($A$2:A440,A440)=1))</x:f>
      </x:c>
      <x:c r="P440" s="15" t="str">
        <x:f>IF(A440="","",--(COUNTIFS($A$2:A440,A440,$F$2:F440,F440)=1))</x:f>
      </x:c>
    </x:row>
    <x:row r="441">
      <x:c r="A441" s="18"/>
      <x:c r="O441" s="15" t="str">
        <x:f>IF(A441="","",--(COUNTIF($A$2:A441,A441)=1))</x:f>
      </x:c>
      <x:c r="P441" s="15" t="str">
        <x:f>IF(A441="","",--(COUNTIFS($A$2:A441,A441,$F$2:F441,F441)=1))</x:f>
      </x:c>
    </x:row>
    <x:row r="442">
      <x:c r="A442" s="18"/>
      <x:c r="O442" s="15" t="str">
        <x:f>IF(A442="","",--(COUNTIF($A$2:A442,A442)=1))</x:f>
      </x:c>
      <x:c r="P442" s="15" t="str">
        <x:f>IF(A442="","",--(COUNTIFS($A$2:A442,A442,$F$2:F442,F442)=1))</x:f>
      </x:c>
    </x:row>
    <x:row r="443">
      <x:c r="A443" s="18"/>
      <x:c r="O443" s="15" t="str">
        <x:f>IF(A443="","",--(COUNTIF($A$2:A443,A443)=1))</x:f>
      </x:c>
      <x:c r="P443" s="15" t="str">
        <x:f>IF(A443="","",--(COUNTIFS($A$2:A443,A443,$F$2:F443,F443)=1))</x:f>
      </x:c>
    </x:row>
    <x:row r="444">
      <x:c r="A444" s="18"/>
      <x:c r="O444" s="15" t="str">
        <x:f>IF(A444="","",--(COUNTIF($A$2:A444,A444)=1))</x:f>
      </x:c>
      <x:c r="P444" s="15" t="str">
        <x:f>IF(A444="","",--(COUNTIFS($A$2:A444,A444,$F$2:F444,F444)=1))</x:f>
      </x:c>
    </x:row>
    <x:row r="445">
      <x:c r="A445" s="18"/>
      <x:c r="O445" s="15" t="str">
        <x:f>IF(A445="","",--(COUNTIF($A$2:A445,A445)=1))</x:f>
      </x:c>
      <x:c r="P445" s="15" t="str">
        <x:f>IF(A445="","",--(COUNTIFS($A$2:A445,A445,$F$2:F445,F445)=1))</x:f>
      </x:c>
    </x:row>
    <x:row r="446">
      <x:c r="A446" s="18"/>
      <x:c r="O446" s="15" t="str">
        <x:f>IF(A446="","",--(COUNTIF($A$2:A446,A446)=1))</x:f>
      </x:c>
      <x:c r="P446" s="15" t="str">
        <x:f>IF(A446="","",--(COUNTIFS($A$2:A446,A446,$F$2:F446,F446)=1))</x:f>
      </x:c>
    </x:row>
    <x:row r="447">
      <x:c r="A447" s="18"/>
      <x:c r="O447" s="15" t="str">
        <x:f>IF(A447="","",--(COUNTIF($A$2:A447,A447)=1))</x:f>
      </x:c>
      <x:c r="P447" s="15" t="str">
        <x:f>IF(A447="","",--(COUNTIFS($A$2:A447,A447,$F$2:F447,F447)=1))</x:f>
      </x:c>
    </x:row>
    <x:row r="448">
      <x:c r="A448" s="18"/>
      <x:c r="O448" s="15" t="str">
        <x:f>IF(A448="","",--(COUNTIF($A$2:A448,A448)=1))</x:f>
      </x:c>
      <x:c r="P448" s="15" t="str">
        <x:f>IF(A448="","",--(COUNTIFS($A$2:A448,A448,$F$2:F448,F448)=1))</x:f>
      </x:c>
    </x:row>
    <x:row r="449">
      <x:c r="A449" s="18"/>
      <x:c r="O449" s="15" t="str">
        <x:f>IF(A449="","",--(COUNTIF($A$2:A449,A449)=1))</x:f>
      </x:c>
      <x:c r="P449" s="15" t="str">
        <x:f>IF(A449="","",--(COUNTIFS($A$2:A449,A449,$F$2:F449,F449)=1))</x:f>
      </x:c>
    </x:row>
    <x:row r="450">
      <x:c r="A450" s="18"/>
      <x:c r="O450" s="15" t="str">
        <x:f>IF(A450="","",--(COUNTIF($A$2:A450,A450)=1))</x:f>
      </x:c>
      <x:c r="P450" s="15" t="str">
        <x:f>IF(A450="","",--(COUNTIFS($A$2:A450,A450,$F$2:F450,F450)=1))</x:f>
      </x:c>
    </x:row>
    <x:row r="451">
      <x:c r="A451" s="18"/>
      <x:c r="O451" s="15" t="str">
        <x:f>IF(A451="","",--(COUNTIF($A$2:A451,A451)=1))</x:f>
      </x:c>
      <x:c r="P451" s="15" t="str">
        <x:f>IF(A451="","",--(COUNTIFS($A$2:A451,A451,$F$2:F451,F451)=1))</x:f>
      </x:c>
    </x:row>
    <x:row r="452">
      <x:c r="A452" s="18"/>
      <x:c r="O452" s="15" t="str">
        <x:f>IF(A452="","",--(COUNTIF($A$2:A452,A452)=1))</x:f>
      </x:c>
      <x:c r="P452" s="15" t="str">
        <x:f>IF(A452="","",--(COUNTIFS($A$2:A452,A452,$F$2:F452,F452)=1))</x:f>
      </x:c>
    </x:row>
    <x:row r="453">
      <x:c r="A453" s="18"/>
      <x:c r="O453" s="15" t="str">
        <x:f>IF(A453="","",--(COUNTIF($A$2:A453,A453)=1))</x:f>
      </x:c>
      <x:c r="P453" s="15" t="str">
        <x:f>IF(A453="","",--(COUNTIFS($A$2:A453,A453,$F$2:F453,F453)=1))</x:f>
      </x:c>
    </x:row>
    <x:row r="454">
      <x:c r="A454" s="18"/>
      <x:c r="O454" s="15" t="str">
        <x:f>IF(A454="","",--(COUNTIF($A$2:A454,A454)=1))</x:f>
      </x:c>
      <x:c r="P454" s="15" t="str">
        <x:f>IF(A454="","",--(COUNTIFS($A$2:A454,A454,$F$2:F454,F454)=1))</x:f>
      </x:c>
    </x:row>
    <x:row r="455">
      <x:c r="A455" s="18"/>
      <x:c r="O455" s="15" t="str">
        <x:f>IF(A455="","",--(COUNTIF($A$2:A455,A455)=1))</x:f>
      </x:c>
      <x:c r="P455" s="15" t="str">
        <x:f>IF(A455="","",--(COUNTIFS($A$2:A455,A455,$F$2:F455,F455)=1))</x:f>
      </x:c>
    </x:row>
    <x:row r="456">
      <x:c r="A456" s="18"/>
      <x:c r="O456" s="15" t="str">
        <x:f>IF(A456="","",--(COUNTIF($A$2:A456,A456)=1))</x:f>
      </x:c>
      <x:c r="P456" s="15" t="str">
        <x:f>IF(A456="","",--(COUNTIFS($A$2:A456,A456,$F$2:F456,F456)=1))</x:f>
      </x:c>
    </x:row>
    <x:row r="457">
      <x:c r="A457" s="18"/>
      <x:c r="O457" s="15" t="str">
        <x:f>IF(A457="","",--(COUNTIF($A$2:A457,A457)=1))</x:f>
      </x:c>
      <x:c r="P457" s="15" t="str">
        <x:f>IF(A457="","",--(COUNTIFS($A$2:A457,A457,$F$2:F457,F457)=1))</x:f>
      </x:c>
    </x:row>
    <x:row r="458">
      <x:c r="A458" s="18"/>
      <x:c r="O458" s="15" t="str">
        <x:f>IF(A458="","",--(COUNTIF($A$2:A458,A458)=1))</x:f>
      </x:c>
      <x:c r="P458" s="15" t="str">
        <x:f>IF(A458="","",--(COUNTIFS($A$2:A458,A458,$F$2:F458,F458)=1))</x:f>
      </x:c>
    </x:row>
    <x:row r="459">
      <x:c r="A459" s="18"/>
      <x:c r="O459" s="15" t="str">
        <x:f>IF(A459="","",--(COUNTIF($A$2:A459,A459)=1))</x:f>
      </x:c>
      <x:c r="P459" s="15" t="str">
        <x:f>IF(A459="","",--(COUNTIFS($A$2:A459,A459,$F$2:F459,F459)=1))</x:f>
      </x:c>
    </x:row>
    <x:row r="460">
      <x:c r="A460" s="18"/>
      <x:c r="O460" s="15" t="str">
        <x:f>IF(A460="","",--(COUNTIF($A$2:A460,A460)=1))</x:f>
      </x:c>
      <x:c r="P460" s="15" t="str">
        <x:f>IF(A460="","",--(COUNTIFS($A$2:A460,A460,$F$2:F460,F460)=1))</x:f>
      </x:c>
    </x:row>
    <x:row r="461">
      <x:c r="A461" s="18"/>
      <x:c r="O461" s="15" t="str">
        <x:f>IF(A461="","",--(COUNTIF($A$2:A461,A461)=1))</x:f>
      </x:c>
      <x:c r="P461" s="15" t="str">
        <x:f>IF(A461="","",--(COUNTIFS($A$2:A461,A461,$F$2:F461,F461)=1))</x:f>
      </x:c>
    </x:row>
    <x:row r="462">
      <x:c r="A462" s="18"/>
      <x:c r="O462" s="15" t="str">
        <x:f>IF(A462="","",--(COUNTIF($A$2:A462,A462)=1))</x:f>
      </x:c>
      <x:c r="P462" s="15" t="str">
        <x:f>IF(A462="","",--(COUNTIFS($A$2:A462,A462,$F$2:F462,F462)=1))</x:f>
      </x:c>
    </x:row>
    <x:row r="463">
      <x:c r="A463" s="18"/>
      <x:c r="O463" s="15" t="str">
        <x:f>IF(A463="","",--(COUNTIF($A$2:A463,A463)=1))</x:f>
      </x:c>
      <x:c r="P463" s="15" t="str">
        <x:f>IF(A463="","",--(COUNTIFS($A$2:A463,A463,$F$2:F463,F463)=1))</x:f>
      </x:c>
    </x:row>
    <x:row r="464">
      <x:c r="A464" s="18"/>
      <x:c r="O464" s="15" t="str">
        <x:f>IF(A464="","",--(COUNTIF($A$2:A464,A464)=1))</x:f>
      </x:c>
      <x:c r="P464" s="15" t="str">
        <x:f>IF(A464="","",--(COUNTIFS($A$2:A464,A464,$F$2:F464,F464)=1))</x:f>
      </x:c>
    </x:row>
    <x:row r="465">
      <x:c r="A465" s="18"/>
      <x:c r="O465" s="15" t="str">
        <x:f>IF(A465="","",--(COUNTIF($A$2:A465,A465)=1))</x:f>
      </x:c>
      <x:c r="P465" s="15" t="str">
        <x:f>IF(A465="","",--(COUNTIFS($A$2:A465,A465,$F$2:F465,F465)=1))</x:f>
      </x:c>
    </x:row>
    <x:row r="466">
      <x:c r="A466" s="18"/>
      <x:c r="O466" s="15" t="str">
        <x:f>IF(A466="","",--(COUNTIF($A$2:A466,A466)=1))</x:f>
      </x:c>
      <x:c r="P466" s="15" t="str">
        <x:f>IF(A466="","",--(COUNTIFS($A$2:A466,A466,$F$2:F466,F466)=1))</x:f>
      </x:c>
    </x:row>
    <x:row r="467">
      <x:c r="A467" s="18"/>
      <x:c r="O467" s="15" t="str">
        <x:f>IF(A467="","",--(COUNTIF($A$2:A467,A467)=1))</x:f>
      </x:c>
      <x:c r="P467" s="15" t="str">
        <x:f>IF(A467="","",--(COUNTIFS($A$2:A467,A467,$F$2:F467,F467)=1))</x:f>
      </x:c>
    </x:row>
    <x:row r="468">
      <x:c r="A468" s="18"/>
      <x:c r="O468" s="15" t="str">
        <x:f>IF(A468="","",--(COUNTIF($A$2:A468,A468)=1))</x:f>
      </x:c>
      <x:c r="P468" s="15" t="str">
        <x:f>IF(A468="","",--(COUNTIFS($A$2:A468,A468,$F$2:F468,F468)=1))</x:f>
      </x:c>
    </x:row>
    <x:row r="469">
      <x:c r="A469" s="18"/>
      <x:c r="O469" s="15" t="str">
        <x:f>IF(A469="","",--(COUNTIF($A$2:A469,A469)=1))</x:f>
      </x:c>
      <x:c r="P469" s="15" t="str">
        <x:f>IF(A469="","",--(COUNTIFS($A$2:A469,A469,$F$2:F469,F469)=1))</x:f>
      </x:c>
    </x:row>
    <x:row r="470">
      <x:c r="A470" s="18"/>
      <x:c r="O470" s="15" t="str">
        <x:f>IF(A470="","",--(COUNTIF($A$2:A470,A470)=1))</x:f>
      </x:c>
      <x:c r="P470" s="15" t="str">
        <x:f>IF(A470="","",--(COUNTIFS($A$2:A470,A470,$F$2:F470,F470)=1))</x:f>
      </x:c>
    </x:row>
    <x:row r="471">
      <x:c r="A471" s="18"/>
      <x:c r="O471" s="15" t="str">
        <x:f>IF(A471="","",--(COUNTIF($A$2:A471,A471)=1))</x:f>
      </x:c>
      <x:c r="P471" s="15" t="str">
        <x:f>IF(A471="","",--(COUNTIFS($A$2:A471,A471,$F$2:F471,F471)=1))</x:f>
      </x:c>
    </x:row>
    <x:row r="472">
      <x:c r="A472" s="18"/>
      <x:c r="O472" s="15" t="str">
        <x:f>IF(A472="","",--(COUNTIF($A$2:A472,A472)=1))</x:f>
      </x:c>
      <x:c r="P472" s="15" t="str">
        <x:f>IF(A472="","",--(COUNTIFS($A$2:A472,A472,$F$2:F472,F472)=1))</x:f>
      </x:c>
    </x:row>
    <x:row r="473">
      <x:c r="A473" s="18"/>
      <x:c r="O473" s="15" t="str">
        <x:f>IF(A473="","",--(COUNTIF($A$2:A473,A473)=1))</x:f>
      </x:c>
      <x:c r="P473" s="15" t="str">
        <x:f>IF(A473="","",--(COUNTIFS($A$2:A473,A473,$F$2:F473,F473)=1))</x:f>
      </x:c>
    </x:row>
    <x:row r="474">
      <x:c r="A474" s="18"/>
      <x:c r="O474" s="15" t="str">
        <x:f>IF(A474="","",--(COUNTIF($A$2:A474,A474)=1))</x:f>
      </x:c>
      <x:c r="P474" s="15" t="str">
        <x:f>IF(A474="","",--(COUNTIFS($A$2:A474,A474,$F$2:F474,F474)=1))</x:f>
      </x:c>
    </x:row>
    <x:row r="475">
      <x:c r="A475" s="18"/>
      <x:c r="O475" s="15" t="str">
        <x:f>IF(A475="","",--(COUNTIF($A$2:A475,A475)=1))</x:f>
      </x:c>
      <x:c r="P475" s="15" t="str">
        <x:f>IF(A475="","",--(COUNTIFS($A$2:A475,A475,$F$2:F475,F475)=1))</x:f>
      </x:c>
    </x:row>
    <x:row r="476">
      <x:c r="A476" s="18"/>
      <x:c r="O476" s="15" t="str">
        <x:f>IF(A476="","",--(COUNTIF($A$2:A476,A476)=1))</x:f>
      </x:c>
      <x:c r="P476" s="15" t="str">
        <x:f>IF(A476="","",--(COUNTIFS($A$2:A476,A476,$F$2:F476,F476)=1))</x:f>
      </x:c>
    </x:row>
    <x:row r="477">
      <x:c r="A477" s="18"/>
      <x:c r="O477" s="15" t="str">
        <x:f>IF(A477="","",--(COUNTIF($A$2:A477,A477)=1))</x:f>
      </x:c>
      <x:c r="P477" s="15" t="str">
        <x:f>IF(A477="","",--(COUNTIFS($A$2:A477,A477,$F$2:F477,F477)=1))</x:f>
      </x:c>
    </x:row>
    <x:row r="478">
      <x:c r="A478" s="18"/>
      <x:c r="O478" s="15" t="str">
        <x:f>IF(A478="","",--(COUNTIF($A$2:A478,A478)=1))</x:f>
      </x:c>
      <x:c r="P478" s="15" t="str">
        <x:f>IF(A478="","",--(COUNTIFS($A$2:A478,A478,$F$2:F478,F478)=1))</x:f>
      </x:c>
    </x:row>
    <x:row r="479">
      <x:c r="A479" s="18"/>
      <x:c r="O479" s="15" t="str">
        <x:f>IF(A479="","",--(COUNTIF($A$2:A479,A479)=1))</x:f>
      </x:c>
      <x:c r="P479" s="15" t="str">
        <x:f>IF(A479="","",--(COUNTIFS($A$2:A479,A479,$F$2:F479,F479)=1))</x:f>
      </x:c>
    </x:row>
    <x:row r="480">
      <x:c r="A480" s="18"/>
      <x:c r="O480" s="15" t="str">
        <x:f>IF(A480="","",--(COUNTIF($A$2:A480,A480)=1))</x:f>
      </x:c>
      <x:c r="P480" s="15" t="str">
        <x:f>IF(A480="","",--(COUNTIFS($A$2:A480,A480,$F$2:F480,F480)=1))</x:f>
      </x:c>
    </x:row>
    <x:row r="481">
      <x:c r="A481" s="18"/>
      <x:c r="O481" s="15" t="str">
        <x:f>IF(A481="","",--(COUNTIF($A$2:A481,A481)=1))</x:f>
      </x:c>
      <x:c r="P481" s="15" t="str">
        <x:f>IF(A481="","",--(COUNTIFS($A$2:A481,A481,$F$2:F481,F481)=1))</x:f>
      </x:c>
    </x:row>
    <x:row r="482">
      <x:c r="A482" s="18"/>
      <x:c r="O482" s="15" t="str">
        <x:f>IF(A482="","",--(COUNTIF($A$2:A482,A482)=1))</x:f>
      </x:c>
      <x:c r="P482" s="15" t="str">
        <x:f>IF(A482="","",--(COUNTIFS($A$2:A482,A482,$F$2:F482,F482)=1))</x:f>
      </x:c>
    </x:row>
    <x:row r="483">
      <x:c r="A483" s="18"/>
      <x:c r="O483" s="15" t="str">
        <x:f>IF(A483="","",--(COUNTIF($A$2:A483,A483)=1))</x:f>
      </x:c>
      <x:c r="P483" s="15" t="str">
        <x:f>IF(A483="","",--(COUNTIFS($A$2:A483,A483,$F$2:F483,F483)=1))</x:f>
      </x:c>
    </x:row>
    <x:row r="484">
      <x:c r="A484" s="18"/>
      <x:c r="O484" s="15" t="str">
        <x:f>IF(A484="","",--(COUNTIF($A$2:A484,A484)=1))</x:f>
      </x:c>
      <x:c r="P484" s="15" t="str">
        <x:f>IF(A484="","",--(COUNTIFS($A$2:A484,A484,$F$2:F484,F484)=1))</x:f>
      </x:c>
    </x:row>
    <x:row r="485">
      <x:c r="A485" s="18"/>
      <x:c r="O485" s="15" t="str">
        <x:f>IF(A485="","",--(COUNTIF($A$2:A485,A485)=1))</x:f>
      </x:c>
      <x:c r="P485" s="15" t="str">
        <x:f>IF(A485="","",--(COUNTIFS($A$2:A485,A485,$F$2:F485,F485)=1))</x:f>
      </x:c>
    </x:row>
    <x:row r="486">
      <x:c r="A486" s="18"/>
      <x:c r="O486" s="15" t="str">
        <x:f>IF(A486="","",--(COUNTIF($A$2:A486,A486)=1))</x:f>
      </x:c>
      <x:c r="P486" s="15" t="str">
        <x:f>IF(A486="","",--(COUNTIFS($A$2:A486,A486,$F$2:F486,F486)=1))</x:f>
      </x:c>
    </x:row>
    <x:row r="487">
      <x:c r="A487" s="18"/>
      <x:c r="O487" s="15" t="str">
        <x:f>IF(A487="","",--(COUNTIF($A$2:A487,A487)=1))</x:f>
      </x:c>
      <x:c r="P487" s="15" t="str">
        <x:f>IF(A487="","",--(COUNTIFS($A$2:A487,A487,$F$2:F487,F487)=1))</x:f>
      </x:c>
    </x:row>
    <x:row r="488">
      <x:c r="A488" s="18"/>
      <x:c r="O488" s="15" t="str">
        <x:f>IF(A488="","",--(COUNTIF($A$2:A488,A488)=1))</x:f>
      </x:c>
      <x:c r="P488" s="15" t="str">
        <x:f>IF(A488="","",--(COUNTIFS($A$2:A488,A488,$F$2:F488,F488)=1))</x:f>
      </x:c>
    </x:row>
    <x:row r="489">
      <x:c r="A489" s="18"/>
      <x:c r="O489" s="15" t="str">
        <x:f>IF(A489="","",--(COUNTIF($A$2:A489,A489)=1))</x:f>
      </x:c>
      <x:c r="P489" s="15" t="str">
        <x:f>IF(A489="","",--(COUNTIFS($A$2:A489,A489,$F$2:F489,F489)=1))</x:f>
      </x:c>
    </x:row>
    <x:row r="490">
      <x:c r="A490" s="18"/>
      <x:c r="O490" s="15" t="str">
        <x:f>IF(A490="","",--(COUNTIF($A$2:A490,A490)=1))</x:f>
      </x:c>
      <x:c r="P490" s="15" t="str">
        <x:f>IF(A490="","",--(COUNTIFS($A$2:A490,A490,$F$2:F490,F490)=1))</x:f>
      </x:c>
    </x:row>
    <x:row r="491">
      <x:c r="A491" s="18"/>
      <x:c r="O491" s="15" t="str">
        <x:f>IF(A491="","",--(COUNTIF($A$2:A491,A491)=1))</x:f>
      </x:c>
      <x:c r="P491" s="15" t="str">
        <x:f>IF(A491="","",--(COUNTIFS($A$2:A491,A491,$F$2:F491,F491)=1))</x:f>
      </x:c>
    </x:row>
    <x:row r="492">
      <x:c r="A492" s="18"/>
      <x:c r="O492" s="15" t="str">
        <x:f>IF(A492="","",--(COUNTIF($A$2:A492,A492)=1))</x:f>
      </x:c>
      <x:c r="P492" s="15" t="str">
        <x:f>IF(A492="","",--(COUNTIFS($A$2:A492,A492,$F$2:F492,F492)=1))</x:f>
      </x:c>
    </x:row>
    <x:row r="493">
      <x:c r="A493" s="18"/>
      <x:c r="O493" s="15" t="str">
        <x:f>IF(A493="","",--(COUNTIF($A$2:A493,A493)=1))</x:f>
      </x:c>
      <x:c r="P493" s="15" t="str">
        <x:f>IF(A493="","",--(COUNTIFS($A$2:A493,A493,$F$2:F493,F493)=1))</x:f>
      </x:c>
    </x:row>
    <x:row r="494">
      <x:c r="A494" s="18"/>
      <x:c r="O494" s="15" t="str">
        <x:f>IF(A494="","",--(COUNTIF($A$2:A494,A494)=1))</x:f>
      </x:c>
      <x:c r="P494" s="15" t="str">
        <x:f>IF(A494="","",--(COUNTIFS($A$2:A494,A494,$F$2:F494,F494)=1))</x:f>
      </x:c>
    </x:row>
    <x:row r="495">
      <x:c r="A495" s="18"/>
      <x:c r="O495" s="15" t="str">
        <x:f>IF(A495="","",--(COUNTIF($A$2:A495,A495)=1))</x:f>
      </x:c>
      <x:c r="P495" s="15" t="str">
        <x:f>IF(A495="","",--(COUNTIFS($A$2:A495,A495,$F$2:F495,F495)=1))</x:f>
      </x:c>
    </x:row>
    <x:row r="496">
      <x:c r="A496" s="18"/>
      <x:c r="O496" s="15" t="str">
        <x:f>IF(A496="","",--(COUNTIF($A$2:A496,A496)=1))</x:f>
      </x:c>
      <x:c r="P496" s="15" t="str">
        <x:f>IF(A496="","",--(COUNTIFS($A$2:A496,A496,$F$2:F496,F496)=1))</x:f>
      </x:c>
    </x:row>
    <x:row r="497">
      <x:c r="A497" s="18"/>
      <x:c r="O497" s="15" t="str">
        <x:f>IF(A497="","",--(COUNTIF($A$2:A497,A497)=1))</x:f>
      </x:c>
      <x:c r="P497" s="15" t="str">
        <x:f>IF(A497="","",--(COUNTIFS($A$2:A497,A497,$F$2:F497,F497)=1))</x:f>
      </x:c>
    </x:row>
    <x:row r="498">
      <x:c r="A498" s="18"/>
      <x:c r="O498" s="15" t="str">
        <x:f>IF(A498="","",--(COUNTIF($A$2:A498,A498)=1))</x:f>
      </x:c>
      <x:c r="P498" s="15" t="str">
        <x:f>IF(A498="","",--(COUNTIFS($A$2:A498,A498,$F$2:F498,F498)=1))</x:f>
      </x:c>
    </x:row>
    <x:row r="499">
      <x:c r="A499" s="18"/>
      <x:c r="O499" s="15" t="str">
        <x:f>IF(A499="","",--(COUNTIF($A$2:A499,A499)=1))</x:f>
      </x:c>
      <x:c r="P499" s="15" t="str">
        <x:f>IF(A499="","",--(COUNTIFS($A$2:A499,A499,$F$2:F499,F499)=1))</x:f>
      </x:c>
    </x:row>
    <x:row r="500">
      <x:c r="A500" s="18"/>
      <x:c r="O500" s="15" t="str">
        <x:f>IF(A500="","",--(COUNTIF($A$2:A500,A500)=1))</x:f>
      </x:c>
      <x:c r="P500" s="15" t="str">
        <x:f>IF(A500="","",--(COUNTIFS($A$2:A500,A500,$F$2:F500,F500)=1))</x:f>
      </x:c>
    </x:row>
    <x:row r="501">
      <x:c r="A501" s="18"/>
      <x:c r="O501" s="15" t="str">
        <x:f>IF(A501="","",--(COUNTIF($A$2:A501,A501)=1))</x:f>
      </x:c>
      <x:c r="P501" s="15" t="str">
        <x:f>IF(A501="","",--(COUNTIFS($A$2:A501,A501,$F$2:F501,F501)=1))</x:f>
      </x:c>
    </x:row>
    <x:row r="502">
      <x:c r="A502" s="18"/>
      <x:c r="O502" s="15" t="str">
        <x:f>IF(A502="","",--(COUNTIF($A$2:A502,A502)=1))</x:f>
      </x:c>
      <x:c r="P502" s="15" t="str">
        <x:f>IF(A502="","",--(COUNTIFS($A$2:A502,A502,$F$2:F502,F502)=1))</x:f>
      </x:c>
    </x:row>
    <x:row r="503">
      <x:c r="A503" s="18"/>
      <x:c r="O503" s="15" t="str">
        <x:f>IF(A503="","",--(COUNTIF($A$2:A503,A503)=1))</x:f>
      </x:c>
      <x:c r="P503" s="15" t="str">
        <x:f>IF(A503="","",--(COUNTIFS($A$2:A503,A503,$F$2:F503,F503)=1))</x:f>
      </x:c>
    </x:row>
    <x:row r="504">
      <x:c r="A504" s="18"/>
      <x:c r="O504" s="15" t="str">
        <x:f>IF(A504="","",--(COUNTIF($A$2:A504,A504)=1))</x:f>
      </x:c>
      <x:c r="P504" s="15" t="str">
        <x:f>IF(A504="","",--(COUNTIFS($A$2:A504,A504,$F$2:F504,F504)=1))</x:f>
      </x:c>
    </x:row>
    <x:row r="505">
      <x:c r="A505" s="18"/>
      <x:c r="O505" s="15" t="str">
        <x:f>IF(A505="","",--(COUNTIF($A$2:A505,A505)=1))</x:f>
      </x:c>
      <x:c r="P505" s="15" t="str">
        <x:f>IF(A505="","",--(COUNTIFS($A$2:A505,A505,$F$2:F505,F505)=1))</x:f>
      </x:c>
    </x:row>
    <x:row r="506">
      <x:c r="A506" s="18"/>
      <x:c r="O506" s="15" t="str">
        <x:f>IF(A506="","",--(COUNTIF($A$2:A506,A506)=1))</x:f>
      </x:c>
      <x:c r="P506" s="15" t="str">
        <x:f>IF(A506="","",--(COUNTIFS($A$2:A506,A506,$F$2:F506,F506)=1))</x:f>
      </x:c>
    </x:row>
    <x:row r="507">
      <x:c r="A507" s="18"/>
      <x:c r="O507" s="15" t="str">
        <x:f>IF(A507="","",--(COUNTIF($A$2:A507,A507)=1))</x:f>
      </x:c>
      <x:c r="P507" s="15" t="str">
        <x:f>IF(A507="","",--(COUNTIFS($A$2:A507,A507,$F$2:F507,F507)=1))</x:f>
      </x:c>
    </x:row>
    <x:row r="508">
      <x:c r="A508" s="18"/>
      <x:c r="O508" s="15" t="str">
        <x:f>IF(A508="","",--(COUNTIF($A$2:A508,A508)=1))</x:f>
      </x:c>
      <x:c r="P508" s="15" t="str">
        <x:f>IF(A508="","",--(COUNTIFS($A$2:A508,A508,$F$2:F508,F508)=1))</x:f>
      </x:c>
    </x:row>
    <x:row r="509">
      <x:c r="A509" s="18"/>
      <x:c r="O509" s="15" t="str">
        <x:f>IF(A509="","",--(COUNTIF($A$2:A509,A509)=1))</x:f>
      </x:c>
      <x:c r="P509" s="15" t="str">
        <x:f>IF(A509="","",--(COUNTIFS($A$2:A509,A509,$F$2:F509,F509)=1))</x:f>
      </x:c>
    </x:row>
    <x:row r="510">
      <x:c r="A510" s="18"/>
      <x:c r="O510" s="15" t="str">
        <x:f>IF(A510="","",--(COUNTIF($A$2:A510,A510)=1))</x:f>
      </x:c>
      <x:c r="P510" s="15" t="str">
        <x:f>IF(A510="","",--(COUNTIFS($A$2:A510,A510,$F$2:F510,F510)=1))</x:f>
      </x:c>
    </x:row>
    <x:row r="511">
      <x:c r="A511" s="18"/>
      <x:c r="O511" s="15" t="str">
        <x:f>IF(A511="","",--(COUNTIF($A$2:A511,A511)=1))</x:f>
      </x:c>
      <x:c r="P511" s="15" t="str">
        <x:f>IF(A511="","",--(COUNTIFS($A$2:A511,A511,$F$2:F511,F511)=1))</x:f>
      </x:c>
    </x:row>
    <x:row r="512">
      <x:c r="A512" s="18"/>
      <x:c r="O512" s="15" t="str">
        <x:f>IF(A512="","",--(COUNTIF($A$2:A512,A512)=1))</x:f>
      </x:c>
      <x:c r="P512" s="15" t="str">
        <x:f>IF(A512="","",--(COUNTIFS($A$2:A512,A512,$F$2:F512,F512)=1))</x:f>
      </x:c>
    </x:row>
    <x:row r="513">
      <x:c r="A513" s="18"/>
      <x:c r="O513" s="15" t="str">
        <x:f>IF(A513="","",--(COUNTIF($A$2:A513,A513)=1))</x:f>
      </x:c>
      <x:c r="P513" s="15" t="str">
        <x:f>IF(A513="","",--(COUNTIFS($A$2:A513,A513,$F$2:F513,F513)=1))</x:f>
      </x:c>
    </x:row>
    <x:row r="514">
      <x:c r="A514" s="18"/>
      <x:c r="O514" s="15" t="str">
        <x:f>IF(A514="","",--(COUNTIF($A$2:A514,A514)=1))</x:f>
      </x:c>
      <x:c r="P514" s="15" t="str">
        <x:f>IF(A514="","",--(COUNTIFS($A$2:A514,A514,$F$2:F514,F514)=1))</x:f>
      </x:c>
    </x:row>
    <x:row r="515">
      <x:c r="A515" s="18"/>
      <x:c r="O515" s="15" t="str">
        <x:f>IF(A515="","",--(COUNTIF($A$2:A515,A515)=1))</x:f>
      </x:c>
      <x:c r="P515" s="15" t="str">
        <x:f>IF(A515="","",--(COUNTIFS($A$2:A515,A515,$F$2:F515,F515)=1))</x:f>
      </x:c>
    </x:row>
    <x:row r="516">
      <x:c r="A516" s="18"/>
      <x:c r="O516" s="15" t="str">
        <x:f>IF(A516="","",--(COUNTIF($A$2:A516,A516)=1))</x:f>
      </x:c>
      <x:c r="P516" s="15" t="str">
        <x:f>IF(A516="","",--(COUNTIFS($A$2:A516,A516,$F$2:F516,F516)=1))</x:f>
      </x:c>
    </x:row>
    <x:row r="517">
      <x:c r="A517" s="18"/>
      <x:c r="O517" s="15" t="str">
        <x:f>IF(A517="","",--(COUNTIF($A$2:A517,A517)=1))</x:f>
      </x:c>
      <x:c r="P517" s="15" t="str">
        <x:f>IF(A517="","",--(COUNTIFS($A$2:A517,A517,$F$2:F517,F517)=1))</x:f>
      </x:c>
    </x:row>
    <x:row r="518">
      <x:c r="A518" s="18"/>
      <x:c r="O518" s="15" t="str">
        <x:f>IF(A518="","",--(COUNTIF($A$2:A518,A518)=1))</x:f>
      </x:c>
      <x:c r="P518" s="15" t="str">
        <x:f>IF(A518="","",--(COUNTIFS($A$2:A518,A518,$F$2:F518,F518)=1))</x:f>
      </x:c>
    </x:row>
    <x:row r="519">
      <x:c r="A519" s="18"/>
      <x:c r="O519" s="15" t="str">
        <x:f>IF(A519="","",--(COUNTIF($A$2:A519,A519)=1))</x:f>
      </x:c>
      <x:c r="P519" s="15" t="str">
        <x:f>IF(A519="","",--(COUNTIFS($A$2:A519,A519,$F$2:F519,F519)=1))</x:f>
      </x:c>
    </x:row>
    <x:row r="520">
      <x:c r="A520" s="18"/>
      <x:c r="O520" s="15" t="str">
        <x:f>IF(A520="","",--(COUNTIF($A$2:A520,A520)=1))</x:f>
      </x:c>
      <x:c r="P520" s="15" t="str">
        <x:f>IF(A520="","",--(COUNTIFS($A$2:A520,A520,$F$2:F520,F520)=1))</x:f>
      </x:c>
    </x:row>
    <x:row r="521">
      <x:c r="A521" s="18"/>
      <x:c r="O521" s="15" t="str">
        <x:f>IF(A521="","",--(COUNTIF($A$2:A521,A521)=1))</x:f>
      </x:c>
      <x:c r="P521" s="15" t="str">
        <x:f>IF(A521="","",--(COUNTIFS($A$2:A521,A521,$F$2:F521,F521)=1))</x:f>
      </x:c>
    </x:row>
    <x:row r="522">
      <x:c r="A522" s="18"/>
      <x:c r="O522" s="15" t="str">
        <x:f>IF(A522="","",--(COUNTIF($A$2:A522,A522)=1))</x:f>
      </x:c>
      <x:c r="P522" s="15" t="str">
        <x:f>IF(A522="","",--(COUNTIFS($A$2:A522,A522,$F$2:F522,F522)=1))</x:f>
      </x:c>
    </x:row>
    <x:row r="523">
      <x:c r="A523" s="18"/>
      <x:c r="O523" s="15" t="str">
        <x:f>IF(A523="","",--(COUNTIF($A$2:A523,A523)=1))</x:f>
      </x:c>
      <x:c r="P523" s="15" t="str">
        <x:f>IF(A523="","",--(COUNTIFS($A$2:A523,A523,$F$2:F523,F523)=1))</x:f>
      </x:c>
    </x:row>
    <x:row r="524">
      <x:c r="A524" s="18"/>
      <x:c r="O524" s="15" t="str">
        <x:f>IF(A524="","",--(COUNTIF($A$2:A524,A524)=1))</x:f>
      </x:c>
      <x:c r="P524" s="15" t="str">
        <x:f>IF(A524="","",--(COUNTIFS($A$2:A524,A524,$F$2:F524,F524)=1))</x:f>
      </x:c>
    </x:row>
    <x:row r="525">
      <x:c r="A525" s="18"/>
      <x:c r="O525" s="15" t="str">
        <x:f>IF(A525="","",--(COUNTIF($A$2:A525,A525)=1))</x:f>
      </x:c>
      <x:c r="P525" s="15" t="str">
        <x:f>IF(A525="","",--(COUNTIFS($A$2:A525,A525,$F$2:F525,F525)=1))</x:f>
      </x:c>
    </x:row>
    <x:row r="526">
      <x:c r="A526" s="18"/>
      <x:c r="O526" s="15" t="str">
        <x:f>IF(A526="","",--(COUNTIF($A$2:A526,A526)=1))</x:f>
      </x:c>
      <x:c r="P526" s="15" t="str">
        <x:f>IF(A526="","",--(COUNTIFS($A$2:A526,A526,$F$2:F526,F526)=1))</x:f>
      </x:c>
    </x:row>
    <x:row r="527">
      <x:c r="A527" s="18"/>
      <x:c r="O527" s="15" t="str">
        <x:f>IF(A527="","",--(COUNTIF($A$2:A527,A527)=1))</x:f>
      </x:c>
      <x:c r="P527" s="15" t="str">
        <x:f>IF(A527="","",--(COUNTIFS($A$2:A527,A527,$F$2:F527,F527)=1))</x:f>
      </x:c>
    </x:row>
    <x:row r="528">
      <x:c r="A528" s="18"/>
      <x:c r="O528" s="15" t="str">
        <x:f>IF(A528="","",--(COUNTIF($A$2:A528,A528)=1))</x:f>
      </x:c>
      <x:c r="P528" s="15" t="str">
        <x:f>IF(A528="","",--(COUNTIFS($A$2:A528,A528,$F$2:F528,F528)=1))</x:f>
      </x:c>
    </x:row>
    <x:row r="529">
      <x:c r="A529" s="18"/>
      <x:c r="O529" s="15" t="str">
        <x:f>IF(A529="","",--(COUNTIF($A$2:A529,A529)=1))</x:f>
      </x:c>
      <x:c r="P529" s="15" t="str">
        <x:f>IF(A529="","",--(COUNTIFS($A$2:A529,A529,$F$2:F529,F529)=1))</x:f>
      </x:c>
    </x:row>
    <x:row r="530">
      <x:c r="A530" s="18"/>
      <x:c r="O530" s="15" t="str">
        <x:f>IF(A530="","",--(COUNTIF($A$2:A530,A530)=1))</x:f>
      </x:c>
      <x:c r="P530" s="15" t="str">
        <x:f>IF(A530="","",--(COUNTIFS($A$2:A530,A530,$F$2:F530,F530)=1))</x:f>
      </x:c>
    </x:row>
    <x:row r="531">
      <x:c r="A531" s="18"/>
      <x:c r="O531" s="15" t="str">
        <x:f>IF(A531="","",--(COUNTIF($A$2:A531,A531)=1))</x:f>
      </x:c>
      <x:c r="P531" s="15" t="str">
        <x:f>IF(A531="","",--(COUNTIFS($A$2:A531,A531,$F$2:F531,F531)=1))</x:f>
      </x:c>
    </x:row>
    <x:row r="532">
      <x:c r="A532" s="18"/>
      <x:c r="O532" s="15" t="str">
        <x:f>IF(A532="","",--(COUNTIF($A$2:A532,A532)=1))</x:f>
      </x:c>
      <x:c r="P532" s="15" t="str">
        <x:f>IF(A532="","",--(COUNTIFS($A$2:A532,A532,$F$2:F532,F532)=1))</x:f>
      </x:c>
    </x:row>
    <x:row r="533">
      <x:c r="A533" s="18"/>
      <x:c r="O533" s="15" t="str">
        <x:f>IF(A533="","",--(COUNTIF($A$2:A533,A533)=1))</x:f>
      </x:c>
      <x:c r="P533" s="15" t="str">
        <x:f>IF(A533="","",--(COUNTIFS($A$2:A533,A533,$F$2:F533,F533)=1))</x:f>
      </x:c>
    </x:row>
    <x:row r="534">
      <x:c r="A534" s="18"/>
      <x:c r="O534" s="15" t="str">
        <x:f>IF(A534="","",--(COUNTIF($A$2:A534,A534)=1))</x:f>
      </x:c>
      <x:c r="P534" s="15" t="str">
        <x:f>IF(A534="","",--(COUNTIFS($A$2:A534,A534,$F$2:F534,F534)=1))</x:f>
      </x:c>
    </x:row>
    <x:row r="535">
      <x:c r="A535" s="18"/>
      <x:c r="O535" s="15" t="str">
        <x:f>IF(A535="","",--(COUNTIF($A$2:A535,A535)=1))</x:f>
      </x:c>
      <x:c r="P535" s="15" t="str">
        <x:f>IF(A535="","",--(COUNTIFS($A$2:A535,A535,$F$2:F535,F535)=1))</x:f>
      </x:c>
    </x:row>
    <x:row r="536">
      <x:c r="A536" s="18"/>
      <x:c r="O536" s="15" t="str">
        <x:f>IF(A536="","",--(COUNTIF($A$2:A536,A536)=1))</x:f>
      </x:c>
      <x:c r="P536" s="15" t="str">
        <x:f>IF(A536="","",--(COUNTIFS($A$2:A536,A536,$F$2:F536,F536)=1))</x:f>
      </x:c>
    </x:row>
    <x:row r="537">
      <x:c r="A537" s="18"/>
      <x:c r="O537" s="15" t="str">
        <x:f>IF(A537="","",--(COUNTIF($A$2:A537,A537)=1))</x:f>
      </x:c>
      <x:c r="P537" s="15" t="str">
        <x:f>IF(A537="","",--(COUNTIFS($A$2:A537,A537,$F$2:F537,F537)=1))</x:f>
      </x:c>
    </x:row>
    <x:row r="538">
      <x:c r="A538" s="18"/>
      <x:c r="O538" s="15" t="str">
        <x:f>IF(A538="","",--(COUNTIF($A$2:A538,A538)=1))</x:f>
      </x:c>
      <x:c r="P538" s="15" t="str">
        <x:f>IF(A538="","",--(COUNTIFS($A$2:A538,A538,$F$2:F538,F538)=1))</x:f>
      </x:c>
    </x:row>
    <x:row r="539">
      <x:c r="A539" s="18"/>
      <x:c r="O539" s="15" t="str">
        <x:f>IF(A539="","",--(COUNTIF($A$2:A539,A539)=1))</x:f>
      </x:c>
      <x:c r="P539" s="15" t="str">
        <x:f>IF(A539="","",--(COUNTIFS($A$2:A539,A539,$F$2:F539,F539)=1))</x:f>
      </x:c>
    </x:row>
    <x:row r="540">
      <x:c r="A540" s="18"/>
      <x:c r="O540" s="15" t="str">
        <x:f>IF(A540="","",--(COUNTIF($A$2:A540,A540)=1))</x:f>
      </x:c>
      <x:c r="P540" s="15" t="str">
        <x:f>IF(A540="","",--(COUNTIFS($A$2:A540,A540,$F$2:F540,F540)=1))</x:f>
      </x:c>
    </x:row>
    <x:row r="541">
      <x:c r="A541" s="18"/>
      <x:c r="O541" s="15" t="str">
        <x:f>IF(A541="","",--(COUNTIF($A$2:A541,A541)=1))</x:f>
      </x:c>
      <x:c r="P541" s="15" t="str">
        <x:f>IF(A541="","",--(COUNTIFS($A$2:A541,A541,$F$2:F541,F541)=1))</x:f>
      </x:c>
    </x:row>
    <x:row r="542">
      <x:c r="A542" s="18"/>
      <x:c r="O542" s="15" t="str">
        <x:f>IF(A542="","",--(COUNTIF($A$2:A542,A542)=1))</x:f>
      </x:c>
      <x:c r="P542" s="15" t="str">
        <x:f>IF(A542="","",--(COUNTIFS($A$2:A542,A542,$F$2:F542,F542)=1))</x:f>
      </x:c>
    </x:row>
    <x:row r="543">
      <x:c r="A543" s="18"/>
      <x:c r="O543" s="15" t="str">
        <x:f>IF(A543="","",--(COUNTIF($A$2:A543,A543)=1))</x:f>
      </x:c>
      <x:c r="P543" s="15" t="str">
        <x:f>IF(A543="","",--(COUNTIFS($A$2:A543,A543,$F$2:F543,F543)=1))</x:f>
      </x:c>
    </x:row>
    <x:row r="544">
      <x:c r="A544" s="18"/>
      <x:c r="O544" s="15" t="str">
        <x:f>IF(A544="","",--(COUNTIF($A$2:A544,A544)=1))</x:f>
      </x:c>
      <x:c r="P544" s="15" t="str">
        <x:f>IF(A544="","",--(COUNTIFS($A$2:A544,A544,$F$2:F544,F544)=1))</x:f>
      </x:c>
    </x:row>
    <x:row r="545">
      <x:c r="A545" s="18"/>
      <x:c r="O545" s="15" t="str">
        <x:f>IF(A545="","",--(COUNTIF($A$2:A545,A545)=1))</x:f>
      </x:c>
      <x:c r="P545" s="15" t="str">
        <x:f>IF(A545="","",--(COUNTIFS($A$2:A545,A545,$F$2:F545,F545)=1))</x:f>
      </x:c>
    </x:row>
    <x:row r="546">
      <x:c r="A546" s="18"/>
      <x:c r="O546" s="15" t="str">
        <x:f>IF(A546="","",--(COUNTIF($A$2:A546,A546)=1))</x:f>
      </x:c>
      <x:c r="P546" s="15" t="str">
        <x:f>IF(A546="","",--(COUNTIFS($A$2:A546,A546,$F$2:F546,F546)=1))</x:f>
      </x:c>
    </x:row>
    <x:row r="547">
      <x:c r="A547" s="18"/>
      <x:c r="O547" s="15" t="str">
        <x:f>IF(A547="","",--(COUNTIF($A$2:A547,A547)=1))</x:f>
      </x:c>
      <x:c r="P547" s="15" t="str">
        <x:f>IF(A547="","",--(COUNTIFS($A$2:A547,A547,$F$2:F547,F547)=1))</x:f>
      </x:c>
    </x:row>
    <x:row r="548">
      <x:c r="A548" s="18"/>
      <x:c r="O548" s="15" t="str">
        <x:f>IF(A548="","",--(COUNTIF($A$2:A548,A548)=1))</x:f>
      </x:c>
      <x:c r="P548" s="15" t="str">
        <x:f>IF(A548="","",--(COUNTIFS($A$2:A548,A548,$F$2:F548,F548)=1))</x:f>
      </x:c>
    </x:row>
    <x:row r="549">
      <x:c r="A549" s="18"/>
      <x:c r="O549" s="15" t="str">
        <x:f>IF(A549="","",--(COUNTIF($A$2:A549,A549)=1))</x:f>
      </x:c>
      <x:c r="P549" s="15" t="str">
        <x:f>IF(A549="","",--(COUNTIFS($A$2:A549,A549,$F$2:F549,F549)=1))</x:f>
      </x:c>
    </x:row>
    <x:row r="550">
      <x:c r="A550" s="18"/>
      <x:c r="O550" s="15" t="str">
        <x:f>IF(A550="","",--(COUNTIF($A$2:A550,A550)=1))</x:f>
      </x:c>
      <x:c r="P550" s="15" t="str">
        <x:f>IF(A550="","",--(COUNTIFS($A$2:A550,A550,$F$2:F550,F550)=1))</x:f>
      </x:c>
    </x:row>
    <x:row r="551">
      <x:c r="A551" s="18"/>
      <x:c r="O551" s="15" t="str">
        <x:f>IF(A551="","",--(COUNTIF($A$2:A551,A551)=1))</x:f>
      </x:c>
      <x:c r="P551" s="15" t="str">
        <x:f>IF(A551="","",--(COUNTIFS($A$2:A551,A551,$F$2:F551,F551)=1))</x:f>
      </x:c>
    </x:row>
    <x:row r="552">
      <x:c r="A552" s="18"/>
      <x:c r="O552" s="15" t="str">
        <x:f>IF(A552="","",--(COUNTIF($A$2:A552,A552)=1))</x:f>
      </x:c>
      <x:c r="P552" s="15" t="str">
        <x:f>IF(A552="","",--(COUNTIFS($A$2:A552,A552,$F$2:F552,F552)=1))</x:f>
      </x:c>
    </x:row>
    <x:row r="553">
      <x:c r="A553" s="18"/>
      <x:c r="O553" s="15" t="str">
        <x:f>IF(A553="","",--(COUNTIF($A$2:A553,A553)=1))</x:f>
      </x:c>
      <x:c r="P553" s="15" t="str">
        <x:f>IF(A553="","",--(COUNTIFS($A$2:A553,A553,$F$2:F553,F553)=1))</x:f>
      </x:c>
    </x:row>
    <x:row r="554">
      <x:c r="A554" s="18"/>
      <x:c r="O554" s="15" t="str">
        <x:f>IF(A554="","",--(COUNTIF($A$2:A554,A554)=1))</x:f>
      </x:c>
      <x:c r="P554" s="15" t="str">
        <x:f>IF(A554="","",--(COUNTIFS($A$2:A554,A554,$F$2:F554,F554)=1))</x:f>
      </x:c>
    </x:row>
    <x:row r="555">
      <x:c r="A555" s="18"/>
      <x:c r="O555" s="15" t="str">
        <x:f>IF(A555="","",--(COUNTIF($A$2:A555,A555)=1))</x:f>
      </x:c>
      <x:c r="P555" s="15" t="str">
        <x:f>IF(A555="","",--(COUNTIFS($A$2:A555,A555,$F$2:F555,F555)=1))</x:f>
      </x:c>
    </x:row>
    <x:row r="556">
      <x:c r="A556" s="18"/>
      <x:c r="O556" s="15" t="str">
        <x:f>IF(A556="","",--(COUNTIF($A$2:A556,A556)=1))</x:f>
      </x:c>
      <x:c r="P556" s="15" t="str">
        <x:f>IF(A556="","",--(COUNTIFS($A$2:A556,A556,$F$2:F556,F556)=1))</x:f>
      </x:c>
    </x:row>
    <x:row r="557">
      <x:c r="A557" s="18"/>
      <x:c r="O557" s="15" t="str">
        <x:f>IF(A557="","",--(COUNTIF($A$2:A557,A557)=1))</x:f>
      </x:c>
      <x:c r="P557" s="15" t="str">
        <x:f>IF(A557="","",--(COUNTIFS($A$2:A557,A557,$F$2:F557,F557)=1))</x:f>
      </x:c>
    </x:row>
    <x:row r="558">
      <x:c r="A558" s="18"/>
      <x:c r="O558" s="15" t="str">
        <x:f>IF(A558="","",--(COUNTIF($A$2:A558,A558)=1))</x:f>
      </x:c>
      <x:c r="P558" s="15" t="str">
        <x:f>IF(A558="","",--(COUNTIFS($A$2:A558,A558,$F$2:F558,F558)=1))</x:f>
      </x:c>
    </x:row>
    <x:row r="559">
      <x:c r="A559" s="18"/>
      <x:c r="O559" s="15" t="str">
        <x:f>IF(A559="","",--(COUNTIF($A$2:A559,A559)=1))</x:f>
      </x:c>
      <x:c r="P559" s="15" t="str">
        <x:f>IF(A559="","",--(COUNTIFS($A$2:A559,A559,$F$2:F559,F559)=1))</x:f>
      </x:c>
    </x:row>
    <x:row r="560">
      <x:c r="A560" s="18"/>
      <x:c r="O560" s="15" t="str">
        <x:f>IF(A560="","",--(COUNTIF($A$2:A560,A560)=1))</x:f>
      </x:c>
      <x:c r="P560" s="15" t="str">
        <x:f>IF(A560="","",--(COUNTIFS($A$2:A560,A560,$F$2:F560,F560)=1))</x:f>
      </x:c>
    </x:row>
    <x:row r="561">
      <x:c r="A561" s="18"/>
      <x:c r="O561" s="15" t="str">
        <x:f>IF(A561="","",--(COUNTIF($A$2:A561,A561)=1))</x:f>
      </x:c>
      <x:c r="P561" s="15" t="str">
        <x:f>IF(A561="","",--(COUNTIFS($A$2:A561,A561,$F$2:F561,F561)=1))</x:f>
      </x:c>
    </x:row>
    <x:row r="562">
      <x:c r="A562" s="18"/>
      <x:c r="O562" s="15" t="str">
        <x:f>IF(A562="","",--(COUNTIF($A$2:A562,A562)=1))</x:f>
      </x:c>
      <x:c r="P562" s="15" t="str">
        <x:f>IF(A562="","",--(COUNTIFS($A$2:A562,A562,$F$2:F562,F562)=1))</x:f>
      </x:c>
    </x:row>
    <x:row r="563">
      <x:c r="A563" s="18"/>
      <x:c r="O563" s="15" t="str">
        <x:f>IF(A563="","",--(COUNTIF($A$2:A563,A563)=1))</x:f>
      </x:c>
      <x:c r="P563" s="15" t="str">
        <x:f>IF(A563="","",--(COUNTIFS($A$2:A563,A563,$F$2:F563,F563)=1))</x:f>
      </x:c>
    </x:row>
    <x:row r="564">
      <x:c r="A564" s="18"/>
      <x:c r="O564" s="15" t="str">
        <x:f>IF(A564="","",--(COUNTIF($A$2:A564,A564)=1))</x:f>
      </x:c>
      <x:c r="P564" s="15" t="str">
        <x:f>IF(A564="","",--(COUNTIFS($A$2:A564,A564,$F$2:F564,F564)=1))</x:f>
      </x:c>
    </x:row>
    <x:row r="565">
      <x:c r="A565" s="18"/>
      <x:c r="O565" s="15" t="str">
        <x:f>IF(A565="","",--(COUNTIF($A$2:A565,A565)=1))</x:f>
      </x:c>
      <x:c r="P565" s="15" t="str">
        <x:f>IF(A565="","",--(COUNTIFS($A$2:A565,A565,$F$2:F565,F565)=1))</x:f>
      </x:c>
    </x:row>
    <x:row r="566">
      <x:c r="A566" s="18"/>
      <x:c r="O566" s="15" t="str">
        <x:f>IF(A566="","",--(COUNTIF($A$2:A566,A566)=1))</x:f>
      </x:c>
      <x:c r="P566" s="15" t="str">
        <x:f>IF(A566="","",--(COUNTIFS($A$2:A566,A566,$F$2:F566,F566)=1))</x:f>
      </x:c>
    </x:row>
    <x:row r="567">
      <x:c r="A567" s="18"/>
      <x:c r="O567" s="15" t="str">
        <x:f>IF(A567="","",--(COUNTIF($A$2:A567,A567)=1))</x:f>
      </x:c>
      <x:c r="P567" s="15" t="str">
        <x:f>IF(A567="","",--(COUNTIFS($A$2:A567,A567,$F$2:F567,F567)=1))</x:f>
      </x:c>
    </x:row>
    <x:row r="568">
      <x:c r="A568" s="18"/>
      <x:c r="O568" s="15" t="str">
        <x:f>IF(A568="","",--(COUNTIF($A$2:A568,A568)=1))</x:f>
      </x:c>
      <x:c r="P568" s="15" t="str">
        <x:f>IF(A568="","",--(COUNTIFS($A$2:A568,A568,$F$2:F568,F568)=1))</x:f>
      </x:c>
    </x:row>
    <x:row r="569">
      <x:c r="A569" s="18"/>
      <x:c r="O569" s="15" t="str">
        <x:f>IF(A569="","",--(COUNTIF($A$2:A569,A569)=1))</x:f>
      </x:c>
      <x:c r="P569" s="15" t="str">
        <x:f>IF(A569="","",--(COUNTIFS($A$2:A569,A569,$F$2:F569,F569)=1))</x:f>
      </x:c>
    </x:row>
    <x:row r="570">
      <x:c r="A570" s="18"/>
      <x:c r="O570" s="15" t="str">
        <x:f>IF(A570="","",--(COUNTIF($A$2:A570,A570)=1))</x:f>
      </x:c>
      <x:c r="P570" s="15" t="str">
        <x:f>IF(A570="","",--(COUNTIFS($A$2:A570,A570,$F$2:F570,F570)=1))</x:f>
      </x:c>
    </x:row>
    <x:row r="571">
      <x:c r="A571" s="18"/>
      <x:c r="O571" s="15" t="str">
        <x:f>IF(A571="","",--(COUNTIF($A$2:A571,A571)=1))</x:f>
      </x:c>
      <x:c r="P571" s="15" t="str">
        <x:f>IF(A571="","",--(COUNTIFS($A$2:A571,A571,$F$2:F571,F571)=1))</x:f>
      </x:c>
    </x:row>
    <x:row r="572">
      <x:c r="A572" s="18"/>
      <x:c r="O572" s="15" t="str">
        <x:f>IF(A572="","",--(COUNTIF($A$2:A572,A572)=1))</x:f>
      </x:c>
      <x:c r="P572" s="15" t="str">
        <x:f>IF(A572="","",--(COUNTIFS($A$2:A572,A572,$F$2:F572,F572)=1))</x:f>
      </x:c>
    </x:row>
    <x:row r="573">
      <x:c r="A573" s="18"/>
      <x:c r="O573" s="15" t="str">
        <x:f>IF(A573="","",--(COUNTIF($A$2:A573,A573)=1))</x:f>
      </x:c>
      <x:c r="P573" s="15" t="str">
        <x:f>IF(A573="","",--(COUNTIFS($A$2:A573,A573,$F$2:F573,F573)=1))</x:f>
      </x:c>
    </x:row>
    <x:row r="574">
      <x:c r="A574" s="18"/>
      <x:c r="O574" s="15" t="str">
        <x:f>IF(A574="","",--(COUNTIF($A$2:A574,A574)=1))</x:f>
      </x:c>
      <x:c r="P574" s="15" t="str">
        <x:f>IF(A574="","",--(COUNTIFS($A$2:A574,A574,$F$2:F574,F574)=1))</x:f>
      </x:c>
    </x:row>
    <x:row r="575">
      <x:c r="A575" s="18"/>
      <x:c r="O575" s="15" t="str">
        <x:f>IF(A575="","",--(COUNTIF($A$2:A575,A575)=1))</x:f>
      </x:c>
      <x:c r="P575" s="15" t="str">
        <x:f>IF(A575="","",--(COUNTIFS($A$2:A575,A575,$F$2:F575,F575)=1))</x:f>
      </x:c>
    </x:row>
    <x:row r="576">
      <x:c r="A576" s="18"/>
      <x:c r="O576" s="15" t="str">
        <x:f>IF(A576="","",--(COUNTIF($A$2:A576,A576)=1))</x:f>
      </x:c>
      <x:c r="P576" s="15" t="str">
        <x:f>IF(A576="","",--(COUNTIFS($A$2:A576,A576,$F$2:F576,F576)=1))</x:f>
      </x:c>
    </x:row>
    <x:row r="577">
      <x:c r="A577" s="18"/>
      <x:c r="O577" s="15" t="str">
        <x:f>IF(A577="","",--(COUNTIF($A$2:A577,A577)=1))</x:f>
      </x:c>
      <x:c r="P577" s="15" t="str">
        <x:f>IF(A577="","",--(COUNTIFS($A$2:A577,A577,$F$2:F577,F577)=1))</x:f>
      </x:c>
    </x:row>
    <x:row r="578">
      <x:c r="A578" s="18"/>
      <x:c r="O578" s="15" t="str">
        <x:f>IF(A578="","",--(COUNTIF($A$2:A578,A578)=1))</x:f>
      </x:c>
      <x:c r="P578" s="15" t="str">
        <x:f>IF(A578="","",--(COUNTIFS($A$2:A578,A578,$F$2:F578,F578)=1))</x:f>
      </x:c>
    </x:row>
    <x:row r="579">
      <x:c r="A579" s="18"/>
      <x:c r="O579" s="15" t="str">
        <x:f>IF(A579="","",--(COUNTIF($A$2:A579,A579)=1))</x:f>
      </x:c>
      <x:c r="P579" s="15" t="str">
        <x:f>IF(A579="","",--(COUNTIFS($A$2:A579,A579,$F$2:F579,F579)=1))</x:f>
      </x:c>
    </x:row>
    <x:row r="580">
      <x:c r="A580" s="18"/>
      <x:c r="O580" s="15" t="str">
        <x:f>IF(A580="","",--(COUNTIF($A$2:A580,A580)=1))</x:f>
      </x:c>
      <x:c r="P580" s="15" t="str">
        <x:f>IF(A580="","",--(COUNTIFS($A$2:A580,A580,$F$2:F580,F580)=1))</x:f>
      </x:c>
    </x:row>
    <x:row r="581">
      <x:c r="A581" s="18"/>
      <x:c r="O581" s="15" t="str">
        <x:f>IF(A581="","",--(COUNTIF($A$2:A581,A581)=1))</x:f>
      </x:c>
      <x:c r="P581" s="15" t="str">
        <x:f>IF(A581="","",--(COUNTIFS($A$2:A581,A581,$F$2:F581,F581)=1))</x:f>
      </x:c>
    </x:row>
    <x:row r="582">
      <x:c r="A582" s="18"/>
      <x:c r="O582" s="15" t="str">
        <x:f>IF(A582="","",--(COUNTIF($A$2:A582,A582)=1))</x:f>
      </x:c>
      <x:c r="P582" s="15" t="str">
        <x:f>IF(A582="","",--(COUNTIFS($A$2:A582,A582,$F$2:F582,F582)=1))</x:f>
      </x:c>
    </x:row>
    <x:row r="583">
      <x:c r="A583" s="18"/>
      <x:c r="O583" s="15" t="str">
        <x:f>IF(A583="","",--(COUNTIF($A$2:A583,A583)=1))</x:f>
      </x:c>
      <x:c r="P583" s="15" t="str">
        <x:f>IF(A583="","",--(COUNTIFS($A$2:A583,A583,$F$2:F583,F583)=1))</x:f>
      </x:c>
    </x:row>
    <x:row r="584">
      <x:c r="A584" s="18"/>
      <x:c r="O584" s="15" t="str">
        <x:f>IF(A584="","",--(COUNTIF($A$2:A584,A584)=1))</x:f>
      </x:c>
      <x:c r="P584" s="15" t="str">
        <x:f>IF(A584="","",--(COUNTIFS($A$2:A584,A584,$F$2:F584,F584)=1))</x:f>
      </x:c>
    </x:row>
    <x:row r="585">
      <x:c r="A585" s="18"/>
      <x:c r="O585" s="15" t="str">
        <x:f>IF(A585="","",--(COUNTIF($A$2:A585,A585)=1))</x:f>
      </x:c>
      <x:c r="P585" s="15" t="str">
        <x:f>IF(A585="","",--(COUNTIFS($A$2:A585,A585,$F$2:F585,F585)=1))</x:f>
      </x:c>
    </x:row>
    <x:row r="586">
      <x:c r="A586" s="18"/>
      <x:c r="O586" s="15" t="str">
        <x:f>IF(A586="","",--(COUNTIF($A$2:A586,A586)=1))</x:f>
      </x:c>
      <x:c r="P586" s="15" t="str">
        <x:f>IF(A586="","",--(COUNTIFS($A$2:A586,A586,$F$2:F586,F586)=1))</x:f>
      </x:c>
    </x:row>
    <x:row r="587">
      <x:c r="A587" s="18"/>
      <x:c r="O587" s="15" t="str">
        <x:f>IF(A587="","",--(COUNTIF($A$2:A587,A587)=1))</x:f>
      </x:c>
      <x:c r="P587" s="15" t="str">
        <x:f>IF(A587="","",--(COUNTIFS($A$2:A587,A587,$F$2:F587,F587)=1))</x:f>
      </x:c>
    </x:row>
    <x:row r="588">
      <x:c r="A588" s="18"/>
      <x:c r="O588" s="15" t="str">
        <x:f>IF(A588="","",--(COUNTIF($A$2:A588,A588)=1))</x:f>
      </x:c>
      <x:c r="P588" s="15" t="str">
        <x:f>IF(A588="","",--(COUNTIFS($A$2:A588,A588,$F$2:F588,F588)=1))</x:f>
      </x:c>
    </x:row>
    <x:row r="589">
      <x:c r="A589" s="18"/>
      <x:c r="O589" s="15" t="str">
        <x:f>IF(A589="","",--(COUNTIF($A$2:A589,A589)=1))</x:f>
      </x:c>
      <x:c r="P589" s="15" t="str">
        <x:f>IF(A589="","",--(COUNTIFS($A$2:A589,A589,$F$2:F589,F589)=1))</x:f>
      </x:c>
    </x:row>
    <x:row r="590">
      <x:c r="A590" s="18"/>
      <x:c r="O590" s="15" t="str">
        <x:f>IF(A590="","",--(COUNTIF($A$2:A590,A590)=1))</x:f>
      </x:c>
      <x:c r="P590" s="15" t="str">
        <x:f>IF(A590="","",--(COUNTIFS($A$2:A590,A590,$F$2:F590,F590)=1))</x:f>
      </x:c>
    </x:row>
    <x:row r="591">
      <x:c r="A591" s="18"/>
      <x:c r="O591" s="15" t="str">
        <x:f>IF(A591="","",--(COUNTIF($A$2:A591,A591)=1))</x:f>
      </x:c>
      <x:c r="P591" s="15" t="str">
        <x:f>IF(A591="","",--(COUNTIFS($A$2:A591,A591,$F$2:F591,F591)=1))</x:f>
      </x:c>
    </x:row>
    <x:row r="592">
      <x:c r="A592" s="18"/>
      <x:c r="O592" s="15" t="str">
        <x:f>IF(A592="","",--(COUNTIF($A$2:A592,A592)=1))</x:f>
      </x:c>
      <x:c r="P592" s="15" t="str">
        <x:f>IF(A592="","",--(COUNTIFS($A$2:A592,A592,$F$2:F592,F592)=1))</x:f>
      </x:c>
    </x:row>
    <x:row r="593">
      <x:c r="A593" s="18"/>
      <x:c r="O593" s="15" t="str">
        <x:f>IF(A593="","",--(COUNTIF($A$2:A593,A593)=1))</x:f>
      </x:c>
      <x:c r="P593" s="15" t="str">
        <x:f>IF(A593="","",--(COUNTIFS($A$2:A593,A593,$F$2:F593,F593)=1))</x:f>
      </x:c>
    </x:row>
    <x:row r="594">
      <x:c r="A594" s="18"/>
      <x:c r="O594" s="15" t="str">
        <x:f>IF(A594="","",--(COUNTIF($A$2:A594,A594)=1))</x:f>
      </x:c>
      <x:c r="P594" s="15" t="str">
        <x:f>IF(A594="","",--(COUNTIFS($A$2:A594,A594,$F$2:F594,F594)=1))</x:f>
      </x:c>
    </x:row>
    <x:row r="595">
      <x:c r="A595" s="18"/>
      <x:c r="O595" s="15" t="str">
        <x:f>IF(A595="","",--(COUNTIF($A$2:A595,A595)=1))</x:f>
      </x:c>
      <x:c r="P595" s="15" t="str">
        <x:f>IF(A595="","",--(COUNTIFS($A$2:A595,A595,$F$2:F595,F595)=1))</x:f>
      </x:c>
    </x:row>
    <x:row r="596">
      <x:c r="A596" s="18"/>
      <x:c r="O596" s="15" t="str">
        <x:f>IF(A596="","",--(COUNTIF($A$2:A596,A596)=1))</x:f>
      </x:c>
      <x:c r="P596" s="15" t="str">
        <x:f>IF(A596="","",--(COUNTIFS($A$2:A596,A596,$F$2:F596,F596)=1))</x:f>
      </x:c>
    </x:row>
    <x:row r="597">
      <x:c r="A597" s="18"/>
      <x:c r="O597" s="15" t="str">
        <x:f>IF(A597="","",--(COUNTIF($A$2:A597,A597)=1))</x:f>
      </x:c>
      <x:c r="P597" s="15" t="str">
        <x:f>IF(A597="","",--(COUNTIFS($A$2:A597,A597,$F$2:F597,F597)=1))</x:f>
      </x:c>
    </x:row>
    <x:row r="598">
      <x:c r="A598" s="18"/>
      <x:c r="O598" s="15" t="str">
        <x:f>IF(A598="","",--(COUNTIF($A$2:A598,A598)=1))</x:f>
      </x:c>
      <x:c r="P598" s="15" t="str">
        <x:f>IF(A598="","",--(COUNTIFS($A$2:A598,A598,$F$2:F598,F598)=1))</x:f>
      </x:c>
    </x:row>
    <x:row r="599">
      <x:c r="A599" s="18"/>
      <x:c r="O599" s="15" t="str">
        <x:f>IF(A599="","",--(COUNTIF($A$2:A599,A599)=1))</x:f>
      </x:c>
      <x:c r="P599" s="15" t="str">
        <x:f>IF(A599="","",--(COUNTIFS($A$2:A599,A599,$F$2:F599,F599)=1))</x:f>
      </x:c>
    </x:row>
    <x:row r="600">
      <x:c r="A600" s="18"/>
      <x:c r="O600" s="15" t="str">
        <x:f>IF(A600="","",--(COUNTIF($A$2:A600,A600)=1))</x:f>
      </x:c>
      <x:c r="P600" s="15" t="str">
        <x:f>IF(A600="","",--(COUNTIFS($A$2:A600,A600,$F$2:F600,F600)=1))</x:f>
      </x:c>
    </x:row>
  </x:sheetData>
  <x:dataValidations count="4">
    <x:dataValidation type="list" sqref="F2:F600">
      <x:formula1>LISTAS!$B$3:$B$11</x:formula1>
    </x:dataValidation>
    <x:dataValidation type="list" sqref="I2:I600">
      <x:formula1>LISTAS!$D$2:$D$3</x:formula1>
    </x:dataValidation>
    <x:dataValidation type="list" sqref="K2:K600">
      <x:formula1>LISTAS!$C$2:$C$5</x:formula1>
    </x:dataValidation>
    <x:dataValidation type="list" sqref="M2:M600">
      <x:formula1>LISTAS!$E$2:$E$3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2" hidden="0" customWidth="1"/>
    <x:col min="5" max="5" width="23" hidden="0" customWidth="1"/>
    <x:col min="6" max="6" width="24" hidden="0" customWidth="1"/>
    <x:col min="7" max="7" width="12" hidden="0" customWidth="1"/>
    <x:col min="8" max="8" width="27" hidden="0" customWidth="1"/>
    <x:col min="9" max="9" width="18" hidden="0" customWidth="1"/>
    <x:col min="10" max="10" width="34" hidden="0" customWidth="1"/>
    <x:col min="11" max="11" width="19" hidden="0" customWidth="1"/>
    <x:col min="12" max="12" width="18" hidden="0" customWidth="1"/>
    <x:col min="13" max="13" width="17" hidden="0" customWidth="1"/>
    <x:col min="14" max="14" width="42" hidden="0" customWidth="1"/>
    <x:col min="15" max="15" width="14" hidden="0" customWidth="1"/>
    <x:col min="16" max="16" width="14" hidden="0" customWidth="1"/>
  </x:cols>
  <x:sheetData>
    <x:row r="1">
      <x:c r="A1" s="9" t="str">
        <x:v>ID Único Equipe / Agente</x:v>
      </x:c>
      <x:c r="B1" s="9" t="str">
        <x:v>Nome da Equipe</x:v>
      </x:c>
      <x:c r="C1" s="9" t="str">
        <x:v>Nome do Colaborador Líder</x:v>
      </x:c>
      <x:c r="D1" s="9" t="str">
        <x:v>Base de Apoio Enorsul</x:v>
      </x:c>
      <x:c r="E1" s="9" t="str">
        <x:v>Município de Origem</x:v>
      </x:c>
      <x:c r="F1" s="9" t="str">
        <x:v>Polo</x:v>
      </x:c>
      <x:c r="G1" s="9" t="str">
        <x:v>Microrrota</x:v>
      </x:c>
      <x:c r="H1" s="9" t="str">
        <x:v>Município de Atendimento</x:v>
      </x:c>
      <x:c r="I1" s="9" t="str">
        <x:v>Tipo de Equipe</x:v>
      </x:c>
      <x:c r="J1" s="9" t="str">
        <x:v>Habilidades / Serviços Aptos</x:v>
      </x:c>
      <x:c r="K1" s="9" t="str">
        <x:v>Status da Equipe</x:v>
      </x:c>
      <x:c r="L1" s="9" t="str">
        <x:v>Frente Principal</x:v>
      </x:c>
      <x:c r="M1" s="9" t="str">
        <x:v>Veículo Disponível</x:v>
      </x:c>
      <x:c r="N1" s="9" t="str">
        <x:v>Observação</x:v>
      </x:c>
      <x:c r="O1" s="14" t="str">
        <x:v>Conta ID Frente</x:v>
      </x:c>
      <x:c r="P1" s="14" t="str">
        <x:v>Conta ID Polo</x:v>
      </x:c>
    </x:row>
    <x:row r="2">
      <x:c r="A2" s="18" t="str">
        <x:v>CINT-01-01-01</x:v>
      </x:c>
      <x:c r="B2" t="str">
        <x:v>Equipe CINT-001</x:v>
      </x:c>
      <x:c r="C2" t="str">
        <x:v>Daniel Gomes</x:v>
      </x:c>
      <x:c r="D2" t="str">
        <x:v>Base Carpina</x:v>
      </x:c>
      <x:c r="E2" t="str">
        <x:v>Carpina</x:v>
      </x:c>
      <x:c r="F2" t="str">
        <x:v>Carpina</x:v>
      </x:c>
      <x:c r="G2" t="str">
        <x:v>MR01</x:v>
      </x:c>
      <x:c r="H2" t="str">
        <x:v>Carpina</x:v>
      </x:c>
      <x:c r="I2" t="str">
        <x:v>Equipe Dupla</x:v>
      </x:c>
      <x:c r="J2" t="str">
        <x:v>Corte / Religação / Vistoria</x:v>
      </x:c>
      <x:c r="K2" t="str">
        <x:v>Em recrutamento</x:v>
      </x:c>
      <x:c r="L2" t="str">
        <x:v>Cobrança</x:v>
      </x:c>
      <x:c r="M2" t="str">
        <x:v>Sim</x:v>
      </x:c>
      <x:c r="N2" t="str">
        <x:v>DADO FICTÍCIO – teste do painel; ID repetido em outra microrrota</x:v>
      </x:c>
      <x:c r="O2" s="15" t="n">
        <x:f>IF(A2="","",--(COUNTIF($A$2:A2,A2)=1))</x:f>
        <x:v>1</x:v>
      </x:c>
      <x:c r="P2" s="15" t="n">
        <x:f>IF(A2="","",--(COUNTIFS($A$2:A2,A2,$F$2:F2,F2)=1))</x:f>
        <x:v>1</x:v>
      </x:c>
    </x:row>
    <x:row r="3">
      <x:c r="A3" s="18" t="str">
        <x:v>CINT-01-01-01</x:v>
      </x:c>
      <x:c r="B3" t="str">
        <x:v>Equipe CINT-001</x:v>
      </x:c>
      <x:c r="C3" t="str">
        <x:v>Daniel Gomes</x:v>
      </x:c>
      <x:c r="D3" t="str">
        <x:v>Base Carpina</x:v>
      </x:c>
      <x:c r="E3" t="str">
        <x:v>Chã de Alegria</x:v>
      </x:c>
      <x:c r="F3" t="str">
        <x:v>Carpina</x:v>
      </x:c>
      <x:c r="G3" t="str">
        <x:v>MR02</x:v>
      </x:c>
      <x:c r="H3" t="str">
        <x:v>Chã de Alegria</x:v>
      </x:c>
      <x:c r="I3" t="str">
        <x:v>Equipe Dupla</x:v>
      </x:c>
      <x:c r="J3" t="str">
        <x:v>Corte / Religação / Vistoria</x:v>
      </x:c>
      <x:c r="K3" t="str">
        <x:v>Em recrutamento</x:v>
      </x:c>
      <x:c r="L3" t="str">
        <x:v>Cobrança</x:v>
      </x:c>
      <x:c r="M3" t="str">
        <x:v>Sim</x:v>
      </x:c>
      <x:c r="N3" t="str">
        <x:v>DADO FICTÍCIO – teste do painel; ID repetido em outra microrrota</x:v>
      </x:c>
      <x:c r="O3" s="15" t="n">
        <x:f>IF(A3="","",--(COUNTIF($A$2:A3,A3)=1))</x:f>
        <x:v>0</x:v>
      </x:c>
      <x:c r="P3" s="15" t="n">
        <x:f>IF(A3="","",--(COUNTIFS($A$2:A3,A3,$F$2:F3,F3)=1))</x:f>
        <x:v>0</x:v>
      </x:c>
    </x:row>
    <x:row r="4">
      <x:c r="A4" s="18" t="str">
        <x:v>CINT-01-01-02</x:v>
      </x:c>
      <x:c r="B4" t="str">
        <x:v>Equipe CINT-002</x:v>
      </x:c>
      <x:c r="C4" t="str">
        <x:v>Gabriel Pereira</x:v>
      </x:c>
      <x:c r="D4" t="str">
        <x:v>Base Carpina</x:v>
      </x:c>
      <x:c r="E4" t="str">
        <x:v>Chã de Alegria</x:v>
      </x:c>
      <x:c r="F4" t="str">
        <x:v>Carpina</x:v>
      </x:c>
      <x:c r="G4" t="str">
        <x:v>MR02</x:v>
      </x:c>
      <x:c r="H4" t="str">
        <x:v>Chã de Alegria</x:v>
      </x:c>
      <x:c r="I4" t="str">
        <x:v>Equipe Simples</x:v>
      </x:c>
      <x:c r="J4" t="str">
        <x:v>Corte / Religação / Vistoria</x:v>
      </x:c>
      <x:c r="K4" t="str">
        <x:v>Em recrutamento</x:v>
      </x:c>
      <x:c r="L4" t="str">
        <x:v>Cobrança</x:v>
      </x:c>
      <x:c r="M4" t="str">
        <x:v>Não</x:v>
      </x:c>
      <x:c r="N4" t="str">
        <x:v>DADO FICTÍCIO – teste do painel; ID repetido em outra microrrota</x:v>
      </x:c>
      <x:c r="O4" s="15" t="n">
        <x:f>IF(A4="","",--(COUNTIF($A$2:A4,A4)=1))</x:f>
        <x:v>1</x:v>
      </x:c>
      <x:c r="P4" s="15" t="n">
        <x:f>IF(A4="","",--(COUNTIFS($A$2:A4,A4,$F$2:F4,F4)=1))</x:f>
        <x:v>1</x:v>
      </x:c>
    </x:row>
    <x:row r="5">
      <x:c r="A5" s="18" t="str">
        <x:v>CINT-01-01-02</x:v>
      </x:c>
      <x:c r="B5" t="str">
        <x:v>Equipe CINT-002</x:v>
      </x:c>
      <x:c r="C5" t="str">
        <x:v>Gabriel Pereira</x:v>
      </x:c>
      <x:c r="D5" t="str">
        <x:v>Base Carpina</x:v>
      </x:c>
      <x:c r="E5" t="str">
        <x:v>João Alfredo</x:v>
      </x:c>
      <x:c r="F5" t="str">
        <x:v>Carpina</x:v>
      </x:c>
      <x:c r="G5" t="str">
        <x:v>MR03</x:v>
      </x:c>
      <x:c r="H5" t="str">
        <x:v>João Alfredo</x:v>
      </x:c>
      <x:c r="I5" t="str">
        <x:v>Equipe Simples</x:v>
      </x:c>
      <x:c r="J5" t="str">
        <x:v>Corte / Religação / Vistoria</x:v>
      </x:c>
      <x:c r="K5" t="str">
        <x:v>Em recrutamento</x:v>
      </x:c>
      <x:c r="L5" t="str">
        <x:v>Cobrança</x:v>
      </x:c>
      <x:c r="M5" t="str">
        <x:v>Não</x:v>
      </x:c>
      <x:c r="N5" t="str">
        <x:v>DADO FICTÍCIO – teste do painel; ID repetido em outra microrrota</x:v>
      </x:c>
      <x:c r="O5" s="15" t="n">
        <x:f>IF(A5="","",--(COUNTIF($A$2:A5,A5)=1))</x:f>
        <x:v>0</x:v>
      </x:c>
      <x:c r="P5" s="15" t="n">
        <x:f>IF(A5="","",--(COUNTIFS($A$2:A5,A5,$F$2:F5,F5)=1))</x:f>
        <x:v>0</x:v>
      </x:c>
    </x:row>
    <x:row r="6">
      <x:c r="A6" s="18" t="str">
        <x:v>CINT-01-02-01</x:v>
      </x:c>
      <x:c r="B6" t="str">
        <x:v>Equipe CINT-003</x:v>
      </x:c>
      <x:c r="C6" t="str">
        <x:v>João Teixeira</x:v>
      </x:c>
      <x:c r="D6" t="str">
        <x:v>Base Carpina</x:v>
      </x:c>
      <x:c r="E6" t="str">
        <x:v>João Alfredo</x:v>
      </x:c>
      <x:c r="F6" t="str">
        <x:v>Carpina</x:v>
      </x:c>
      <x:c r="G6" t="str">
        <x:v>MR03</x:v>
      </x:c>
      <x:c r="H6" t="str">
        <x:v>João Alfredo</x:v>
      </x:c>
      <x:c r="I6" t="str">
        <x:v>Equipe Simples</x:v>
      </x:c>
      <x:c r="J6" t="str">
        <x:v>Corte / Religação / Vistoria</x:v>
      </x:c>
      <x:c r="K6" t="str">
        <x:v>Em contratação</x:v>
      </x:c>
      <x:c r="L6" t="str">
        <x:v>Cobrança</x:v>
      </x:c>
      <x:c r="M6" t="str">
        <x:v>Sim</x:v>
      </x:c>
      <x:c r="N6" t="str">
        <x:v>DADO FICTÍCIO – teste do painel; ID repetido em outra microrrota</x:v>
      </x:c>
      <x:c r="O6" s="15" t="n">
        <x:f>IF(A6="","",--(COUNTIF($A$2:A6,A6)=1))</x:f>
        <x:v>1</x:v>
      </x:c>
      <x:c r="P6" s="15" t="n">
        <x:f>IF(A6="","",--(COUNTIFS($A$2:A6,A6,$F$2:F6,F6)=1))</x:f>
        <x:v>1</x:v>
      </x:c>
    </x:row>
    <x:row r="7">
      <x:c r="A7" s="18" t="str">
        <x:v>CINT-01-02-01</x:v>
      </x:c>
      <x:c r="B7" t="str">
        <x:v>Equipe CINT-003</x:v>
      </x:c>
      <x:c r="C7" t="str">
        <x:v>João Teixeira</x:v>
      </x:c>
      <x:c r="D7" t="str">
        <x:v>Base Carpina</x:v>
      </x:c>
      <x:c r="E7" t="str">
        <x:v>Buenos Aires</x:v>
      </x:c>
      <x:c r="F7" t="str">
        <x:v>Carpina</x:v>
      </x:c>
      <x:c r="G7" t="str">
        <x:v>MR04</x:v>
      </x:c>
      <x:c r="H7" t="str">
        <x:v>Buenos Aires</x:v>
      </x:c>
      <x:c r="I7" t="str">
        <x:v>Equipe Simples</x:v>
      </x:c>
      <x:c r="J7" t="str">
        <x:v>Corte / Religação / Vistoria</x:v>
      </x:c>
      <x:c r="K7" t="str">
        <x:v>Em contratação</x:v>
      </x:c>
      <x:c r="L7" t="str">
        <x:v>Cobrança</x:v>
      </x:c>
      <x:c r="M7" t="str">
        <x:v>Sim</x:v>
      </x:c>
      <x:c r="N7" t="str">
        <x:v>DADO FICTÍCIO – teste do painel; ID repetido em outra microrrota</x:v>
      </x:c>
      <x:c r="O7" s="15" t="n">
        <x:f>IF(A7="","",--(COUNTIF($A$2:A7,A7)=1))</x:f>
        <x:v>0</x:v>
      </x:c>
      <x:c r="P7" s="15" t="n">
        <x:f>IF(A7="","",--(COUNTIFS($A$2:A7,A7,$F$2:F7,F7)=1))</x:f>
        <x:v>0</x:v>
      </x:c>
    </x:row>
    <x:row r="8">
      <x:c r="A8" s="18" t="str">
        <x:v>CINT-01-02-02</x:v>
      </x:c>
      <x:c r="B8" t="str">
        <x:v>Equipe CINT-004</x:v>
      </x:c>
      <x:c r="C8" t="str">
        <x:v>Paulo Almeida</x:v>
      </x:c>
      <x:c r="D8" t="str">
        <x:v>Base Carpina</x:v>
      </x:c>
      <x:c r="E8" t="str">
        <x:v>Buenos Aires</x:v>
      </x:c>
      <x:c r="F8" t="str">
        <x:v>Carpina</x:v>
      </x:c>
      <x:c r="G8" t="str">
        <x:v>MR04</x:v>
      </x:c>
      <x:c r="H8" t="str">
        <x:v>Buenos Aires</x:v>
      </x:c>
      <x:c r="I8" t="str">
        <x:v>Equipe Dupla</x:v>
      </x:c>
      <x:c r="J8" t="str">
        <x:v>Corte / Religação / Vistoria</x:v>
      </x:c>
      <x:c r="K8" t="str">
        <x:v>Em contratação</x:v>
      </x:c>
      <x:c r="L8" t="str">
        <x:v>Cobrança</x:v>
      </x:c>
      <x:c r="M8" t="str">
        <x:v>Não</x:v>
      </x:c>
      <x:c r="N8" t="str">
        <x:v>DADO FICTÍCIO – teste do painel; ID repetido em outra microrrota</x:v>
      </x:c>
      <x:c r="O8" s="15" t="n">
        <x:f>IF(A8="","",--(COUNTIF($A$2:A8,A8)=1))</x:f>
        <x:v>1</x:v>
      </x:c>
      <x:c r="P8" s="15" t="n">
        <x:f>IF(A8="","",--(COUNTIFS($A$2:A8,A8,$F$2:F8,F8)=1))</x:f>
        <x:v>1</x:v>
      </x:c>
    </x:row>
    <x:row r="9">
      <x:c r="A9" s="18" t="str">
        <x:v>CINT-01-02-02</x:v>
      </x:c>
      <x:c r="B9" t="str">
        <x:v>Equipe CINT-004</x:v>
      </x:c>
      <x:c r="C9" t="str">
        <x:v>Paulo Almeida</x:v>
      </x:c>
      <x:c r="D9" t="str">
        <x:v>Base Carpina</x:v>
      </x:c>
      <x:c r="E9" t="str">
        <x:v>Condado</x:v>
      </x:c>
      <x:c r="F9" t="str">
        <x:v>Carpina</x:v>
      </x:c>
      <x:c r="G9" t="str">
        <x:v>MR05</x:v>
      </x:c>
      <x:c r="H9" t="str">
        <x:v>Condado</x:v>
      </x:c>
      <x:c r="I9" t="str">
        <x:v>Equipe Dupla</x:v>
      </x:c>
      <x:c r="J9" t="str">
        <x:v>Corte / Religação / Vistoria</x:v>
      </x:c>
      <x:c r="K9" t="str">
        <x:v>Em contratação</x:v>
      </x:c>
      <x:c r="L9" t="str">
        <x:v>Cobrança</x:v>
      </x:c>
      <x:c r="M9" t="str">
        <x:v>Não</x:v>
      </x:c>
      <x:c r="N9" t="str">
        <x:v>DADO FICTÍCIO – teste do painel; ID repetido em outra microrrota</x:v>
      </x:c>
      <x:c r="O9" s="15" t="n">
        <x:f>IF(A9="","",--(COUNTIF($A$2:A9,A9)=1))</x:f>
        <x:v>0</x:v>
      </x:c>
      <x:c r="P9" s="15" t="n">
        <x:f>IF(A9="","",--(COUNTIFS($A$2:A9,A9,$F$2:F9,F9)=1))</x:f>
        <x:v>0</x:v>
      </x:c>
    </x:row>
    <x:row r="10">
      <x:c r="A10" s="18" t="str">
        <x:v>CINT-01-03-01</x:v>
      </x:c>
      <x:c r="B10" t="str">
        <x:v>Equipe CINT-005</x:v>
      </x:c>
      <x:c r="C10" t="str">
        <x:v>Thiago Gomes</x:v>
      </x:c>
      <x:c r="D10" t="str">
        <x:v>Base Carpina</x:v>
      </x:c>
      <x:c r="E10" t="str">
        <x:v>Condado</x:v>
      </x:c>
      <x:c r="F10" t="str">
        <x:v>Carpina</x:v>
      </x:c>
      <x:c r="G10" t="str">
        <x:v>MR05</x:v>
      </x:c>
      <x:c r="H10" t="str">
        <x:v>Condado</x:v>
      </x:c>
      <x:c r="I10" t="str">
        <x:v>Equipe Dupla</x:v>
      </x:c>
      <x:c r="J10" t="str">
        <x:v>Corte / Religação / Vistoria</x:v>
      </x:c>
      <x:c r="K10" t="str">
        <x:v>Contratada</x:v>
      </x:c>
      <x:c r="L10" t="str">
        <x:v>Cobrança</x:v>
      </x:c>
      <x:c r="M10" t="str">
        <x:v>Sim</x:v>
      </x:c>
      <x:c r="N10" t="str">
        <x:v>DADO FICTÍCIO – teste do painel; ID repetido em outra microrrota</x:v>
      </x:c>
      <x:c r="O10" s="15" t="n">
        <x:f>IF(A10="","",--(COUNTIF($A$2:A10,A10)=1))</x:f>
        <x:v>1</x:v>
      </x:c>
      <x:c r="P10" s="15" t="n">
        <x:f>IF(A10="","",--(COUNTIFS($A$2:A10,A10,$F$2:F10,F10)=1))</x:f>
        <x:v>1</x:v>
      </x:c>
    </x:row>
    <x:row r="11">
      <x:c r="A11" s="18" t="str">
        <x:v>CINT-01-03-01</x:v>
      </x:c>
      <x:c r="B11" t="str">
        <x:v>Equipe CINT-005</x:v>
      </x:c>
      <x:c r="C11" t="str">
        <x:v>Thiago Gomes</x:v>
      </x:c>
      <x:c r="D11" t="str">
        <x:v>Base Carpina</x:v>
      </x:c>
      <x:c r="E11" t="str">
        <x:v>Timbaúba</x:v>
      </x:c>
      <x:c r="F11" t="str">
        <x:v>Carpina</x:v>
      </x:c>
      <x:c r="G11" t="str">
        <x:v>MR06</x:v>
      </x:c>
      <x:c r="H11" t="str">
        <x:v>Timbaúba</x:v>
      </x:c>
      <x:c r="I11" t="str">
        <x:v>Equipe Dupla</x:v>
      </x:c>
      <x:c r="J11" t="str">
        <x:v>Corte / Religação / Vistoria</x:v>
      </x:c>
      <x:c r="K11" t="str">
        <x:v>Contratada</x:v>
      </x:c>
      <x:c r="L11" t="str">
        <x:v>Cobrança</x:v>
      </x:c>
      <x:c r="M11" t="str">
        <x:v>Sim</x:v>
      </x:c>
      <x:c r="N11" t="str">
        <x:v>DADO FICTÍCIO – teste do painel; ID repetido em outra microrrota</x:v>
      </x:c>
      <x:c r="O11" s="15" t="n">
        <x:f>IF(A11="","",--(COUNTIF($A$2:A11,A11)=1))</x:f>
        <x:v>0</x:v>
      </x:c>
      <x:c r="P11" s="15" t="n">
        <x:f>IF(A11="","",--(COUNTIFS($A$2:A11,A11,$F$2:F11,F11)=1))</x:f>
        <x:v>0</x:v>
      </x:c>
    </x:row>
    <x:row r="12">
      <x:c r="A12" s="18" t="str">
        <x:v>CINT-01-03-02</x:v>
      </x:c>
      <x:c r="B12" t="str">
        <x:v>Equipe CINT-006</x:v>
      </x:c>
      <x:c r="C12" t="str">
        <x:v>Alex Pereira</x:v>
      </x:c>
      <x:c r="D12" t="str">
        <x:v>Base Carpina</x:v>
      </x:c>
      <x:c r="E12" t="str">
        <x:v>Timbaúba</x:v>
      </x:c>
      <x:c r="F12" t="str">
        <x:v>Carpina</x:v>
      </x:c>
      <x:c r="G12" t="str">
        <x:v>MR06</x:v>
      </x:c>
      <x:c r="H12" t="str">
        <x:v>Timbaúba</x:v>
      </x:c>
      <x:c r="I12" t="str">
        <x:v>Equipe Simples</x:v>
      </x:c>
      <x:c r="J12" t="str">
        <x:v>Corte / Religação / Vistoria</x:v>
      </x:c>
      <x:c r="K12" t="str">
        <x:v>Contratada</x:v>
      </x:c>
      <x:c r="L12" t="str">
        <x:v>Cobrança</x:v>
      </x:c>
      <x:c r="M12" t="str">
        <x:v>Sim</x:v>
      </x:c>
      <x:c r="N12" t="str">
        <x:v>DADO FICTÍCIO – teste do painel; ID repetido em outra microrrota</x:v>
      </x:c>
      <x:c r="O12" s="15" t="n">
        <x:f>IF(A12="","",--(COUNTIF($A$2:A12,A12)=1))</x:f>
        <x:v>1</x:v>
      </x:c>
      <x:c r="P12" s="15" t="n">
        <x:f>IF(A12="","",--(COUNTIFS($A$2:A12,A12,$F$2:F12,F12)=1))</x:f>
        <x:v>1</x:v>
      </x:c>
    </x:row>
    <x:row r="13">
      <x:c r="A13" s="18" t="str">
        <x:v>CINT-01-03-02</x:v>
      </x:c>
      <x:c r="B13" t="str">
        <x:v>Equipe CINT-006</x:v>
      </x:c>
      <x:c r="C13" t="str">
        <x:v>Alex Pereira</x:v>
      </x:c>
      <x:c r="D13" t="str">
        <x:v>Base Carpina</x:v>
      </x:c>
      <x:c r="E13" t="str">
        <x:v>Carpina</x:v>
      </x:c>
      <x:c r="F13" t="str">
        <x:v>Carpina</x:v>
      </x:c>
      <x:c r="G13" t="str">
        <x:v>MR01</x:v>
      </x:c>
      <x:c r="H13" t="str">
        <x:v>Carpina</x:v>
      </x:c>
      <x:c r="I13" t="str">
        <x:v>Equipe Simples</x:v>
      </x:c>
      <x:c r="J13" t="str">
        <x:v>Corte / Religação / Vistoria</x:v>
      </x:c>
      <x:c r="K13" t="str">
        <x:v>Contratada</x:v>
      </x:c>
      <x:c r="L13" t="str">
        <x:v>Cobrança</x:v>
      </x:c>
      <x:c r="M13" t="str">
        <x:v>Sim</x:v>
      </x:c>
      <x:c r="N13" t="str">
        <x:v>DADO FICTÍCIO – teste do painel; ID repetido em outra microrrota</x:v>
      </x:c>
      <x:c r="O13" s="15" t="n">
        <x:f>IF(A13="","",--(COUNTIF($A$2:A13,A13)=1))</x:f>
        <x:v>0</x:v>
      </x:c>
      <x:c r="P13" s="15" t="n">
        <x:f>IF(A13="","",--(COUNTIFS($A$2:A13,A13,$F$2:F13,F13)=1))</x:f>
        <x:v>0</x:v>
      </x:c>
    </x:row>
    <x:row r="14">
      <x:c r="A14" s="18" t="str">
        <x:v>CINT-01-04-01</x:v>
      </x:c>
      <x:c r="B14" t="str">
        <x:v>Equipe CINT-007</x:v>
      </x:c>
      <x:c r="C14" t="str">
        <x:v>Bruno Teixeira</x:v>
      </x:c>
      <x:c r="D14" t="str">
        <x:v>Base Carpina</x:v>
      </x:c>
      <x:c r="E14" t="str">
        <x:v>Carpina</x:v>
      </x:c>
      <x:c r="F14" t="str">
        <x:v>Carpina</x:v>
      </x:c>
      <x:c r="G14" t="str">
        <x:v>MR01</x:v>
      </x:c>
      <x:c r="H14" t="str">
        <x:v>Carpina</x:v>
      </x:c>
      <x:c r="I14" t="str">
        <x:v>Equipe Simples</x:v>
      </x:c>
      <x:c r="J14" t="str">
        <x:v>Corte / Religação / Vistoria</x:v>
      </x:c>
      <x:c r="K14" t="str">
        <x:v>Mobilizada</x:v>
      </x:c>
      <x:c r="L14" t="str">
        <x:v>Cobrança</x:v>
      </x:c>
      <x:c r="M14" t="str">
        <x:v>Sim</x:v>
      </x:c>
      <x:c r="N14" t="str">
        <x:v>DADO FICTÍCIO – teste do painel; ID repetido em outra microrrota</x:v>
      </x:c>
      <x:c r="O14" s="15" t="n">
        <x:f>IF(A14="","",--(COUNTIF($A$2:A14,A14)=1))</x:f>
        <x:v>1</x:v>
      </x:c>
      <x:c r="P14" s="15" t="n">
        <x:f>IF(A14="","",--(COUNTIFS($A$2:A14,A14,$F$2:F14,F14)=1))</x:f>
        <x:v>1</x:v>
      </x:c>
    </x:row>
    <x:row r="15">
      <x:c r="A15" s="18" t="str">
        <x:v>CINT-01-04-01</x:v>
      </x:c>
      <x:c r="B15" t="str">
        <x:v>Equipe CINT-007</x:v>
      </x:c>
      <x:c r="C15" t="str">
        <x:v>Bruno Teixeira</x:v>
      </x:c>
      <x:c r="D15" t="str">
        <x:v>Base Carpina</x:v>
      </x:c>
      <x:c r="E15" t="str">
        <x:v>Chã de Alegria</x:v>
      </x:c>
      <x:c r="F15" t="str">
        <x:v>Carpina</x:v>
      </x:c>
      <x:c r="G15" t="str">
        <x:v>MR02</x:v>
      </x:c>
      <x:c r="H15" t="str">
        <x:v>Chã de Alegria</x:v>
      </x:c>
      <x:c r="I15" t="str">
        <x:v>Equipe Simples</x:v>
      </x:c>
      <x:c r="J15" t="str">
        <x:v>Corte / Religação / Vistoria</x:v>
      </x:c>
      <x:c r="K15" t="str">
        <x:v>Mobilizada</x:v>
      </x:c>
      <x:c r="L15" t="str">
        <x:v>Cobrança</x:v>
      </x:c>
      <x:c r="M15" t="str">
        <x:v>Sim</x:v>
      </x:c>
      <x:c r="N15" t="str">
        <x:v>DADO FICTÍCIO – teste do painel; ID repetido em outra microrrota</x:v>
      </x:c>
      <x:c r="O15" s="15" t="n">
        <x:f>IF(A15="","",--(COUNTIF($A$2:A15,A15)=1))</x:f>
        <x:v>0</x:v>
      </x:c>
      <x:c r="P15" s="15" t="n">
        <x:f>IF(A15="","",--(COUNTIFS($A$2:A15,A15,$F$2:F15,F15)=1))</x:f>
        <x:v>0</x:v>
      </x:c>
    </x:row>
    <x:row r="16">
      <x:c r="A16" s="18" t="str">
        <x:v>CINT-01-04-02</x:v>
      </x:c>
      <x:c r="B16" t="str">
        <x:v>Equipe CINT-008</x:v>
      </x:c>
      <x:c r="C16" t="str">
        <x:v>Eduardo Almeida</x:v>
      </x:c>
      <x:c r="D16" t="str">
        <x:v>Base Carpina</x:v>
      </x:c>
      <x:c r="E16" t="str">
        <x:v>Chã de Alegria</x:v>
      </x:c>
      <x:c r="F16" t="str">
        <x:v>Carpina</x:v>
      </x:c>
      <x:c r="G16" t="str">
        <x:v>MR02</x:v>
      </x:c>
      <x:c r="H16" t="str">
        <x:v>Chã de Alegria</x:v>
      </x:c>
      <x:c r="I16" t="str">
        <x:v>Equipe Dupla</x:v>
      </x:c>
      <x:c r="J16" t="str">
        <x:v>Corte / Religação / Vistoria</x:v>
      </x:c>
      <x:c r="K16" t="str">
        <x:v>Mobilizada</x:v>
      </x:c>
      <x:c r="L16" t="str">
        <x:v>Cobrança</x:v>
      </x:c>
      <x:c r="M16" t="str">
        <x:v>Sim</x:v>
      </x:c>
      <x:c r="N16" t="str">
        <x:v>DADO FICTÍCIO – teste do painel; ID repetido em outra microrrota</x:v>
      </x:c>
      <x:c r="O16" s="15" t="n">
        <x:f>IF(A16="","",--(COUNTIF($A$2:A16,A16)=1))</x:f>
        <x:v>1</x:v>
      </x:c>
      <x:c r="P16" s="15" t="n">
        <x:f>IF(A16="","",--(COUNTIFS($A$2:A16,A16,$F$2:F16,F16)=1))</x:f>
        <x:v>1</x:v>
      </x:c>
    </x:row>
    <x:row r="17">
      <x:c r="A17" s="18" t="str">
        <x:v>CINT-01-04-02</x:v>
      </x:c>
      <x:c r="B17" t="str">
        <x:v>Equipe CINT-008</x:v>
      </x:c>
      <x:c r="C17" t="str">
        <x:v>Eduardo Almeida</x:v>
      </x:c>
      <x:c r="D17" t="str">
        <x:v>Base Carpina</x:v>
      </x:c>
      <x:c r="E17" t="str">
        <x:v>João Alfredo</x:v>
      </x:c>
      <x:c r="F17" t="str">
        <x:v>Carpina</x:v>
      </x:c>
      <x:c r="G17" t="str">
        <x:v>MR03</x:v>
      </x:c>
      <x:c r="H17" t="str">
        <x:v>João Alfredo</x:v>
      </x:c>
      <x:c r="I17" t="str">
        <x:v>Equipe Dupla</x:v>
      </x:c>
      <x:c r="J17" t="str">
        <x:v>Corte / Religação / Vistoria</x:v>
      </x:c>
      <x:c r="K17" t="str">
        <x:v>Mobilizada</x:v>
      </x:c>
      <x:c r="L17" t="str">
        <x:v>Cobrança</x:v>
      </x:c>
      <x:c r="M17" t="str">
        <x:v>Sim</x:v>
      </x:c>
      <x:c r="N17" t="str">
        <x:v>DADO FICTÍCIO – teste do painel; ID repetido em outra microrrota</x:v>
      </x:c>
      <x:c r="O17" s="15" t="n">
        <x:f>IF(A17="","",--(COUNTIF($A$2:A17,A17)=1))</x:f>
        <x:v>0</x:v>
      </x:c>
      <x:c r="P17" s="15" t="n">
        <x:f>IF(A17="","",--(COUNTIFS($A$2:A17,A17,$F$2:F17,F17)=1))</x:f>
        <x:v>0</x:v>
      </x:c>
    </x:row>
    <x:row r="18">
      <x:c r="A18" s="18" t="str">
        <x:v>CINT-02-01-01</x:v>
      </x:c>
      <x:c r="B18" t="str">
        <x:v>Equipe CINT-009</x:v>
      </x:c>
      <x:c r="C18" t="str">
        <x:v>Henrique Gomes</x:v>
      </x:c>
      <x:c r="D18" t="str">
        <x:v>Base Vitória de Santo Antão</x:v>
      </x:c>
      <x:c r="E18" t="str">
        <x:v>Rio Formoso</x:v>
      </x:c>
      <x:c r="F18" t="str">
        <x:v>Vitória de Santo Antão</x:v>
      </x:c>
      <x:c r="G18" t="str">
        <x:v>MR04</x:v>
      </x:c>
      <x:c r="H18" t="str">
        <x:v>Rio Formoso</x:v>
      </x:c>
      <x:c r="I18" t="str">
        <x:v>Equipe Dupla</x:v>
      </x:c>
      <x:c r="J18" t="str">
        <x:v>Corte / Religação / Vistoria</x:v>
      </x:c>
      <x:c r="K18" t="str">
        <x:v>Em recrutamento</x:v>
      </x:c>
      <x:c r="L18" t="str">
        <x:v>Cobrança</x:v>
      </x:c>
      <x:c r="M18" t="str">
        <x:v>Sim</x:v>
      </x:c>
      <x:c r="N18" t="str">
        <x:v>DADO FICTÍCIO – teste do painel; ID repetido em outra microrrota</x:v>
      </x:c>
      <x:c r="O18" s="15" t="n">
        <x:f>IF(A18="","",--(COUNTIF($A$2:A18,A18)=1))</x:f>
        <x:v>1</x:v>
      </x:c>
      <x:c r="P18" s="15" t="n">
        <x:f>IF(A18="","",--(COUNTIFS($A$2:A18,A18,$F$2:F18,F18)=1))</x:f>
        <x:v>1</x:v>
      </x:c>
    </x:row>
    <x:row r="19">
      <x:c r="A19" s="18" t="str">
        <x:v>CINT-02-01-01</x:v>
      </x:c>
      <x:c r="B19" t="str">
        <x:v>Equipe CINT-009</x:v>
      </x:c>
      <x:c r="C19" t="str">
        <x:v>Henrique Gomes</x:v>
      </x:c>
      <x:c r="D19" t="str">
        <x:v>Base Vitória de Santo Antão</x:v>
      </x:c>
      <x:c r="E19" t="str">
        <x:v>Joaquim Nabuco</x:v>
      </x:c>
      <x:c r="F19" t="str">
        <x:v>Vitória de Santo Antão</x:v>
      </x:c>
      <x:c r="G19" t="str">
        <x:v>MR05</x:v>
      </x:c>
      <x:c r="H19" t="str">
        <x:v>Joaquim Nabuco</x:v>
      </x:c>
      <x:c r="I19" t="str">
        <x:v>Equipe Dupla</x:v>
      </x:c>
      <x:c r="J19" t="str">
        <x:v>Corte / Religação / Vistoria</x:v>
      </x:c>
      <x:c r="K19" t="str">
        <x:v>Em recrutamento</x:v>
      </x:c>
      <x:c r="L19" t="str">
        <x:v>Cobrança</x:v>
      </x:c>
      <x:c r="M19" t="str">
        <x:v>Sim</x:v>
      </x:c>
      <x:c r="N19" t="str">
        <x:v>DADO FICTÍCIO – teste do painel; ID repetido em outra microrrota</x:v>
      </x:c>
      <x:c r="O19" s="15" t="n">
        <x:f>IF(A19="","",--(COUNTIF($A$2:A19,A19)=1))</x:f>
        <x:v>0</x:v>
      </x:c>
      <x:c r="P19" s="15" t="n">
        <x:f>IF(A19="","",--(COUNTIFS($A$2:A19,A19,$F$2:F19,F19)=1))</x:f>
        <x:v>0</x:v>
      </x:c>
    </x:row>
    <x:row r="20">
      <x:c r="A20" s="18" t="str">
        <x:v>CINT-02-01-02</x:v>
      </x:c>
      <x:c r="B20" t="str">
        <x:v>Equipe CINT-010</x:v>
      </x:c>
      <x:c r="C20" t="str">
        <x:v>Lucas Pereira</x:v>
      </x:c>
      <x:c r="D20" t="str">
        <x:v>Base Vitória de Santo Antão</x:v>
      </x:c>
      <x:c r="E20" t="str">
        <x:v>Joaquim Nabuco</x:v>
      </x:c>
      <x:c r="F20" t="str">
        <x:v>Vitória de Santo Antão</x:v>
      </x:c>
      <x:c r="G20" t="str">
        <x:v>MR05</x:v>
      </x:c>
      <x:c r="H20" t="str">
        <x:v>Joaquim Nabuco</x:v>
      </x:c>
      <x:c r="I20" t="str">
        <x:v>Equipe Simples</x:v>
      </x:c>
      <x:c r="J20" t="str">
        <x:v>Corte / Religação / Vistoria</x:v>
      </x:c>
      <x:c r="K20" t="str">
        <x:v>Em recrutamento</x:v>
      </x:c>
      <x:c r="L20" t="str">
        <x:v>Cobrança</x:v>
      </x:c>
      <x:c r="M20" t="str">
        <x:v>Não</x:v>
      </x:c>
      <x:c r="N20" t="str">
        <x:v>DADO FICTÍCIO – teste do painel; ID repetido em outra microrrota</x:v>
      </x:c>
      <x:c r="O20" s="15" t="n">
        <x:f>IF(A20="","",--(COUNTIF($A$2:A20,A20)=1))</x:f>
        <x:v>1</x:v>
      </x:c>
      <x:c r="P20" s="15" t="n">
        <x:f>IF(A20="","",--(COUNTIFS($A$2:A20,A20,$F$2:F20,F20)=1))</x:f>
        <x:v>1</x:v>
      </x:c>
    </x:row>
    <x:row r="21">
      <x:c r="A21" s="18" t="str">
        <x:v>CINT-02-01-02</x:v>
      </x:c>
      <x:c r="B21" t="str">
        <x:v>Equipe CINT-010</x:v>
      </x:c>
      <x:c r="C21" t="str">
        <x:v>Lucas Pereira</x:v>
      </x:c>
      <x:c r="D21" t="str">
        <x:v>Base Vitória de Santo Antão</x:v>
      </x:c>
      <x:c r="E21" t="str">
        <x:v>Vitória de Santo Antão</x:v>
      </x:c>
      <x:c r="F21" t="str">
        <x:v>Vitória de Santo Antão</x:v>
      </x:c>
      <x:c r="G21" t="str">
        <x:v>MR01</x:v>
      </x:c>
      <x:c r="H21" t="str">
        <x:v>Vitória de Santo Antão</x:v>
      </x:c>
      <x:c r="I21" t="str">
        <x:v>Equipe Simples</x:v>
      </x:c>
      <x:c r="J21" t="str">
        <x:v>Corte / Religação / Vistoria</x:v>
      </x:c>
      <x:c r="K21" t="str">
        <x:v>Em recrutamento</x:v>
      </x:c>
      <x:c r="L21" t="str">
        <x:v>Cobrança</x:v>
      </x:c>
      <x:c r="M21" t="str">
        <x:v>Não</x:v>
      </x:c>
      <x:c r="N21" t="str">
        <x:v>DADO FICTÍCIO – teste do painel; ID repetido em outra microrrota</x:v>
      </x:c>
      <x:c r="O21" s="15" t="n">
        <x:f>IF(A21="","",--(COUNTIF($A$2:A21,A21)=1))</x:f>
        <x:v>0</x:v>
      </x:c>
      <x:c r="P21" s="15" t="n">
        <x:f>IF(A21="","",--(COUNTIFS($A$2:A21,A21,$F$2:F21,F21)=1))</x:f>
        <x:v>0</x:v>
      </x:c>
    </x:row>
    <x:row r="22">
      <x:c r="A22" s="18" t="str">
        <x:v>CINT-02-02-01</x:v>
      </x:c>
      <x:c r="B22" t="str">
        <x:v>Equipe CINT-011</x:v>
      </x:c>
      <x:c r="C22" t="str">
        <x:v>Rafael Teixeira</x:v>
      </x:c>
      <x:c r="D22" t="str">
        <x:v>Base Vitória de Santo Antão</x:v>
      </x:c>
      <x:c r="E22" t="str">
        <x:v>Vitória de Santo Antão</x:v>
      </x:c>
      <x:c r="F22" t="str">
        <x:v>Vitória de Santo Antão</x:v>
      </x:c>
      <x:c r="G22" t="str">
        <x:v>MR01</x:v>
      </x:c>
      <x:c r="H22" t="str">
        <x:v>Vitória de Santo Antão</x:v>
      </x:c>
      <x:c r="I22" t="str">
        <x:v>Equipe Simples</x:v>
      </x:c>
      <x:c r="J22" t="str">
        <x:v>Corte / Religação / Vistoria</x:v>
      </x:c>
      <x:c r="K22" t="str">
        <x:v>Em contratação</x:v>
      </x:c>
      <x:c r="L22" t="str">
        <x:v>Cobrança</x:v>
      </x:c>
      <x:c r="M22" t="str">
        <x:v>Sim</x:v>
      </x:c>
      <x:c r="N22" t="str">
        <x:v>DADO FICTÍCIO – teste do painel; ID repetido em outra microrrota</x:v>
      </x:c>
      <x:c r="O22" s="15" t="n">
        <x:f>IF(A22="","",--(COUNTIF($A$2:A22,A22)=1))</x:f>
        <x:v>1</x:v>
      </x:c>
      <x:c r="P22" s="15" t="n">
        <x:f>IF(A22="","",--(COUNTIFS($A$2:A22,A22,$F$2:F22,F22)=1))</x:f>
        <x:v>1</x:v>
      </x:c>
    </x:row>
    <x:row r="23">
      <x:c r="A23" s="18" t="str">
        <x:v>CINT-02-02-01</x:v>
      </x:c>
      <x:c r="B23" t="str">
        <x:v>Equipe CINT-011</x:v>
      </x:c>
      <x:c r="C23" t="str">
        <x:v>Rafael Teixeira</x:v>
      </x:c>
      <x:c r="D23" t="str">
        <x:v>Base Vitória de Santo Antão</x:v>
      </x:c>
      <x:c r="E23" t="str">
        <x:v>Primavera</x:v>
      </x:c>
      <x:c r="F23" t="str">
        <x:v>Vitória de Santo Antão</x:v>
      </x:c>
      <x:c r="G23" t="str">
        <x:v>MR02</x:v>
      </x:c>
      <x:c r="H23" t="str">
        <x:v>Primavera</x:v>
      </x:c>
      <x:c r="I23" t="str">
        <x:v>Equipe Simples</x:v>
      </x:c>
      <x:c r="J23" t="str">
        <x:v>Corte / Religação / Vistoria</x:v>
      </x:c>
      <x:c r="K23" t="str">
        <x:v>Em contratação</x:v>
      </x:c>
      <x:c r="L23" t="str">
        <x:v>Cobrança</x:v>
      </x:c>
      <x:c r="M23" t="str">
        <x:v>Sim</x:v>
      </x:c>
      <x:c r="N23" t="str">
        <x:v>DADO FICTÍCIO – teste do painel; ID repetido em outra microrrota</x:v>
      </x:c>
      <x:c r="O23" s="15" t="n">
        <x:f>IF(A23="","",--(COUNTIF($A$2:A23,A23)=1))</x:f>
        <x:v>0</x:v>
      </x:c>
      <x:c r="P23" s="15" t="n">
        <x:f>IF(A23="","",--(COUNTIFS($A$2:A23,A23,$F$2:F23,F23)=1))</x:f>
        <x:v>0</x:v>
      </x:c>
    </x:row>
    <x:row r="24">
      <x:c r="A24" s="18" t="str">
        <x:v>CINT-02-02-02</x:v>
      </x:c>
      <x:c r="B24" t="str">
        <x:v>Equipe CINT-012</x:v>
      </x:c>
      <x:c r="C24" t="str">
        <x:v>Vinícius Almeida</x:v>
      </x:c>
      <x:c r="D24" t="str">
        <x:v>Base Vitória de Santo Antão</x:v>
      </x:c>
      <x:c r="E24" t="str">
        <x:v>Primavera</x:v>
      </x:c>
      <x:c r="F24" t="str">
        <x:v>Vitória de Santo Antão</x:v>
      </x:c>
      <x:c r="G24" t="str">
        <x:v>MR02</x:v>
      </x:c>
      <x:c r="H24" t="str">
        <x:v>Primavera</x:v>
      </x:c>
      <x:c r="I24" t="str">
        <x:v>Equipe Dupla</x:v>
      </x:c>
      <x:c r="J24" t="str">
        <x:v>Corte / Religação / Vistoria</x:v>
      </x:c>
      <x:c r="K24" t="str">
        <x:v>Em contratação</x:v>
      </x:c>
      <x:c r="L24" t="str">
        <x:v>Cobrança</x:v>
      </x:c>
      <x:c r="M24" t="str">
        <x:v>Não</x:v>
      </x:c>
      <x:c r="N24" t="str">
        <x:v>DADO FICTÍCIO – teste do painel; ID repetido em outra microrrota</x:v>
      </x:c>
      <x:c r="O24" s="15" t="n">
        <x:f>IF(A24="","",--(COUNTIF($A$2:A24,A24)=1))</x:f>
        <x:v>1</x:v>
      </x:c>
      <x:c r="P24" s="15" t="n">
        <x:f>IF(A24="","",--(COUNTIFS($A$2:A24,A24,$F$2:F24,F24)=1))</x:f>
        <x:v>1</x:v>
      </x:c>
    </x:row>
    <x:row r="25">
      <x:c r="A25" s="18" t="str">
        <x:v>CINT-02-02-02</x:v>
      </x:c>
      <x:c r="B25" t="str">
        <x:v>Equipe CINT-012</x:v>
      </x:c>
      <x:c r="C25" t="str">
        <x:v>Vinícius Almeida</x:v>
      </x:c>
      <x:c r="D25" t="str">
        <x:v>Base Vitória de Santo Antão</x:v>
      </x:c>
      <x:c r="E25" t="str">
        <x:v>São José da Coroa Grande</x:v>
      </x:c>
      <x:c r="F25" t="str">
        <x:v>Vitória de Santo Antão</x:v>
      </x:c>
      <x:c r="G25" t="str">
        <x:v>MR03</x:v>
      </x:c>
      <x:c r="H25" t="str">
        <x:v>São José da Coroa Grande</x:v>
      </x:c>
      <x:c r="I25" t="str">
        <x:v>Equipe Dupla</x:v>
      </x:c>
      <x:c r="J25" t="str">
        <x:v>Corte / Religação / Vistoria</x:v>
      </x:c>
      <x:c r="K25" t="str">
        <x:v>Em contratação</x:v>
      </x:c>
      <x:c r="L25" t="str">
        <x:v>Cobrança</x:v>
      </x:c>
      <x:c r="M25" t="str">
        <x:v>Não</x:v>
      </x:c>
      <x:c r="N25" t="str">
        <x:v>DADO FICTÍCIO – teste do painel; ID repetido em outra microrrota</x:v>
      </x:c>
      <x:c r="O25" s="15" t="n">
        <x:f>IF(A25="","",--(COUNTIF($A$2:A25,A25)=1))</x:f>
        <x:v>0</x:v>
      </x:c>
      <x:c r="P25" s="15" t="n">
        <x:f>IF(A25="","",--(COUNTIFS($A$2:A25,A25,$F$2:F25,F25)=1))</x:f>
        <x:v>0</x:v>
      </x:c>
    </x:row>
    <x:row r="26">
      <x:c r="A26" s="18" t="str">
        <x:v>CINT-02-03-01</x:v>
      </x:c>
      <x:c r="B26" t="str">
        <x:v>Equipe CINT-013</x:v>
      </x:c>
      <x:c r="C26" t="str">
        <x:v>Diego Gomes</x:v>
      </x:c>
      <x:c r="D26" t="str">
        <x:v>Base Vitória de Santo Antão</x:v>
      </x:c>
      <x:c r="E26" t="str">
        <x:v>São José da Coroa Grande</x:v>
      </x:c>
      <x:c r="F26" t="str">
        <x:v>Vitória de Santo Antão</x:v>
      </x:c>
      <x:c r="G26" t="str">
        <x:v>MR03</x:v>
      </x:c>
      <x:c r="H26" t="str">
        <x:v>São José da Coroa Grande</x:v>
      </x:c>
      <x:c r="I26" t="str">
        <x:v>Equipe Dupla</x:v>
      </x:c>
      <x:c r="J26" t="str">
        <x:v>Corte / Religação / Vistoria</x:v>
      </x:c>
      <x:c r="K26" t="str">
        <x:v>Contratada</x:v>
      </x:c>
      <x:c r="L26" t="str">
        <x:v>Cobrança</x:v>
      </x:c>
      <x:c r="M26" t="str">
        <x:v>Sim</x:v>
      </x:c>
      <x:c r="N26" t="str">
        <x:v>DADO FICTÍCIO – teste do painel; ID repetido em outra microrrota</x:v>
      </x:c>
      <x:c r="O26" s="15" t="n">
        <x:f>IF(A26="","",--(COUNTIF($A$2:A26,A26)=1))</x:f>
        <x:v>1</x:v>
      </x:c>
      <x:c r="P26" s="15" t="n">
        <x:f>IF(A26="","",--(COUNTIFS($A$2:A26,A26,$F$2:F26,F26)=1))</x:f>
        <x:v>1</x:v>
      </x:c>
    </x:row>
    <x:row r="27">
      <x:c r="A27" s="18" t="str">
        <x:v>CINT-02-03-01</x:v>
      </x:c>
      <x:c r="B27" t="str">
        <x:v>Equipe CINT-013</x:v>
      </x:c>
      <x:c r="C27" t="str">
        <x:v>Diego Gomes</x:v>
      </x:c>
      <x:c r="D27" t="str">
        <x:v>Base Vitória de Santo Antão</x:v>
      </x:c>
      <x:c r="E27" t="str">
        <x:v>Rio Formoso</x:v>
      </x:c>
      <x:c r="F27" t="str">
        <x:v>Vitória de Santo Antão</x:v>
      </x:c>
      <x:c r="G27" t="str">
        <x:v>MR04</x:v>
      </x:c>
      <x:c r="H27" t="str">
        <x:v>Rio Formoso</x:v>
      </x:c>
      <x:c r="I27" t="str">
        <x:v>Equipe Dupla</x:v>
      </x:c>
      <x:c r="J27" t="str">
        <x:v>Corte / Religação / Vistoria</x:v>
      </x:c>
      <x:c r="K27" t="str">
        <x:v>Contratada</x:v>
      </x:c>
      <x:c r="L27" t="str">
        <x:v>Cobrança</x:v>
      </x:c>
      <x:c r="M27" t="str">
        <x:v>Sim</x:v>
      </x:c>
      <x:c r="N27" t="str">
        <x:v>DADO FICTÍCIO – teste do painel; ID repetido em outra microrrota</x:v>
      </x:c>
      <x:c r="O27" s="15" t="n">
        <x:f>IF(A27="","",--(COUNTIF($A$2:A27,A27)=1))</x:f>
        <x:v>0</x:v>
      </x:c>
      <x:c r="P27" s="15" t="n">
        <x:f>IF(A27="","",--(COUNTIFS($A$2:A27,A27,$F$2:F27,F27)=1))</x:f>
        <x:v>0</x:v>
      </x:c>
    </x:row>
    <x:row r="28">
      <x:c r="A28" s="18" t="str">
        <x:v>CINT-02-03-02</x:v>
      </x:c>
      <x:c r="B28" t="str">
        <x:v>Equipe CINT-014</x:v>
      </x:c>
      <x:c r="C28" t="str">
        <x:v>Carlos Pereira</x:v>
      </x:c>
      <x:c r="D28" t="str">
        <x:v>Base Vitória de Santo Antão</x:v>
      </x:c>
      <x:c r="E28" t="str">
        <x:v>Rio Formoso</x:v>
      </x:c>
      <x:c r="F28" t="str">
        <x:v>Vitória de Santo Antão</x:v>
      </x:c>
      <x:c r="G28" t="str">
        <x:v>MR04</x:v>
      </x:c>
      <x:c r="H28" t="str">
        <x:v>Rio Formoso</x:v>
      </x:c>
      <x:c r="I28" t="str">
        <x:v>Equipe Simples</x:v>
      </x:c>
      <x:c r="J28" t="str">
        <x:v>Corte / Religação / Vistoria</x:v>
      </x:c>
      <x:c r="K28" t="str">
        <x:v>Contratada</x:v>
      </x:c>
      <x:c r="L28" t="str">
        <x:v>Cobrança</x:v>
      </x:c>
      <x:c r="M28" t="str">
        <x:v>Sim</x:v>
      </x:c>
      <x:c r="N28" t="str">
        <x:v>DADO FICTÍCIO – teste do painel; ID repetido em outra microrrota</x:v>
      </x:c>
      <x:c r="O28" s="15" t="n">
        <x:f>IF(A28="","",--(COUNTIF($A$2:A28,A28)=1))</x:f>
        <x:v>1</x:v>
      </x:c>
      <x:c r="P28" s="15" t="n">
        <x:f>IF(A28="","",--(COUNTIFS($A$2:A28,A28,$F$2:F28,F28)=1))</x:f>
        <x:v>1</x:v>
      </x:c>
    </x:row>
    <x:row r="29">
      <x:c r="A29" s="18" t="str">
        <x:v>CINT-02-03-02</x:v>
      </x:c>
      <x:c r="B29" t="str">
        <x:v>Equipe CINT-014</x:v>
      </x:c>
      <x:c r="C29" t="str">
        <x:v>Carlos Pereira</x:v>
      </x:c>
      <x:c r="D29" t="str">
        <x:v>Base Vitória de Santo Antão</x:v>
      </x:c>
      <x:c r="E29" t="str">
        <x:v>Joaquim Nabuco</x:v>
      </x:c>
      <x:c r="F29" t="str">
        <x:v>Vitória de Santo Antão</x:v>
      </x:c>
      <x:c r="G29" t="str">
        <x:v>MR05</x:v>
      </x:c>
      <x:c r="H29" t="str">
        <x:v>Joaquim Nabuco</x:v>
      </x:c>
      <x:c r="I29" t="str">
        <x:v>Equipe Simples</x:v>
      </x:c>
      <x:c r="J29" t="str">
        <x:v>Corte / Religação / Vistoria</x:v>
      </x:c>
      <x:c r="K29" t="str">
        <x:v>Contratada</x:v>
      </x:c>
      <x:c r="L29" t="str">
        <x:v>Cobrança</x:v>
      </x:c>
      <x:c r="M29" t="str">
        <x:v>Sim</x:v>
      </x:c>
      <x:c r="N29" t="str">
        <x:v>DADO FICTÍCIO – teste do painel; ID repetido em outra microrrota</x:v>
      </x:c>
      <x:c r="O29" s="15" t="n">
        <x:f>IF(A29="","",--(COUNTIF($A$2:A29,A29)=1))</x:f>
        <x:v>0</x:v>
      </x:c>
      <x:c r="P29" s="15" t="n">
        <x:f>IF(A29="","",--(COUNTIFS($A$2:A29,A29,$F$2:F29,F29)=1))</x:f>
        <x:v>0</x:v>
      </x:c>
    </x:row>
    <x:row r="30">
      <x:c r="A30" s="18" t="str">
        <x:v>CINT-02-04-01</x:v>
      </x:c>
      <x:c r="B30" t="str">
        <x:v>Equipe CINT-015</x:v>
      </x:c>
      <x:c r="C30" t="str">
        <x:v>Felipe Teixeira</x:v>
      </x:c>
      <x:c r="D30" t="str">
        <x:v>Base Vitória de Santo Antão</x:v>
      </x:c>
      <x:c r="E30" t="str">
        <x:v>Joaquim Nabuco</x:v>
      </x:c>
      <x:c r="F30" t="str">
        <x:v>Vitória de Santo Antão</x:v>
      </x:c>
      <x:c r="G30" t="str">
        <x:v>MR05</x:v>
      </x:c>
      <x:c r="H30" t="str">
        <x:v>Joaquim Nabuco</x:v>
      </x:c>
      <x:c r="I30" t="str">
        <x:v>Equipe Simples</x:v>
      </x:c>
      <x:c r="J30" t="str">
        <x:v>Corte / Religação / Vistoria</x:v>
      </x:c>
      <x:c r="K30" t="str">
        <x:v>Mobilizada</x:v>
      </x:c>
      <x:c r="L30" t="str">
        <x:v>Cobrança</x:v>
      </x:c>
      <x:c r="M30" t="str">
        <x:v>Sim</x:v>
      </x:c>
      <x:c r="N30" t="str">
        <x:v>DADO FICTÍCIO – teste do painel; ID repetido em outra microrrota</x:v>
      </x:c>
      <x:c r="O30" s="15" t="n">
        <x:f>IF(A30="","",--(COUNTIF($A$2:A30,A30)=1))</x:f>
        <x:v>1</x:v>
      </x:c>
      <x:c r="P30" s="15" t="n">
        <x:f>IF(A30="","",--(COUNTIFS($A$2:A30,A30,$F$2:F30,F30)=1))</x:f>
        <x:v>1</x:v>
      </x:c>
    </x:row>
    <x:row r="31">
      <x:c r="A31" s="18" t="str">
        <x:v>CINT-02-04-01</x:v>
      </x:c>
      <x:c r="B31" t="str">
        <x:v>Equipe CINT-015</x:v>
      </x:c>
      <x:c r="C31" t="str">
        <x:v>Felipe Teixeira</x:v>
      </x:c>
      <x:c r="D31" t="str">
        <x:v>Base Vitória de Santo Antão</x:v>
      </x:c>
      <x:c r="E31" t="str">
        <x:v>Vitória de Santo Antão</x:v>
      </x:c>
      <x:c r="F31" t="str">
        <x:v>Vitória de Santo Antão</x:v>
      </x:c>
      <x:c r="G31" t="str">
        <x:v>MR01</x:v>
      </x:c>
      <x:c r="H31" t="str">
        <x:v>Vitória de Santo Antão</x:v>
      </x:c>
      <x:c r="I31" t="str">
        <x:v>Equipe Simples</x:v>
      </x:c>
      <x:c r="J31" t="str">
        <x:v>Corte / Religação / Vistoria</x:v>
      </x:c>
      <x:c r="K31" t="str">
        <x:v>Mobilizada</x:v>
      </x:c>
      <x:c r="L31" t="str">
        <x:v>Cobrança</x:v>
      </x:c>
      <x:c r="M31" t="str">
        <x:v>Sim</x:v>
      </x:c>
      <x:c r="N31" t="str">
        <x:v>DADO FICTÍCIO – teste do painel; ID repetido em outra microrrota</x:v>
      </x:c>
      <x:c r="O31" s="15" t="n">
        <x:f>IF(A31="","",--(COUNTIF($A$2:A31,A31)=1))</x:f>
        <x:v>0</x:v>
      </x:c>
      <x:c r="P31" s="15" t="n">
        <x:f>IF(A31="","",--(COUNTIFS($A$2:A31,A31,$F$2:F31,F31)=1))</x:f>
        <x:v>0</x:v>
      </x:c>
    </x:row>
    <x:row r="32">
      <x:c r="A32" s="18" t="str">
        <x:v>CINT-02-04-02</x:v>
      </x:c>
      <x:c r="B32" t="str">
        <x:v>Equipe CINT-016</x:v>
      </x:c>
      <x:c r="C32" t="str">
        <x:v>Igor Almeida</x:v>
      </x:c>
      <x:c r="D32" t="str">
        <x:v>Base Vitória de Santo Antão</x:v>
      </x:c>
      <x:c r="E32" t="str">
        <x:v>Vitória de Santo Antão</x:v>
      </x:c>
      <x:c r="F32" t="str">
        <x:v>Vitória de Santo Antão</x:v>
      </x:c>
      <x:c r="G32" t="str">
        <x:v>MR01</x:v>
      </x:c>
      <x:c r="H32" t="str">
        <x:v>Vitória de Santo Antão</x:v>
      </x:c>
      <x:c r="I32" t="str">
        <x:v>Equipe Dupla</x:v>
      </x:c>
      <x:c r="J32" t="str">
        <x:v>Corte / Religação / Vistoria</x:v>
      </x:c>
      <x:c r="K32" t="str">
        <x:v>Mobilizada</x:v>
      </x:c>
      <x:c r="L32" t="str">
        <x:v>Cobrança</x:v>
      </x:c>
      <x:c r="M32" t="str">
        <x:v>Sim</x:v>
      </x:c>
      <x:c r="N32" t="str">
        <x:v>DADO FICTÍCIO – teste do painel; ID repetido em outra microrrota</x:v>
      </x:c>
      <x:c r="O32" s="15" t="n">
        <x:f>IF(A32="","",--(COUNTIF($A$2:A32,A32)=1))</x:f>
        <x:v>1</x:v>
      </x:c>
      <x:c r="P32" s="15" t="n">
        <x:f>IF(A32="","",--(COUNTIFS($A$2:A32,A32,$F$2:F32,F32)=1))</x:f>
        <x:v>1</x:v>
      </x:c>
    </x:row>
    <x:row r="33">
      <x:c r="A33" s="18" t="str">
        <x:v>CINT-02-04-02</x:v>
      </x:c>
      <x:c r="B33" t="str">
        <x:v>Equipe CINT-016</x:v>
      </x:c>
      <x:c r="C33" t="str">
        <x:v>Igor Almeida</x:v>
      </x:c>
      <x:c r="D33" t="str">
        <x:v>Base Vitória de Santo Antão</x:v>
      </x:c>
      <x:c r="E33" t="str">
        <x:v>Primavera</x:v>
      </x:c>
      <x:c r="F33" t="str">
        <x:v>Vitória de Santo Antão</x:v>
      </x:c>
      <x:c r="G33" t="str">
        <x:v>MR02</x:v>
      </x:c>
      <x:c r="H33" t="str">
        <x:v>Primavera</x:v>
      </x:c>
      <x:c r="I33" t="str">
        <x:v>Equipe Dupla</x:v>
      </x:c>
      <x:c r="J33" t="str">
        <x:v>Corte / Religação / Vistoria</x:v>
      </x:c>
      <x:c r="K33" t="str">
        <x:v>Mobilizada</x:v>
      </x:c>
      <x:c r="L33" t="str">
        <x:v>Cobrança</x:v>
      </x:c>
      <x:c r="M33" t="str">
        <x:v>Sim</x:v>
      </x:c>
      <x:c r="N33" t="str">
        <x:v>DADO FICTÍCIO – teste do painel; ID repetido em outra microrrota</x:v>
      </x:c>
      <x:c r="O33" s="15" t="n">
        <x:f>IF(A33="","",--(COUNTIF($A$2:A33,A33)=1))</x:f>
        <x:v>0</x:v>
      </x:c>
      <x:c r="P33" s="15" t="n">
        <x:f>IF(A33="","",--(COUNTIFS($A$2:A33,A33,$F$2:F33,F33)=1))</x:f>
        <x:v>0</x:v>
      </x:c>
    </x:row>
    <x:row r="34">
      <x:c r="A34" s="18" t="str">
        <x:v>CINT-03-01-01</x:v>
      </x:c>
      <x:c r="B34" t="str">
        <x:v>Equipe CINT-017</x:v>
      </x:c>
      <x:c r="C34" t="str">
        <x:v>Marcos Gomes</x:v>
      </x:c>
      <x:c r="D34" t="str">
        <x:v>Base Gravatá</x:v>
      </x:c>
      <x:c r="E34" t="str">
        <x:v>Barra de Guabiraba</x:v>
      </x:c>
      <x:c r="F34" t="str">
        <x:v>Gravatá</x:v>
      </x:c>
      <x:c r="G34" t="str">
        <x:v>MR01</x:v>
      </x:c>
      <x:c r="H34" t="str">
        <x:v>Barra de Guabiraba</x:v>
      </x:c>
      <x:c r="I34" t="str">
        <x:v>Equipe Dupla</x:v>
      </x:c>
      <x:c r="J34" t="str">
        <x:v>Corte / Religação / Vistoria</x:v>
      </x:c>
      <x:c r="K34" t="str">
        <x:v>Em recrutamento</x:v>
      </x:c>
      <x:c r="L34" t="str">
        <x:v>Cobrança</x:v>
      </x:c>
      <x:c r="M34" t="str">
        <x:v>Sim</x:v>
      </x:c>
      <x:c r="N34" t="str">
        <x:v>DADO FICTÍCIO – teste do painel; ID repetido em outra microrrota</x:v>
      </x:c>
      <x:c r="O34" s="15" t="n">
        <x:f>IF(A34="","",--(COUNTIF($A$2:A34,A34)=1))</x:f>
        <x:v>1</x:v>
      </x:c>
      <x:c r="P34" s="15" t="n">
        <x:f>IF(A34="","",--(COUNTIFS($A$2:A34,A34,$F$2:F34,F34)=1))</x:f>
        <x:v>1</x:v>
      </x:c>
    </x:row>
    <x:row r="35">
      <x:c r="A35" s="18" t="str">
        <x:v>CINT-03-01-01</x:v>
      </x:c>
      <x:c r="B35" t="str">
        <x:v>Equipe CINT-017</x:v>
      </x:c>
      <x:c r="C35" t="str">
        <x:v>Marcos Gomes</x:v>
      </x:c>
      <x:c r="D35" t="str">
        <x:v>Base Gravatá</x:v>
      </x:c>
      <x:c r="E35" t="str">
        <x:v>Gravatá</x:v>
      </x:c>
      <x:c r="F35" t="str">
        <x:v>Gravatá</x:v>
      </x:c>
      <x:c r="G35" t="str">
        <x:v>MR02</x:v>
      </x:c>
      <x:c r="H35" t="str">
        <x:v>Gravatá</x:v>
      </x:c>
      <x:c r="I35" t="str">
        <x:v>Equipe Dupla</x:v>
      </x:c>
      <x:c r="J35" t="str">
        <x:v>Corte / Religação / Vistoria</x:v>
      </x:c>
      <x:c r="K35" t="str">
        <x:v>Em recrutamento</x:v>
      </x:c>
      <x:c r="L35" t="str">
        <x:v>Cobrança</x:v>
      </x:c>
      <x:c r="M35" t="str">
        <x:v>Sim</x:v>
      </x:c>
      <x:c r="N35" t="str">
        <x:v>DADO FICTÍCIO – teste do painel; ID repetido em outra microrrota</x:v>
      </x:c>
      <x:c r="O35" s="15" t="n">
        <x:f>IF(A35="","",--(COUNTIF($A$2:A35,A35)=1))</x:f>
        <x:v>0</x:v>
      </x:c>
      <x:c r="P35" s="15" t="n">
        <x:f>IF(A35="","",--(COUNTIFS($A$2:A35,A35,$F$2:F35,F35)=1))</x:f>
        <x:v>0</x:v>
      </x:c>
    </x:row>
    <x:row r="36">
      <x:c r="A36" s="18" t="str">
        <x:v>CINT-03-01-02</x:v>
      </x:c>
      <x:c r="B36" t="str">
        <x:v>Equipe CINT-018</x:v>
      </x:c>
      <x:c r="C36" t="str">
        <x:v>Renato Pereira</x:v>
      </x:c>
      <x:c r="D36" t="str">
        <x:v>Base Gravatá</x:v>
      </x:c>
      <x:c r="E36" t="str">
        <x:v>Gravatá</x:v>
      </x:c>
      <x:c r="F36" t="str">
        <x:v>Gravatá</x:v>
      </x:c>
      <x:c r="G36" t="str">
        <x:v>MR02</x:v>
      </x:c>
      <x:c r="H36" t="str">
        <x:v>Gravatá</x:v>
      </x:c>
      <x:c r="I36" t="str">
        <x:v>Equipe Simples</x:v>
      </x:c>
      <x:c r="J36" t="str">
        <x:v>Corte / Religação / Vistoria</x:v>
      </x:c>
      <x:c r="K36" t="str">
        <x:v>Em recrutamento</x:v>
      </x:c>
      <x:c r="L36" t="str">
        <x:v>Cobrança</x:v>
      </x:c>
      <x:c r="M36" t="str">
        <x:v>Não</x:v>
      </x:c>
      <x:c r="N36" t="str">
        <x:v>DADO FICTÍCIO – teste do painel; ID repetido em outra microrrota</x:v>
      </x:c>
      <x:c r="O36" s="15" t="n">
        <x:f>IF(A36="","",--(COUNTIF($A$2:A36,A36)=1))</x:f>
        <x:v>1</x:v>
      </x:c>
      <x:c r="P36" s="15" t="n">
        <x:f>IF(A36="","",--(COUNTIFS($A$2:A36,A36,$F$2:F36,F36)=1))</x:f>
        <x:v>1</x:v>
      </x:c>
    </x:row>
    <x:row r="37">
      <x:c r="A37" s="18" t="str">
        <x:v>CINT-03-01-02</x:v>
      </x:c>
      <x:c r="B37" t="str">
        <x:v>Equipe CINT-018</x:v>
      </x:c>
      <x:c r="C37" t="str">
        <x:v>Renato Pereira</x:v>
      </x:c>
      <x:c r="D37" t="str">
        <x:v>Base Gravatá</x:v>
      </x:c>
      <x:c r="E37" t="str">
        <x:v>Bezerros</x:v>
      </x:c>
      <x:c r="F37" t="str">
        <x:v>Gravatá</x:v>
      </x:c>
      <x:c r="G37" t="str">
        <x:v>MR03</x:v>
      </x:c>
      <x:c r="H37" t="str">
        <x:v>Bezerros</x:v>
      </x:c>
      <x:c r="I37" t="str">
        <x:v>Equipe Simples</x:v>
      </x:c>
      <x:c r="J37" t="str">
        <x:v>Corte / Religação / Vistoria</x:v>
      </x:c>
      <x:c r="K37" t="str">
        <x:v>Em recrutamento</x:v>
      </x:c>
      <x:c r="L37" t="str">
        <x:v>Cobrança</x:v>
      </x:c>
      <x:c r="M37" t="str">
        <x:v>Não</x:v>
      </x:c>
      <x:c r="N37" t="str">
        <x:v>DADO FICTÍCIO – teste do painel; ID repetido em outra microrrota</x:v>
      </x:c>
      <x:c r="O37" s="15" t="n">
        <x:f>IF(A37="","",--(COUNTIF($A$2:A37,A37)=1))</x:f>
        <x:v>0</x:v>
      </x:c>
      <x:c r="P37" s="15" t="n">
        <x:f>IF(A37="","",--(COUNTIFS($A$2:A37,A37,$F$2:F37,F37)=1))</x:f>
        <x:v>0</x:v>
      </x:c>
    </x:row>
    <x:row r="38">
      <x:c r="A38" s="18" t="str">
        <x:v>CINT-03-02-01</x:v>
      </x:c>
      <x:c r="B38" t="str">
        <x:v>Equipe CINT-019</x:v>
      </x:c>
      <x:c r="C38" t="str">
        <x:v>Wagner Teixeira</x:v>
      </x:c>
      <x:c r="D38" t="str">
        <x:v>Base Gravatá</x:v>
      </x:c>
      <x:c r="E38" t="str">
        <x:v>Bezerros</x:v>
      </x:c>
      <x:c r="F38" t="str">
        <x:v>Gravatá</x:v>
      </x:c>
      <x:c r="G38" t="str">
        <x:v>MR03</x:v>
      </x:c>
      <x:c r="H38" t="str">
        <x:v>Bezerros</x:v>
      </x:c>
      <x:c r="I38" t="str">
        <x:v>Equipe Simples</x:v>
      </x:c>
      <x:c r="J38" t="str">
        <x:v>Corte / Religação / Vistoria</x:v>
      </x:c>
      <x:c r="K38" t="str">
        <x:v>Em contratação</x:v>
      </x:c>
      <x:c r="L38" t="str">
        <x:v>Cobrança</x:v>
      </x:c>
      <x:c r="M38" t="str">
        <x:v>Sim</x:v>
      </x:c>
      <x:c r="N38" t="str">
        <x:v>DADO FICTÍCIO – teste do painel; ID repetido em outra microrrota</x:v>
      </x:c>
      <x:c r="O38" s="15" t="n">
        <x:f>IF(A38="","",--(COUNTIF($A$2:A38,A38)=1))</x:f>
        <x:v>1</x:v>
      </x:c>
      <x:c r="P38" s="15" t="n">
        <x:f>IF(A38="","",--(COUNTIFS($A$2:A38,A38,$F$2:F38,F38)=1))</x:f>
        <x:v>1</x:v>
      </x:c>
    </x:row>
    <x:row r="39">
      <x:c r="A39" s="18" t="str">
        <x:v>CINT-03-02-01</x:v>
      </x:c>
      <x:c r="B39" t="str">
        <x:v>Equipe CINT-019</x:v>
      </x:c>
      <x:c r="C39" t="str">
        <x:v>Wagner Teixeira</x:v>
      </x:c>
      <x:c r="D39" t="str">
        <x:v>Base Gravatá</x:v>
      </x:c>
      <x:c r="E39" t="str">
        <x:v>Camocim de São Félix</x:v>
      </x:c>
      <x:c r="F39" t="str">
        <x:v>Gravatá</x:v>
      </x:c>
      <x:c r="G39" t="str">
        <x:v>MR04</x:v>
      </x:c>
      <x:c r="H39" t="str">
        <x:v>Camocim de São Félix</x:v>
      </x:c>
      <x:c r="I39" t="str">
        <x:v>Equipe Simples</x:v>
      </x:c>
      <x:c r="J39" t="str">
        <x:v>Corte / Religação / Vistoria</x:v>
      </x:c>
      <x:c r="K39" t="str">
        <x:v>Em contratação</x:v>
      </x:c>
      <x:c r="L39" t="str">
        <x:v>Cobrança</x:v>
      </x:c>
      <x:c r="M39" t="str">
        <x:v>Sim</x:v>
      </x:c>
      <x:c r="N39" t="str">
        <x:v>DADO FICTÍCIO – teste do painel; ID repetido em outra microrrota</x:v>
      </x:c>
      <x:c r="O39" s="15" t="n">
        <x:f>IF(A39="","",--(COUNTIF($A$2:A39,A39)=1))</x:f>
        <x:v>0</x:v>
      </x:c>
      <x:c r="P39" s="15" t="n">
        <x:f>IF(A39="","",--(COUNTIFS($A$2:A39,A39,$F$2:F39,F39)=1))</x:f>
        <x:v>0</x:v>
      </x:c>
    </x:row>
    <x:row r="40">
      <x:c r="A40" s="18" t="str">
        <x:v>CINT-03-02-02</x:v>
      </x:c>
      <x:c r="B40" t="str">
        <x:v>Equipe CINT-020</x:v>
      </x:c>
      <x:c r="C40" t="str">
        <x:v>André Almeida</x:v>
      </x:c>
      <x:c r="D40" t="str">
        <x:v>Base Gravatá</x:v>
      </x:c>
      <x:c r="E40" t="str">
        <x:v>Camocim de São Félix</x:v>
      </x:c>
      <x:c r="F40" t="str">
        <x:v>Gravatá</x:v>
      </x:c>
      <x:c r="G40" t="str">
        <x:v>MR04</x:v>
      </x:c>
      <x:c r="H40" t="str">
        <x:v>Camocim de São Félix</x:v>
      </x:c>
      <x:c r="I40" t="str">
        <x:v>Equipe Dupla</x:v>
      </x:c>
      <x:c r="J40" t="str">
        <x:v>Corte / Religação / Vistoria</x:v>
      </x:c>
      <x:c r="K40" t="str">
        <x:v>Em contratação</x:v>
      </x:c>
      <x:c r="L40" t="str">
        <x:v>Cobrança</x:v>
      </x:c>
      <x:c r="M40" t="str">
        <x:v>Não</x:v>
      </x:c>
      <x:c r="N40" t="str">
        <x:v>DADO FICTÍCIO – teste do painel; ID repetido em outra microrrota</x:v>
      </x:c>
      <x:c r="O40" s="15" t="n">
        <x:f>IF(A40="","",--(COUNTIF($A$2:A40,A40)=1))</x:f>
        <x:v>1</x:v>
      </x:c>
      <x:c r="P40" s="15" t="n">
        <x:f>IF(A40="","",--(COUNTIFS($A$2:A40,A40,$F$2:F40,F40)=1))</x:f>
        <x:v>1</x:v>
      </x:c>
    </x:row>
    <x:row r="41">
      <x:c r="A41" s="18" t="str">
        <x:v>CINT-03-02-02</x:v>
      </x:c>
      <x:c r="B41" t="str">
        <x:v>Equipe CINT-020</x:v>
      </x:c>
      <x:c r="C41" t="str">
        <x:v>André Almeida</x:v>
      </x:c>
      <x:c r="D41" t="str">
        <x:v>Base Gravatá</x:v>
      </x:c>
      <x:c r="E41" t="str">
        <x:v>Barra de Guabiraba</x:v>
      </x:c>
      <x:c r="F41" t="str">
        <x:v>Gravatá</x:v>
      </x:c>
      <x:c r="G41" t="str">
        <x:v>MR01</x:v>
      </x:c>
      <x:c r="H41" t="str">
        <x:v>Barra de Guabiraba</x:v>
      </x:c>
      <x:c r="I41" t="str">
        <x:v>Equipe Dupla</x:v>
      </x:c>
      <x:c r="J41" t="str">
        <x:v>Corte / Religação / Vistoria</x:v>
      </x:c>
      <x:c r="K41" t="str">
        <x:v>Em contratação</x:v>
      </x:c>
      <x:c r="L41" t="str">
        <x:v>Cobrança</x:v>
      </x:c>
      <x:c r="M41" t="str">
        <x:v>Não</x:v>
      </x:c>
      <x:c r="N41" t="str">
        <x:v>DADO FICTÍCIO – teste do painel; ID repetido em outra microrrota</x:v>
      </x:c>
      <x:c r="O41" s="15" t="n">
        <x:f>IF(A41="","",--(COUNTIF($A$2:A41,A41)=1))</x:f>
        <x:v>0</x:v>
      </x:c>
      <x:c r="P41" s="15" t="n">
        <x:f>IF(A41="","",--(COUNTIFS($A$2:A41,A41,$F$2:F41,F41)=1))</x:f>
        <x:v>0</x:v>
      </x:c>
    </x:row>
    <x:row r="42">
      <x:c r="A42" s="18" t="str">
        <x:v>CINT-03-03-01</x:v>
      </x:c>
      <x:c r="B42" t="str">
        <x:v>Equipe CINT-021</x:v>
      </x:c>
      <x:c r="C42" t="str">
        <x:v>Daniel Gomes</x:v>
      </x:c>
      <x:c r="D42" t="str">
        <x:v>Base Gravatá</x:v>
      </x:c>
      <x:c r="E42" t="str">
        <x:v>Barra de Guabiraba</x:v>
      </x:c>
      <x:c r="F42" t="str">
        <x:v>Gravatá</x:v>
      </x:c>
      <x:c r="G42" t="str">
        <x:v>MR01</x:v>
      </x:c>
      <x:c r="H42" t="str">
        <x:v>Barra de Guabiraba</x:v>
      </x:c>
      <x:c r="I42" t="str">
        <x:v>Equipe Dupla</x:v>
      </x:c>
      <x:c r="J42" t="str">
        <x:v>Corte / Religação / Vistoria</x:v>
      </x:c>
      <x:c r="K42" t="str">
        <x:v>Contratada</x:v>
      </x:c>
      <x:c r="L42" t="str">
        <x:v>Cobrança</x:v>
      </x:c>
      <x:c r="M42" t="str">
        <x:v>Sim</x:v>
      </x:c>
      <x:c r="N42" t="str">
        <x:v>DADO FICTÍCIO – teste do painel; ID repetido em outra microrrota</x:v>
      </x:c>
      <x:c r="O42" s="15" t="n">
        <x:f>IF(A42="","",--(COUNTIF($A$2:A42,A42)=1))</x:f>
        <x:v>1</x:v>
      </x:c>
      <x:c r="P42" s="15" t="n">
        <x:f>IF(A42="","",--(COUNTIFS($A$2:A42,A42,$F$2:F42,F42)=1))</x:f>
        <x:v>1</x:v>
      </x:c>
    </x:row>
    <x:row r="43">
      <x:c r="A43" s="18" t="str">
        <x:v>CINT-03-03-01</x:v>
      </x:c>
      <x:c r="B43" t="str">
        <x:v>Equipe CINT-021</x:v>
      </x:c>
      <x:c r="C43" t="str">
        <x:v>Daniel Gomes</x:v>
      </x:c>
      <x:c r="D43" t="str">
        <x:v>Base Gravatá</x:v>
      </x:c>
      <x:c r="E43" t="str">
        <x:v>Gravatá</x:v>
      </x:c>
      <x:c r="F43" t="str">
        <x:v>Gravatá</x:v>
      </x:c>
      <x:c r="G43" t="str">
        <x:v>MR02</x:v>
      </x:c>
      <x:c r="H43" t="str">
        <x:v>Gravatá</x:v>
      </x:c>
      <x:c r="I43" t="str">
        <x:v>Equipe Dupla</x:v>
      </x:c>
      <x:c r="J43" t="str">
        <x:v>Corte / Religação / Vistoria</x:v>
      </x:c>
      <x:c r="K43" t="str">
        <x:v>Contratada</x:v>
      </x:c>
      <x:c r="L43" t="str">
        <x:v>Cobrança</x:v>
      </x:c>
      <x:c r="M43" t="str">
        <x:v>Sim</x:v>
      </x:c>
      <x:c r="N43" t="str">
        <x:v>DADO FICTÍCIO – teste do painel; ID repetido em outra microrrota</x:v>
      </x:c>
      <x:c r="O43" s="15" t="n">
        <x:f>IF(A43="","",--(COUNTIF($A$2:A43,A43)=1))</x:f>
        <x:v>0</x:v>
      </x:c>
      <x:c r="P43" s="15" t="n">
        <x:f>IF(A43="","",--(COUNTIFS($A$2:A43,A43,$F$2:F43,F43)=1))</x:f>
        <x:v>0</x:v>
      </x:c>
    </x:row>
    <x:row r="44">
      <x:c r="A44" s="18" t="str">
        <x:v>CINT-03-03-02</x:v>
      </x:c>
      <x:c r="B44" t="str">
        <x:v>Equipe CINT-022</x:v>
      </x:c>
      <x:c r="C44" t="str">
        <x:v>Gabriel Pereira</x:v>
      </x:c>
      <x:c r="D44" t="str">
        <x:v>Base Gravatá</x:v>
      </x:c>
      <x:c r="E44" t="str">
        <x:v>Gravatá</x:v>
      </x:c>
      <x:c r="F44" t="str">
        <x:v>Gravatá</x:v>
      </x:c>
      <x:c r="G44" t="str">
        <x:v>MR02</x:v>
      </x:c>
      <x:c r="H44" t="str">
        <x:v>Gravatá</x:v>
      </x:c>
      <x:c r="I44" t="str">
        <x:v>Equipe Simples</x:v>
      </x:c>
      <x:c r="J44" t="str">
        <x:v>Corte / Religação / Vistoria</x:v>
      </x:c>
      <x:c r="K44" t="str">
        <x:v>Contratada</x:v>
      </x:c>
      <x:c r="L44" t="str">
        <x:v>Cobrança</x:v>
      </x:c>
      <x:c r="M44" t="str">
        <x:v>Sim</x:v>
      </x:c>
      <x:c r="N44" t="str">
        <x:v>DADO FICTÍCIO – teste do painel; ID repetido em outra microrrota</x:v>
      </x:c>
      <x:c r="O44" s="15" t="n">
        <x:f>IF(A44="","",--(COUNTIF($A$2:A44,A44)=1))</x:f>
        <x:v>1</x:v>
      </x:c>
      <x:c r="P44" s="15" t="n">
        <x:f>IF(A44="","",--(COUNTIFS($A$2:A44,A44,$F$2:F44,F44)=1))</x:f>
        <x:v>1</x:v>
      </x:c>
    </x:row>
    <x:row r="45">
      <x:c r="A45" s="18" t="str">
        <x:v>CINT-03-03-02</x:v>
      </x:c>
      <x:c r="B45" t="str">
        <x:v>Equipe CINT-022</x:v>
      </x:c>
      <x:c r="C45" t="str">
        <x:v>Gabriel Pereira</x:v>
      </x:c>
      <x:c r="D45" t="str">
        <x:v>Base Gravatá</x:v>
      </x:c>
      <x:c r="E45" t="str">
        <x:v>Bezerros</x:v>
      </x:c>
      <x:c r="F45" t="str">
        <x:v>Gravatá</x:v>
      </x:c>
      <x:c r="G45" t="str">
        <x:v>MR03</x:v>
      </x:c>
      <x:c r="H45" t="str">
        <x:v>Bezerros</x:v>
      </x:c>
      <x:c r="I45" t="str">
        <x:v>Equipe Simples</x:v>
      </x:c>
      <x:c r="J45" t="str">
        <x:v>Corte / Religação / Vistoria</x:v>
      </x:c>
      <x:c r="K45" t="str">
        <x:v>Contratada</x:v>
      </x:c>
      <x:c r="L45" t="str">
        <x:v>Cobrança</x:v>
      </x:c>
      <x:c r="M45" t="str">
        <x:v>Sim</x:v>
      </x:c>
      <x:c r="N45" t="str">
        <x:v>DADO FICTÍCIO – teste do painel; ID repetido em outra microrrota</x:v>
      </x:c>
      <x:c r="O45" s="15" t="n">
        <x:f>IF(A45="","",--(COUNTIF($A$2:A45,A45)=1))</x:f>
        <x:v>0</x:v>
      </x:c>
      <x:c r="P45" s="15" t="n">
        <x:f>IF(A45="","",--(COUNTIFS($A$2:A45,A45,$F$2:F45,F45)=1))</x:f>
        <x:v>0</x:v>
      </x:c>
    </x:row>
    <x:row r="46">
      <x:c r="A46" s="18" t="str">
        <x:v>CINT-03-04-01</x:v>
      </x:c>
      <x:c r="B46" t="str">
        <x:v>Equipe CINT-023</x:v>
      </x:c>
      <x:c r="C46" t="str">
        <x:v>João Teixeira</x:v>
      </x:c>
      <x:c r="D46" t="str">
        <x:v>Base Gravatá</x:v>
      </x:c>
      <x:c r="E46" t="str">
        <x:v>Bezerros</x:v>
      </x:c>
      <x:c r="F46" t="str">
        <x:v>Gravatá</x:v>
      </x:c>
      <x:c r="G46" t="str">
        <x:v>MR03</x:v>
      </x:c>
      <x:c r="H46" t="str">
        <x:v>Bezerros</x:v>
      </x:c>
      <x:c r="I46" t="str">
        <x:v>Equipe Simples</x:v>
      </x:c>
      <x:c r="J46" t="str">
        <x:v>Corte / Religação / Vistoria</x:v>
      </x:c>
      <x:c r="K46" t="str">
        <x:v>Mobilizada</x:v>
      </x:c>
      <x:c r="L46" t="str">
        <x:v>Cobrança</x:v>
      </x:c>
      <x:c r="M46" t="str">
        <x:v>Sim</x:v>
      </x:c>
      <x:c r="N46" t="str">
        <x:v>DADO FICTÍCIO – teste do painel; ID repetido em outra microrrota</x:v>
      </x:c>
      <x:c r="O46" s="15" t="n">
        <x:f>IF(A46="","",--(COUNTIF($A$2:A46,A46)=1))</x:f>
        <x:v>1</x:v>
      </x:c>
      <x:c r="P46" s="15" t="n">
        <x:f>IF(A46="","",--(COUNTIFS($A$2:A46,A46,$F$2:F46,F46)=1))</x:f>
        <x:v>1</x:v>
      </x:c>
    </x:row>
    <x:row r="47">
      <x:c r="A47" s="18" t="str">
        <x:v>CINT-03-04-01</x:v>
      </x:c>
      <x:c r="B47" t="str">
        <x:v>Equipe CINT-023</x:v>
      </x:c>
      <x:c r="C47" t="str">
        <x:v>João Teixeira</x:v>
      </x:c>
      <x:c r="D47" t="str">
        <x:v>Base Gravatá</x:v>
      </x:c>
      <x:c r="E47" t="str">
        <x:v>Camocim de São Félix</x:v>
      </x:c>
      <x:c r="F47" t="str">
        <x:v>Gravatá</x:v>
      </x:c>
      <x:c r="G47" t="str">
        <x:v>MR04</x:v>
      </x:c>
      <x:c r="H47" t="str">
        <x:v>Camocim de São Félix</x:v>
      </x:c>
      <x:c r="I47" t="str">
        <x:v>Equipe Simples</x:v>
      </x:c>
      <x:c r="J47" t="str">
        <x:v>Corte / Religação / Vistoria</x:v>
      </x:c>
      <x:c r="K47" t="str">
        <x:v>Mobilizada</x:v>
      </x:c>
      <x:c r="L47" t="str">
        <x:v>Cobrança</x:v>
      </x:c>
      <x:c r="M47" t="str">
        <x:v>Sim</x:v>
      </x:c>
      <x:c r="N47" t="str">
        <x:v>DADO FICTÍCIO – teste do painel; ID repetido em outra microrrota</x:v>
      </x:c>
      <x:c r="O47" s="15" t="n">
        <x:f>IF(A47="","",--(COUNTIF($A$2:A47,A47)=1))</x:f>
        <x:v>0</x:v>
      </x:c>
      <x:c r="P47" s="15" t="n">
        <x:f>IF(A47="","",--(COUNTIFS($A$2:A47,A47,$F$2:F47,F47)=1))</x:f>
        <x:v>0</x:v>
      </x:c>
    </x:row>
    <x:row r="48">
      <x:c r="A48" s="18" t="str">
        <x:v>CINT-03-04-02</x:v>
      </x:c>
      <x:c r="B48" t="str">
        <x:v>Equipe CINT-024</x:v>
      </x:c>
      <x:c r="C48" t="str">
        <x:v>Paulo Almeida</x:v>
      </x:c>
      <x:c r="D48" t="str">
        <x:v>Base Gravatá</x:v>
      </x:c>
      <x:c r="E48" t="str">
        <x:v>Camocim de São Félix</x:v>
      </x:c>
      <x:c r="F48" t="str">
        <x:v>Gravatá</x:v>
      </x:c>
      <x:c r="G48" t="str">
        <x:v>MR04</x:v>
      </x:c>
      <x:c r="H48" t="str">
        <x:v>Camocim de São Félix</x:v>
      </x:c>
      <x:c r="I48" t="str">
        <x:v>Equipe Dupla</x:v>
      </x:c>
      <x:c r="J48" t="str">
        <x:v>Corte / Religação / Vistoria</x:v>
      </x:c>
      <x:c r="K48" t="str">
        <x:v>Mobilizada</x:v>
      </x:c>
      <x:c r="L48" t="str">
        <x:v>Cobrança</x:v>
      </x:c>
      <x:c r="M48" t="str">
        <x:v>Sim</x:v>
      </x:c>
      <x:c r="N48" t="str">
        <x:v>DADO FICTÍCIO – teste do painel; ID repetido em outra microrrota</x:v>
      </x:c>
      <x:c r="O48" s="15" t="n">
        <x:f>IF(A48="","",--(COUNTIF($A$2:A48,A48)=1))</x:f>
        <x:v>1</x:v>
      </x:c>
      <x:c r="P48" s="15" t="n">
        <x:f>IF(A48="","",--(COUNTIFS($A$2:A48,A48,$F$2:F48,F48)=1))</x:f>
        <x:v>1</x:v>
      </x:c>
    </x:row>
    <x:row r="49">
      <x:c r="A49" s="18" t="str">
        <x:v>CINT-03-04-02</x:v>
      </x:c>
      <x:c r="B49" t="str">
        <x:v>Equipe CINT-024</x:v>
      </x:c>
      <x:c r="C49" t="str">
        <x:v>Paulo Almeida</x:v>
      </x:c>
      <x:c r="D49" t="str">
        <x:v>Base Gravatá</x:v>
      </x:c>
      <x:c r="E49" t="str">
        <x:v>Barra de Guabiraba</x:v>
      </x:c>
      <x:c r="F49" t="str">
        <x:v>Gravatá</x:v>
      </x:c>
      <x:c r="G49" t="str">
        <x:v>MR01</x:v>
      </x:c>
      <x:c r="H49" t="str">
        <x:v>Barra de Guabiraba</x:v>
      </x:c>
      <x:c r="I49" t="str">
        <x:v>Equipe Dupla</x:v>
      </x:c>
      <x:c r="J49" t="str">
        <x:v>Corte / Religação / Vistoria</x:v>
      </x:c>
      <x:c r="K49" t="str">
        <x:v>Mobilizada</x:v>
      </x:c>
      <x:c r="L49" t="str">
        <x:v>Cobrança</x:v>
      </x:c>
      <x:c r="M49" t="str">
        <x:v>Sim</x:v>
      </x:c>
      <x:c r="N49" t="str">
        <x:v>DADO FICTÍCIO – teste do painel; ID repetido em outra microrrota</x:v>
      </x:c>
      <x:c r="O49" s="15" t="n">
        <x:f>IF(A49="","",--(COUNTIF($A$2:A49,A49)=1))</x:f>
        <x:v>0</x:v>
      </x:c>
      <x:c r="P49" s="15" t="n">
        <x:f>IF(A49="","",--(COUNTIFS($A$2:A49,A49,$F$2:F49,F49)=1))</x:f>
        <x:v>0</x:v>
      </x:c>
    </x:row>
    <x:row r="50">
      <x:c r="A50" s="18" t="str">
        <x:v>CINT-04-01-01</x:v>
      </x:c>
      <x:c r="B50" t="str">
        <x:v>Equipe CINT-025</x:v>
      </x:c>
      <x:c r="C50" t="str">
        <x:v>Thiago Gomes</x:v>
      </x:c>
      <x:c r="D50" t="str">
        <x:v>Base Caruaru</x:v>
      </x:c>
      <x:c r="E50" t="str">
        <x:v>Caruaru</x:v>
      </x:c>
      <x:c r="F50" t="str">
        <x:v>Caruaru</x:v>
      </x:c>
      <x:c r="G50" t="str">
        <x:v>MR01</x:v>
      </x:c>
      <x:c r="H50" t="str">
        <x:v>Caruaru</x:v>
      </x:c>
      <x:c r="I50" t="str">
        <x:v>Equipe Dupla</x:v>
      </x:c>
      <x:c r="J50" t="str">
        <x:v>Corte / Religação / Vistoria</x:v>
      </x:c>
      <x:c r="K50" t="str">
        <x:v>Em recrutamento</x:v>
      </x:c>
      <x:c r="L50" t="str">
        <x:v>Cobrança</x:v>
      </x:c>
      <x:c r="M50" t="str">
        <x:v>Sim</x:v>
      </x:c>
      <x:c r="N50" t="str">
        <x:v>DADO FICTÍCIO – teste do painel; ID repetido em outra microrrota</x:v>
      </x:c>
      <x:c r="O50" s="15" t="n">
        <x:f>IF(A50="","",--(COUNTIF($A$2:A50,A50)=1))</x:f>
        <x:v>1</x:v>
      </x:c>
      <x:c r="P50" s="15" t="n">
        <x:f>IF(A50="","",--(COUNTIFS($A$2:A50,A50,$F$2:F50,F50)=1))</x:f>
        <x:v>1</x:v>
      </x:c>
    </x:row>
    <x:row r="51">
      <x:c r="A51" s="18" t="str">
        <x:v>CINT-04-01-01</x:v>
      </x:c>
      <x:c r="B51" t="str">
        <x:v>Equipe CINT-025</x:v>
      </x:c>
      <x:c r="C51" t="str">
        <x:v>Thiago Gomes</x:v>
      </x:c>
      <x:c r="D51" t="str">
        <x:v>Base Caruaru</x:v>
      </x:c>
      <x:c r="E51" t="str">
        <x:v>Altinho</x:v>
      </x:c>
      <x:c r="F51" t="str">
        <x:v>Caruaru</x:v>
      </x:c>
      <x:c r="G51" t="str">
        <x:v>MR02</x:v>
      </x:c>
      <x:c r="H51" t="str">
        <x:v>Altinho</x:v>
      </x:c>
      <x:c r="I51" t="str">
        <x:v>Equipe Dupla</x:v>
      </x:c>
      <x:c r="J51" t="str">
        <x:v>Corte / Religação / Vistoria</x:v>
      </x:c>
      <x:c r="K51" t="str">
        <x:v>Em recrutamento</x:v>
      </x:c>
      <x:c r="L51" t="str">
        <x:v>Cobrança</x:v>
      </x:c>
      <x:c r="M51" t="str">
        <x:v>Sim</x:v>
      </x:c>
      <x:c r="N51" t="str">
        <x:v>DADO FICTÍCIO – teste do painel; ID repetido em outra microrrota</x:v>
      </x:c>
      <x:c r="O51" s="15" t="n">
        <x:f>IF(A51="","",--(COUNTIF($A$2:A51,A51)=1))</x:f>
        <x:v>0</x:v>
      </x:c>
      <x:c r="P51" s="15" t="n">
        <x:f>IF(A51="","",--(COUNTIFS($A$2:A51,A51,$F$2:F51,F51)=1))</x:f>
        <x:v>0</x:v>
      </x:c>
    </x:row>
    <x:row r="52">
      <x:c r="A52" s="18" t="str">
        <x:v>CINT-04-01-02</x:v>
      </x:c>
      <x:c r="B52" t="str">
        <x:v>Equipe CINT-026</x:v>
      </x:c>
      <x:c r="C52" t="str">
        <x:v>Alex Pereira</x:v>
      </x:c>
      <x:c r="D52" t="str">
        <x:v>Base Caruaru</x:v>
      </x:c>
      <x:c r="E52" t="str">
        <x:v>Altinho</x:v>
      </x:c>
      <x:c r="F52" t="str">
        <x:v>Caruaru</x:v>
      </x:c>
      <x:c r="G52" t="str">
        <x:v>MR02</x:v>
      </x:c>
      <x:c r="H52" t="str">
        <x:v>Altinho</x:v>
      </x:c>
      <x:c r="I52" t="str">
        <x:v>Equipe Simples</x:v>
      </x:c>
      <x:c r="J52" t="str">
        <x:v>Corte / Religação / Vistoria</x:v>
      </x:c>
      <x:c r="K52" t="str">
        <x:v>Em recrutamento</x:v>
      </x:c>
      <x:c r="L52" t="str">
        <x:v>Cobrança</x:v>
      </x:c>
      <x:c r="M52" t="str">
        <x:v>Não</x:v>
      </x:c>
      <x:c r="N52" t="str">
        <x:v>DADO FICTÍCIO – teste do painel; ID repetido em outra microrrota</x:v>
      </x:c>
      <x:c r="O52" s="15" t="n">
        <x:f>IF(A52="","",--(COUNTIF($A$2:A52,A52)=1))</x:f>
        <x:v>1</x:v>
      </x:c>
      <x:c r="P52" s="15" t="n">
        <x:f>IF(A52="","",--(COUNTIFS($A$2:A52,A52,$F$2:F52,F52)=1))</x:f>
        <x:v>1</x:v>
      </x:c>
    </x:row>
    <x:row r="53">
      <x:c r="A53" s="18" t="str">
        <x:v>CINT-04-01-02</x:v>
      </x:c>
      <x:c r="B53" t="str">
        <x:v>Equipe CINT-026</x:v>
      </x:c>
      <x:c r="C53" t="str">
        <x:v>Alex Pereira</x:v>
      </x:c>
      <x:c r="D53" t="str">
        <x:v>Base Caruaru</x:v>
      </x:c>
      <x:c r="E53" t="str">
        <x:v>Panelas</x:v>
      </x:c>
      <x:c r="F53" t="str">
        <x:v>Caruaru</x:v>
      </x:c>
      <x:c r="G53" t="str">
        <x:v>MR03</x:v>
      </x:c>
      <x:c r="H53" t="str">
        <x:v>Panelas</x:v>
      </x:c>
      <x:c r="I53" t="str">
        <x:v>Equipe Simples</x:v>
      </x:c>
      <x:c r="J53" t="str">
        <x:v>Corte / Religação / Vistoria</x:v>
      </x:c>
      <x:c r="K53" t="str">
        <x:v>Em recrutamento</x:v>
      </x:c>
      <x:c r="L53" t="str">
        <x:v>Cobrança</x:v>
      </x:c>
      <x:c r="M53" t="str">
        <x:v>Não</x:v>
      </x:c>
      <x:c r="N53" t="str">
        <x:v>DADO FICTÍCIO – teste do painel; ID repetido em outra microrrota</x:v>
      </x:c>
      <x:c r="O53" s="15" t="n">
        <x:f>IF(A53="","",--(COUNTIF($A$2:A53,A53)=1))</x:f>
        <x:v>0</x:v>
      </x:c>
      <x:c r="P53" s="15" t="n">
        <x:f>IF(A53="","",--(COUNTIFS($A$2:A53,A53,$F$2:F53,F53)=1))</x:f>
        <x:v>0</x:v>
      </x:c>
    </x:row>
    <x:row r="54">
      <x:c r="A54" s="18" t="str">
        <x:v>CINT-04-02-01</x:v>
      </x:c>
      <x:c r="B54" t="str">
        <x:v>Equipe CINT-027</x:v>
      </x:c>
      <x:c r="C54" t="str">
        <x:v>Bruno Teixeira</x:v>
      </x:c>
      <x:c r="D54" t="str">
        <x:v>Base Caruaru</x:v>
      </x:c>
      <x:c r="E54" t="str">
        <x:v>Panelas</x:v>
      </x:c>
      <x:c r="F54" t="str">
        <x:v>Caruaru</x:v>
      </x:c>
      <x:c r="G54" t="str">
        <x:v>MR03</x:v>
      </x:c>
      <x:c r="H54" t="str">
        <x:v>Panelas</x:v>
      </x:c>
      <x:c r="I54" t="str">
        <x:v>Equipe Simples</x:v>
      </x:c>
      <x:c r="J54" t="str">
        <x:v>Corte / Religação / Vistoria</x:v>
      </x:c>
      <x:c r="K54" t="str">
        <x:v>Em contratação</x:v>
      </x:c>
      <x:c r="L54" t="str">
        <x:v>Cobrança</x:v>
      </x:c>
      <x:c r="M54" t="str">
        <x:v>Sim</x:v>
      </x:c>
      <x:c r="N54" t="str">
        <x:v>DADO FICTÍCIO – teste do painel; ID repetido em outra microrrota</x:v>
      </x:c>
      <x:c r="O54" s="15" t="n">
        <x:f>IF(A54="","",--(COUNTIF($A$2:A54,A54)=1))</x:f>
        <x:v>1</x:v>
      </x:c>
      <x:c r="P54" s="15" t="n">
        <x:f>IF(A54="","",--(COUNTIFS($A$2:A54,A54,$F$2:F54,F54)=1))</x:f>
        <x:v>1</x:v>
      </x:c>
    </x:row>
    <x:row r="55">
      <x:c r="A55" s="18" t="str">
        <x:v>CINT-04-02-01</x:v>
      </x:c>
      <x:c r="B55" t="str">
        <x:v>Equipe CINT-027</x:v>
      </x:c>
      <x:c r="C55" t="str">
        <x:v>Bruno Teixeira</x:v>
      </x:c>
      <x:c r="D55" t="str">
        <x:v>Base Caruaru</x:v>
      </x:c>
      <x:c r="E55" t="str">
        <x:v>Belo Jardim</x:v>
      </x:c>
      <x:c r="F55" t="str">
        <x:v>Caruaru</x:v>
      </x:c>
      <x:c r="G55" t="str">
        <x:v>MR04</x:v>
      </x:c>
      <x:c r="H55" t="str">
        <x:v>Belo Jardim</x:v>
      </x:c>
      <x:c r="I55" t="str">
        <x:v>Equipe Simples</x:v>
      </x:c>
      <x:c r="J55" t="str">
        <x:v>Corte / Religação / Vistoria</x:v>
      </x:c>
      <x:c r="K55" t="str">
        <x:v>Em contratação</x:v>
      </x:c>
      <x:c r="L55" t="str">
        <x:v>Cobrança</x:v>
      </x:c>
      <x:c r="M55" t="str">
        <x:v>Sim</x:v>
      </x:c>
      <x:c r="N55" t="str">
        <x:v>DADO FICTÍCIO – teste do painel; ID repetido em outra microrrota</x:v>
      </x:c>
      <x:c r="O55" s="15" t="n">
        <x:f>IF(A55="","",--(COUNTIF($A$2:A55,A55)=1))</x:f>
        <x:v>0</x:v>
      </x:c>
      <x:c r="P55" s="15" t="n">
        <x:f>IF(A55="","",--(COUNTIFS($A$2:A55,A55,$F$2:F55,F55)=1))</x:f>
        <x:v>0</x:v>
      </x:c>
    </x:row>
    <x:row r="56">
      <x:c r="A56" s="18" t="str">
        <x:v>CINT-04-02-02</x:v>
      </x:c>
      <x:c r="B56" t="str">
        <x:v>Equipe CINT-028</x:v>
      </x:c>
      <x:c r="C56" t="str">
        <x:v>Eduardo Almeida</x:v>
      </x:c>
      <x:c r="D56" t="str">
        <x:v>Base Caruaru</x:v>
      </x:c>
      <x:c r="E56" t="str">
        <x:v>Belo Jardim</x:v>
      </x:c>
      <x:c r="F56" t="str">
        <x:v>Caruaru</x:v>
      </x:c>
      <x:c r="G56" t="str">
        <x:v>MR04</x:v>
      </x:c>
      <x:c r="H56" t="str">
        <x:v>Belo Jardim</x:v>
      </x:c>
      <x:c r="I56" t="str">
        <x:v>Equipe Dupla</x:v>
      </x:c>
      <x:c r="J56" t="str">
        <x:v>Corte / Religação / Vistoria</x:v>
      </x:c>
      <x:c r="K56" t="str">
        <x:v>Em contratação</x:v>
      </x:c>
      <x:c r="L56" t="str">
        <x:v>Cobrança</x:v>
      </x:c>
      <x:c r="M56" t="str">
        <x:v>Não</x:v>
      </x:c>
      <x:c r="N56" t="str">
        <x:v>DADO FICTÍCIO – teste do painel; ID repetido em outra microrrota</x:v>
      </x:c>
      <x:c r="O56" s="15" t="n">
        <x:f>IF(A56="","",--(COUNTIF($A$2:A56,A56)=1))</x:f>
        <x:v>1</x:v>
      </x:c>
      <x:c r="P56" s="15" t="n">
        <x:f>IF(A56="","",--(COUNTIFS($A$2:A56,A56,$F$2:F56,F56)=1))</x:f>
        <x:v>1</x:v>
      </x:c>
    </x:row>
    <x:row r="57">
      <x:c r="A57" s="18" t="str">
        <x:v>CINT-04-02-02</x:v>
      </x:c>
      <x:c r="B57" t="str">
        <x:v>Equipe CINT-028</x:v>
      </x:c>
      <x:c r="C57" t="str">
        <x:v>Eduardo Almeida</x:v>
      </x:c>
      <x:c r="D57" t="str">
        <x:v>Base Caruaru</x:v>
      </x:c>
      <x:c r="E57" t="str">
        <x:v>Brejo da Madre de Deus</x:v>
      </x:c>
      <x:c r="F57" t="str">
        <x:v>Caruaru</x:v>
      </x:c>
      <x:c r="G57" t="str">
        <x:v>MR05</x:v>
      </x:c>
      <x:c r="H57" t="str">
        <x:v>Brejo da Madre de Deus</x:v>
      </x:c>
      <x:c r="I57" t="str">
        <x:v>Equipe Dupla</x:v>
      </x:c>
      <x:c r="J57" t="str">
        <x:v>Corte / Religação / Vistoria</x:v>
      </x:c>
      <x:c r="K57" t="str">
        <x:v>Em contratação</x:v>
      </x:c>
      <x:c r="L57" t="str">
        <x:v>Cobrança</x:v>
      </x:c>
      <x:c r="M57" t="str">
        <x:v>Não</x:v>
      </x:c>
      <x:c r="N57" t="str">
        <x:v>DADO FICTÍCIO – teste do painel; ID repetido em outra microrrota</x:v>
      </x:c>
      <x:c r="O57" s="15" t="n">
        <x:f>IF(A57="","",--(COUNTIF($A$2:A57,A57)=1))</x:f>
        <x:v>0</x:v>
      </x:c>
      <x:c r="P57" s="15" t="n">
        <x:f>IF(A57="","",--(COUNTIFS($A$2:A57,A57,$F$2:F57,F57)=1))</x:f>
        <x:v>0</x:v>
      </x:c>
    </x:row>
    <x:row r="58">
      <x:c r="A58" s="18" t="str">
        <x:v>CINT-04-03-01</x:v>
      </x:c>
      <x:c r="B58" t="str">
        <x:v>Equipe CINT-029</x:v>
      </x:c>
      <x:c r="C58" t="str">
        <x:v>Henrique Gomes</x:v>
      </x:c>
      <x:c r="D58" t="str">
        <x:v>Base Caruaru</x:v>
      </x:c>
      <x:c r="E58" t="str">
        <x:v>Brejo da Madre de Deus</x:v>
      </x:c>
      <x:c r="F58" t="str">
        <x:v>Caruaru</x:v>
      </x:c>
      <x:c r="G58" t="str">
        <x:v>MR05</x:v>
      </x:c>
      <x:c r="H58" t="str">
        <x:v>Brejo da Madre de Deus</x:v>
      </x:c>
      <x:c r="I58" t="str">
        <x:v>Equipe Dupla</x:v>
      </x:c>
      <x:c r="J58" t="str">
        <x:v>Corte / Religação / Vistoria</x:v>
      </x:c>
      <x:c r="K58" t="str">
        <x:v>Contratada</x:v>
      </x:c>
      <x:c r="L58" t="str">
        <x:v>Cobrança</x:v>
      </x:c>
      <x:c r="M58" t="str">
        <x:v>Sim</x:v>
      </x:c>
      <x:c r="N58" t="str">
        <x:v>DADO FICTÍCIO – teste do painel; ID repetido em outra microrrota</x:v>
      </x:c>
      <x:c r="O58" s="15" t="n">
        <x:f>IF(A58="","",--(COUNTIF($A$2:A58,A58)=1))</x:f>
        <x:v>1</x:v>
      </x:c>
      <x:c r="P58" s="15" t="n">
        <x:f>IF(A58="","",--(COUNTIFS($A$2:A58,A58,$F$2:F58,F58)=1))</x:f>
        <x:v>1</x:v>
      </x:c>
    </x:row>
    <x:row r="59">
      <x:c r="A59" s="18" t="str">
        <x:v>CINT-04-03-01</x:v>
      </x:c>
      <x:c r="B59" t="str">
        <x:v>Equipe CINT-029</x:v>
      </x:c>
      <x:c r="C59" t="str">
        <x:v>Henrique Gomes</x:v>
      </x:c>
      <x:c r="D59" t="str">
        <x:v>Base Caruaru</x:v>
      </x:c>
      <x:c r="E59" t="str">
        <x:v>Casinhas</x:v>
      </x:c>
      <x:c r="F59" t="str">
        <x:v>Caruaru</x:v>
      </x:c>
      <x:c r="G59" t="str">
        <x:v>MR06</x:v>
      </x:c>
      <x:c r="H59" t="str">
        <x:v>Casinhas</x:v>
      </x:c>
      <x:c r="I59" t="str">
        <x:v>Equipe Dupla</x:v>
      </x:c>
      <x:c r="J59" t="str">
        <x:v>Corte / Religação / Vistoria</x:v>
      </x:c>
      <x:c r="K59" t="str">
        <x:v>Contratada</x:v>
      </x:c>
      <x:c r="L59" t="str">
        <x:v>Cobrança</x:v>
      </x:c>
      <x:c r="M59" t="str">
        <x:v>Sim</x:v>
      </x:c>
      <x:c r="N59" t="str">
        <x:v>DADO FICTÍCIO – teste do painel; ID repetido em outra microrrota</x:v>
      </x:c>
      <x:c r="O59" s="15" t="n">
        <x:f>IF(A59="","",--(COUNTIF($A$2:A59,A59)=1))</x:f>
        <x:v>0</x:v>
      </x:c>
      <x:c r="P59" s="15" t="n">
        <x:f>IF(A59="","",--(COUNTIFS($A$2:A59,A59,$F$2:F59,F59)=1))</x:f>
        <x:v>0</x:v>
      </x:c>
    </x:row>
    <x:row r="60">
      <x:c r="A60" s="18" t="str">
        <x:v>CINT-04-03-02</x:v>
      </x:c>
      <x:c r="B60" t="str">
        <x:v>Equipe CINT-030</x:v>
      </x:c>
      <x:c r="C60" t="str">
        <x:v>Lucas Pereira</x:v>
      </x:c>
      <x:c r="D60" t="str">
        <x:v>Base Caruaru</x:v>
      </x:c>
      <x:c r="E60" t="str">
        <x:v>Casinhas</x:v>
      </x:c>
      <x:c r="F60" t="str">
        <x:v>Caruaru</x:v>
      </x:c>
      <x:c r="G60" t="str">
        <x:v>MR06</x:v>
      </x:c>
      <x:c r="H60" t="str">
        <x:v>Casinhas</x:v>
      </x:c>
      <x:c r="I60" t="str">
        <x:v>Equipe Simples</x:v>
      </x:c>
      <x:c r="J60" t="str">
        <x:v>Corte / Religação / Vistoria</x:v>
      </x:c>
      <x:c r="K60" t="str">
        <x:v>Contratada</x:v>
      </x:c>
      <x:c r="L60" t="str">
        <x:v>Cobrança</x:v>
      </x:c>
      <x:c r="M60" t="str">
        <x:v>Sim</x:v>
      </x:c>
      <x:c r="N60" t="str">
        <x:v>DADO FICTÍCIO – teste do painel; ID repetido em outra microrrota</x:v>
      </x:c>
      <x:c r="O60" s="15" t="n">
        <x:f>IF(A60="","",--(COUNTIF($A$2:A60,A60)=1))</x:f>
        <x:v>1</x:v>
      </x:c>
      <x:c r="P60" s="15" t="n">
        <x:f>IF(A60="","",--(COUNTIFS($A$2:A60,A60,$F$2:F60,F60)=1))</x:f>
        <x:v>1</x:v>
      </x:c>
    </x:row>
    <x:row r="61">
      <x:c r="A61" s="18" t="str">
        <x:v>CINT-04-03-02</x:v>
      </x:c>
      <x:c r="B61" t="str">
        <x:v>Equipe CINT-030</x:v>
      </x:c>
      <x:c r="C61" t="str">
        <x:v>Lucas Pereira</x:v>
      </x:c>
      <x:c r="D61" t="str">
        <x:v>Base Caruaru</x:v>
      </x:c>
      <x:c r="E61" t="str">
        <x:v>Caruaru</x:v>
      </x:c>
      <x:c r="F61" t="str">
        <x:v>Caruaru</x:v>
      </x:c>
      <x:c r="G61" t="str">
        <x:v>MR01</x:v>
      </x:c>
      <x:c r="H61" t="str">
        <x:v>Caruaru</x:v>
      </x:c>
      <x:c r="I61" t="str">
        <x:v>Equipe Simples</x:v>
      </x:c>
      <x:c r="J61" t="str">
        <x:v>Corte / Religação / Vistoria</x:v>
      </x:c>
      <x:c r="K61" t="str">
        <x:v>Contratada</x:v>
      </x:c>
      <x:c r="L61" t="str">
        <x:v>Cobrança</x:v>
      </x:c>
      <x:c r="M61" t="str">
        <x:v>Sim</x:v>
      </x:c>
      <x:c r="N61" t="str">
        <x:v>DADO FICTÍCIO – teste do painel; ID repetido em outra microrrota</x:v>
      </x:c>
      <x:c r="O61" s="15" t="n">
        <x:f>IF(A61="","",--(COUNTIF($A$2:A61,A61)=1))</x:f>
        <x:v>0</x:v>
      </x:c>
      <x:c r="P61" s="15" t="n">
        <x:f>IF(A61="","",--(COUNTIFS($A$2:A61,A61,$F$2:F61,F61)=1))</x:f>
        <x:v>0</x:v>
      </x:c>
    </x:row>
    <x:row r="62">
      <x:c r="A62" s="18" t="str">
        <x:v>CINT-04-04-01</x:v>
      </x:c>
      <x:c r="B62" t="str">
        <x:v>Equipe CINT-031</x:v>
      </x:c>
      <x:c r="C62" t="str">
        <x:v>Rafael Teixeira</x:v>
      </x:c>
      <x:c r="D62" t="str">
        <x:v>Base Caruaru</x:v>
      </x:c>
      <x:c r="E62" t="str">
        <x:v>Caruaru</x:v>
      </x:c>
      <x:c r="F62" t="str">
        <x:v>Caruaru</x:v>
      </x:c>
      <x:c r="G62" t="str">
        <x:v>MR01</x:v>
      </x:c>
      <x:c r="H62" t="str">
        <x:v>Caruaru</x:v>
      </x:c>
      <x:c r="I62" t="str">
        <x:v>Equipe Simples</x:v>
      </x:c>
      <x:c r="J62" t="str">
        <x:v>Corte / Religação / Vistoria</x:v>
      </x:c>
      <x:c r="K62" t="str">
        <x:v>Mobilizada</x:v>
      </x:c>
      <x:c r="L62" t="str">
        <x:v>Cobrança</x:v>
      </x:c>
      <x:c r="M62" t="str">
        <x:v>Sim</x:v>
      </x:c>
      <x:c r="N62" t="str">
        <x:v>DADO FICTÍCIO – teste do painel; ID repetido em outra microrrota</x:v>
      </x:c>
      <x:c r="O62" s="15" t="n">
        <x:f>IF(A62="","",--(COUNTIF($A$2:A62,A62)=1))</x:f>
        <x:v>1</x:v>
      </x:c>
      <x:c r="P62" s="15" t="n">
        <x:f>IF(A62="","",--(COUNTIFS($A$2:A62,A62,$F$2:F62,F62)=1))</x:f>
        <x:v>1</x:v>
      </x:c>
    </x:row>
    <x:row r="63">
      <x:c r="A63" s="18" t="str">
        <x:v>CINT-04-04-01</x:v>
      </x:c>
      <x:c r="B63" t="str">
        <x:v>Equipe CINT-031</x:v>
      </x:c>
      <x:c r="C63" t="str">
        <x:v>Rafael Teixeira</x:v>
      </x:c>
      <x:c r="D63" t="str">
        <x:v>Base Caruaru</x:v>
      </x:c>
      <x:c r="E63" t="str">
        <x:v>Altinho</x:v>
      </x:c>
      <x:c r="F63" t="str">
        <x:v>Caruaru</x:v>
      </x:c>
      <x:c r="G63" t="str">
        <x:v>MR02</x:v>
      </x:c>
      <x:c r="H63" t="str">
        <x:v>Altinho</x:v>
      </x:c>
      <x:c r="I63" t="str">
        <x:v>Equipe Simples</x:v>
      </x:c>
      <x:c r="J63" t="str">
        <x:v>Corte / Religação / Vistoria</x:v>
      </x:c>
      <x:c r="K63" t="str">
        <x:v>Mobilizada</x:v>
      </x:c>
      <x:c r="L63" t="str">
        <x:v>Cobrança</x:v>
      </x:c>
      <x:c r="M63" t="str">
        <x:v>Sim</x:v>
      </x:c>
      <x:c r="N63" t="str">
        <x:v>DADO FICTÍCIO – teste do painel; ID repetido em outra microrrota</x:v>
      </x:c>
      <x:c r="O63" s="15" t="n">
        <x:f>IF(A63="","",--(COUNTIF($A$2:A63,A63)=1))</x:f>
        <x:v>0</x:v>
      </x:c>
      <x:c r="P63" s="15" t="n">
        <x:f>IF(A63="","",--(COUNTIFS($A$2:A63,A63,$F$2:F63,F63)=1))</x:f>
        <x:v>0</x:v>
      </x:c>
    </x:row>
    <x:row r="64">
      <x:c r="A64" s="18" t="str">
        <x:v>CINT-04-04-02</x:v>
      </x:c>
      <x:c r="B64" t="str">
        <x:v>Equipe CINT-032</x:v>
      </x:c>
      <x:c r="C64" t="str">
        <x:v>Vinícius Almeida</x:v>
      </x:c>
      <x:c r="D64" t="str">
        <x:v>Base Caruaru</x:v>
      </x:c>
      <x:c r="E64" t="str">
        <x:v>Altinho</x:v>
      </x:c>
      <x:c r="F64" t="str">
        <x:v>Caruaru</x:v>
      </x:c>
      <x:c r="G64" t="str">
        <x:v>MR02</x:v>
      </x:c>
      <x:c r="H64" t="str">
        <x:v>Altinho</x:v>
      </x:c>
      <x:c r="I64" t="str">
        <x:v>Equipe Dupla</x:v>
      </x:c>
      <x:c r="J64" t="str">
        <x:v>Corte / Religação / Vistoria</x:v>
      </x:c>
      <x:c r="K64" t="str">
        <x:v>Mobilizada</x:v>
      </x:c>
      <x:c r="L64" t="str">
        <x:v>Cobrança</x:v>
      </x:c>
      <x:c r="M64" t="str">
        <x:v>Sim</x:v>
      </x:c>
      <x:c r="N64" t="str">
        <x:v>DADO FICTÍCIO – teste do painel; ID repetido em outra microrrota</x:v>
      </x:c>
      <x:c r="O64" s="15" t="n">
        <x:f>IF(A64="","",--(COUNTIF($A$2:A64,A64)=1))</x:f>
        <x:v>1</x:v>
      </x:c>
      <x:c r="P64" s="15" t="n">
        <x:f>IF(A64="","",--(COUNTIFS($A$2:A64,A64,$F$2:F64,F64)=1))</x:f>
        <x:v>1</x:v>
      </x:c>
    </x:row>
    <x:row r="65">
      <x:c r="A65" s="18" t="str">
        <x:v>CINT-04-04-02</x:v>
      </x:c>
      <x:c r="B65" t="str">
        <x:v>Equipe CINT-032</x:v>
      </x:c>
      <x:c r="C65" t="str">
        <x:v>Vinícius Almeida</x:v>
      </x:c>
      <x:c r="D65" t="str">
        <x:v>Base Caruaru</x:v>
      </x:c>
      <x:c r="E65" t="str">
        <x:v>Panelas</x:v>
      </x:c>
      <x:c r="F65" t="str">
        <x:v>Caruaru</x:v>
      </x:c>
      <x:c r="G65" t="str">
        <x:v>MR03</x:v>
      </x:c>
      <x:c r="H65" t="str">
        <x:v>Panelas</x:v>
      </x:c>
      <x:c r="I65" t="str">
        <x:v>Equipe Dupla</x:v>
      </x:c>
      <x:c r="J65" t="str">
        <x:v>Corte / Religação / Vistoria</x:v>
      </x:c>
      <x:c r="K65" t="str">
        <x:v>Mobilizada</x:v>
      </x:c>
      <x:c r="L65" t="str">
        <x:v>Cobrança</x:v>
      </x:c>
      <x:c r="M65" t="str">
        <x:v>Sim</x:v>
      </x:c>
      <x:c r="N65" t="str">
        <x:v>DADO FICTÍCIO – teste do painel; ID repetido em outra microrrota</x:v>
      </x:c>
      <x:c r="O65" s="15" t="n">
        <x:f>IF(A65="","",--(COUNTIF($A$2:A65,A65)=1))</x:f>
        <x:v>0</x:v>
      </x:c>
      <x:c r="P65" s="15" t="n">
        <x:f>IF(A65="","",--(COUNTIFS($A$2:A65,A65,$F$2:F65,F65)=1))</x:f>
        <x:v>0</x:v>
      </x:c>
    </x:row>
    <x:row r="66">
      <x:c r="A66" s="18" t="str">
        <x:v>CINT-05-01-01</x:v>
      </x:c>
      <x:c r="B66" t="str">
        <x:v>Equipe CINT-033</x:v>
      </x:c>
      <x:c r="C66" t="str">
        <x:v>Diego Gomes</x:v>
      </x:c>
      <x:c r="D66" t="str">
        <x:v>Base Garanhuns</x:v>
      </x:c>
      <x:c r="E66" t="str">
        <x:v>Águas Belas</x:v>
      </x:c>
      <x:c r="F66" t="str">
        <x:v>Garanhuns</x:v>
      </x:c>
      <x:c r="G66" t="str">
        <x:v>MR03</x:v>
      </x:c>
      <x:c r="H66" t="str">
        <x:v>Águas Belas</x:v>
      </x:c>
      <x:c r="I66" t="str">
        <x:v>Equipe Dupla</x:v>
      </x:c>
      <x:c r="J66" t="str">
        <x:v>Corte / Religação / Vistoria</x:v>
      </x:c>
      <x:c r="K66" t="str">
        <x:v>Em recrutamento</x:v>
      </x:c>
      <x:c r="L66" t="str">
        <x:v>Cobrança</x:v>
      </x:c>
      <x:c r="M66" t="str">
        <x:v>Sim</x:v>
      </x:c>
      <x:c r="N66" t="str">
        <x:v>DADO FICTÍCIO – teste do painel; ID repetido em outra microrrota</x:v>
      </x:c>
      <x:c r="O66" s="15" t="n">
        <x:f>IF(A66="","",--(COUNTIF($A$2:A66,A66)=1))</x:f>
        <x:v>1</x:v>
      </x:c>
      <x:c r="P66" s="15" t="n">
        <x:f>IF(A66="","",--(COUNTIFS($A$2:A66,A66,$F$2:F66,F66)=1))</x:f>
        <x:v>1</x:v>
      </x:c>
    </x:row>
    <x:row r="67">
      <x:c r="A67" s="18" t="str">
        <x:v>CINT-05-01-01</x:v>
      </x:c>
      <x:c r="B67" t="str">
        <x:v>Equipe CINT-033</x:v>
      </x:c>
      <x:c r="C67" t="str">
        <x:v>Diego Gomes</x:v>
      </x:c>
      <x:c r="D67" t="str">
        <x:v>Base Garanhuns</x:v>
      </x:c>
      <x:c r="E67" t="str">
        <x:v>Garanhuns</x:v>
      </x:c>
      <x:c r="F67" t="str">
        <x:v>Garanhuns</x:v>
      </x:c>
      <x:c r="G67" t="str">
        <x:v>MR01</x:v>
      </x:c>
      <x:c r="H67" t="str">
        <x:v>Garanhuns</x:v>
      </x:c>
      <x:c r="I67" t="str">
        <x:v>Equipe Dupla</x:v>
      </x:c>
      <x:c r="J67" t="str">
        <x:v>Corte / Religação / Vistoria</x:v>
      </x:c>
      <x:c r="K67" t="str">
        <x:v>Em recrutamento</x:v>
      </x:c>
      <x:c r="L67" t="str">
        <x:v>Cobrança</x:v>
      </x:c>
      <x:c r="M67" t="str">
        <x:v>Sim</x:v>
      </x:c>
      <x:c r="N67" t="str">
        <x:v>DADO FICTÍCIO – teste do painel; ID repetido em outra microrrota</x:v>
      </x:c>
      <x:c r="O67" s="15" t="n">
        <x:f>IF(A67="","",--(COUNTIF($A$2:A67,A67)=1))</x:f>
        <x:v>0</x:v>
      </x:c>
      <x:c r="P67" s="15" t="n">
        <x:f>IF(A67="","",--(COUNTIFS($A$2:A67,A67,$F$2:F67,F67)=1))</x:f>
        <x:v>0</x:v>
      </x:c>
    </x:row>
    <x:row r="68">
      <x:c r="A68" s="18" t="str">
        <x:v>CINT-05-01-02</x:v>
      </x:c>
      <x:c r="B68" t="str">
        <x:v>Equipe CINT-034</x:v>
      </x:c>
      <x:c r="C68" t="str">
        <x:v>Carlos Pereira</x:v>
      </x:c>
      <x:c r="D68" t="str">
        <x:v>Base Garanhuns</x:v>
      </x:c>
      <x:c r="E68" t="str">
        <x:v>Garanhuns</x:v>
      </x:c>
      <x:c r="F68" t="str">
        <x:v>Garanhuns</x:v>
      </x:c>
      <x:c r="G68" t="str">
        <x:v>MR01</x:v>
      </x:c>
      <x:c r="H68" t="str">
        <x:v>Garanhuns</x:v>
      </x:c>
      <x:c r="I68" t="str">
        <x:v>Equipe Simples</x:v>
      </x:c>
      <x:c r="J68" t="str">
        <x:v>Corte / Religação / Vistoria</x:v>
      </x:c>
      <x:c r="K68" t="str">
        <x:v>Em recrutamento</x:v>
      </x:c>
      <x:c r="L68" t="str">
        <x:v>Cobrança</x:v>
      </x:c>
      <x:c r="M68" t="str">
        <x:v>Não</x:v>
      </x:c>
      <x:c r="N68" t="str">
        <x:v>DADO FICTÍCIO – teste do painel; ID repetido em outra microrrota</x:v>
      </x:c>
      <x:c r="O68" s="15" t="n">
        <x:f>IF(A68="","",--(COUNTIF($A$2:A68,A68)=1))</x:f>
        <x:v>1</x:v>
      </x:c>
      <x:c r="P68" s="15" t="n">
        <x:f>IF(A68="","",--(COUNTIFS($A$2:A68,A68,$F$2:F68,F68)=1))</x:f>
        <x:v>1</x:v>
      </x:c>
    </x:row>
    <x:row r="69">
      <x:c r="A69" s="18" t="str">
        <x:v>CINT-05-01-02</x:v>
      </x:c>
      <x:c r="B69" t="str">
        <x:v>Equipe CINT-034</x:v>
      </x:c>
      <x:c r="C69" t="str">
        <x:v>Carlos Pereira</x:v>
      </x:c>
      <x:c r="D69" t="str">
        <x:v>Base Garanhuns</x:v>
      </x:c>
      <x:c r="E69" t="str">
        <x:v>Angelim</x:v>
      </x:c>
      <x:c r="F69" t="str">
        <x:v>Garanhuns</x:v>
      </x:c>
      <x:c r="G69" t="str">
        <x:v>MR02</x:v>
      </x:c>
      <x:c r="H69" t="str">
        <x:v>Angelim</x:v>
      </x:c>
      <x:c r="I69" t="str">
        <x:v>Equipe Simples</x:v>
      </x:c>
      <x:c r="J69" t="str">
        <x:v>Corte / Religação / Vistoria</x:v>
      </x:c>
      <x:c r="K69" t="str">
        <x:v>Em recrutamento</x:v>
      </x:c>
      <x:c r="L69" t="str">
        <x:v>Cobrança</x:v>
      </x:c>
      <x:c r="M69" t="str">
        <x:v>Não</x:v>
      </x:c>
      <x:c r="N69" t="str">
        <x:v>DADO FICTÍCIO – teste do painel; ID repetido em outra microrrota</x:v>
      </x:c>
      <x:c r="O69" s="15" t="n">
        <x:f>IF(A69="","",--(COUNTIF($A$2:A69,A69)=1))</x:f>
        <x:v>0</x:v>
      </x:c>
      <x:c r="P69" s="15" t="n">
        <x:f>IF(A69="","",--(COUNTIFS($A$2:A69,A69,$F$2:F69,F69)=1))</x:f>
        <x:v>0</x:v>
      </x:c>
    </x:row>
    <x:row r="70">
      <x:c r="A70" s="18" t="str">
        <x:v>CINT-05-02-01</x:v>
      </x:c>
      <x:c r="B70" t="str">
        <x:v>Equipe CINT-035</x:v>
      </x:c>
      <x:c r="C70" t="str">
        <x:v>Felipe Teixeira</x:v>
      </x:c>
      <x:c r="D70" t="str">
        <x:v>Base Garanhuns</x:v>
      </x:c>
      <x:c r="E70" t="str">
        <x:v>Angelim</x:v>
      </x:c>
      <x:c r="F70" t="str">
        <x:v>Garanhuns</x:v>
      </x:c>
      <x:c r="G70" t="str">
        <x:v>MR02</x:v>
      </x:c>
      <x:c r="H70" t="str">
        <x:v>Angelim</x:v>
      </x:c>
      <x:c r="I70" t="str">
        <x:v>Equipe Simples</x:v>
      </x:c>
      <x:c r="J70" t="str">
        <x:v>Corte / Religação / Vistoria</x:v>
      </x:c>
      <x:c r="K70" t="str">
        <x:v>Em contratação</x:v>
      </x:c>
      <x:c r="L70" t="str">
        <x:v>Cobrança</x:v>
      </x:c>
      <x:c r="M70" t="str">
        <x:v>Sim</x:v>
      </x:c>
      <x:c r="N70" t="str">
        <x:v>DADO FICTÍCIO – teste do painel; ID repetido em outra microrrota</x:v>
      </x:c>
      <x:c r="O70" s="15" t="n">
        <x:f>IF(A70="","",--(COUNTIF($A$2:A70,A70)=1))</x:f>
        <x:v>1</x:v>
      </x:c>
      <x:c r="P70" s="15" t="n">
        <x:f>IF(A70="","",--(COUNTIFS($A$2:A70,A70,$F$2:F70,F70)=1))</x:f>
        <x:v>1</x:v>
      </x:c>
    </x:row>
    <x:row r="71">
      <x:c r="A71" s="18" t="str">
        <x:v>CINT-05-02-01</x:v>
      </x:c>
      <x:c r="B71" t="str">
        <x:v>Equipe CINT-035</x:v>
      </x:c>
      <x:c r="C71" t="str">
        <x:v>Felipe Teixeira</x:v>
      </x:c>
      <x:c r="D71" t="str">
        <x:v>Base Garanhuns</x:v>
      </x:c>
      <x:c r="E71" t="str">
        <x:v>Águas Belas</x:v>
      </x:c>
      <x:c r="F71" t="str">
        <x:v>Garanhuns</x:v>
      </x:c>
      <x:c r="G71" t="str">
        <x:v>MR03</x:v>
      </x:c>
      <x:c r="H71" t="str">
        <x:v>Águas Belas</x:v>
      </x:c>
      <x:c r="I71" t="str">
        <x:v>Equipe Simples</x:v>
      </x:c>
      <x:c r="J71" t="str">
        <x:v>Corte / Religação / Vistoria</x:v>
      </x:c>
      <x:c r="K71" t="str">
        <x:v>Em contratação</x:v>
      </x:c>
      <x:c r="L71" t="str">
        <x:v>Cobrança</x:v>
      </x:c>
      <x:c r="M71" t="str">
        <x:v>Sim</x:v>
      </x:c>
      <x:c r="N71" t="str">
        <x:v>DADO FICTÍCIO – teste do painel; ID repetido em outra microrrota</x:v>
      </x:c>
      <x:c r="O71" s="15" t="n">
        <x:f>IF(A71="","",--(COUNTIF($A$2:A71,A71)=1))</x:f>
        <x:v>0</x:v>
      </x:c>
      <x:c r="P71" s="15" t="n">
        <x:f>IF(A71="","",--(COUNTIFS($A$2:A71,A71,$F$2:F71,F71)=1))</x:f>
        <x:v>0</x:v>
      </x:c>
    </x:row>
    <x:row r="72">
      <x:c r="A72" s="18" t="str">
        <x:v>CINT-05-02-02</x:v>
      </x:c>
      <x:c r="B72" t="str">
        <x:v>Equipe CINT-036</x:v>
      </x:c>
      <x:c r="C72" t="str">
        <x:v>Igor Almeida</x:v>
      </x:c>
      <x:c r="D72" t="str">
        <x:v>Base Garanhuns</x:v>
      </x:c>
      <x:c r="E72" t="str">
        <x:v>Águas Belas</x:v>
      </x:c>
      <x:c r="F72" t="str">
        <x:v>Garanhuns</x:v>
      </x:c>
      <x:c r="G72" t="str">
        <x:v>MR03</x:v>
      </x:c>
      <x:c r="H72" t="str">
        <x:v>Águas Belas</x:v>
      </x:c>
      <x:c r="I72" t="str">
        <x:v>Equipe Dupla</x:v>
      </x:c>
      <x:c r="J72" t="str">
        <x:v>Corte / Religação / Vistoria</x:v>
      </x:c>
      <x:c r="K72" t="str">
        <x:v>Em contratação</x:v>
      </x:c>
      <x:c r="L72" t="str">
        <x:v>Cobrança</x:v>
      </x:c>
      <x:c r="M72" t="str">
        <x:v>Não</x:v>
      </x:c>
      <x:c r="N72" t="str">
        <x:v>DADO FICTÍCIO – teste do painel; ID repetido em outra microrrota</x:v>
      </x:c>
      <x:c r="O72" s="15" t="n">
        <x:f>IF(A72="","",--(COUNTIF($A$2:A72,A72)=1))</x:f>
        <x:v>1</x:v>
      </x:c>
      <x:c r="P72" s="15" t="n">
        <x:f>IF(A72="","",--(COUNTIFS($A$2:A72,A72,$F$2:F72,F72)=1))</x:f>
        <x:v>1</x:v>
      </x:c>
    </x:row>
    <x:row r="73">
      <x:c r="A73" s="18" t="str">
        <x:v>CINT-05-02-02</x:v>
      </x:c>
      <x:c r="B73" t="str">
        <x:v>Equipe CINT-036</x:v>
      </x:c>
      <x:c r="C73" t="str">
        <x:v>Igor Almeida</x:v>
      </x:c>
      <x:c r="D73" t="str">
        <x:v>Base Garanhuns</x:v>
      </x:c>
      <x:c r="E73" t="str">
        <x:v>Garanhuns</x:v>
      </x:c>
      <x:c r="F73" t="str">
        <x:v>Garanhuns</x:v>
      </x:c>
      <x:c r="G73" t="str">
        <x:v>MR01</x:v>
      </x:c>
      <x:c r="H73" t="str">
        <x:v>Garanhuns</x:v>
      </x:c>
      <x:c r="I73" t="str">
        <x:v>Equipe Dupla</x:v>
      </x:c>
      <x:c r="J73" t="str">
        <x:v>Corte / Religação / Vistoria</x:v>
      </x:c>
      <x:c r="K73" t="str">
        <x:v>Em contratação</x:v>
      </x:c>
      <x:c r="L73" t="str">
        <x:v>Cobrança</x:v>
      </x:c>
      <x:c r="M73" t="str">
        <x:v>Não</x:v>
      </x:c>
      <x:c r="N73" t="str">
        <x:v>DADO FICTÍCIO – teste do painel; ID repetido em outra microrrota</x:v>
      </x:c>
      <x:c r="O73" s="15" t="n">
        <x:f>IF(A73="","",--(COUNTIF($A$2:A73,A73)=1))</x:f>
        <x:v>0</x:v>
      </x:c>
      <x:c r="P73" s="15" t="n">
        <x:f>IF(A73="","",--(COUNTIFS($A$2:A73,A73,$F$2:F73,F73)=1))</x:f>
        <x:v>0</x:v>
      </x:c>
    </x:row>
    <x:row r="74">
      <x:c r="A74" s="18" t="str">
        <x:v>CINT-05-03-01</x:v>
      </x:c>
      <x:c r="B74" t="str">
        <x:v>Equipe CINT-037</x:v>
      </x:c>
      <x:c r="C74" t="str">
        <x:v>Marcos Gomes</x:v>
      </x:c>
      <x:c r="D74" t="str">
        <x:v>Base Garanhuns</x:v>
      </x:c>
      <x:c r="E74" t="str">
        <x:v>Garanhuns</x:v>
      </x:c>
      <x:c r="F74" t="str">
        <x:v>Garanhuns</x:v>
      </x:c>
      <x:c r="G74" t="str">
        <x:v>MR01</x:v>
      </x:c>
      <x:c r="H74" t="str">
        <x:v>Garanhuns</x:v>
      </x:c>
      <x:c r="I74" t="str">
        <x:v>Equipe Dupla</x:v>
      </x:c>
      <x:c r="J74" t="str">
        <x:v>Corte / Religação / Vistoria</x:v>
      </x:c>
      <x:c r="K74" t="str">
        <x:v>Contratada</x:v>
      </x:c>
      <x:c r="L74" t="str">
        <x:v>Cobrança</x:v>
      </x:c>
      <x:c r="M74" t="str">
        <x:v>Sim</x:v>
      </x:c>
      <x:c r="N74" t="str">
        <x:v>DADO FICTÍCIO – teste do painel; ID repetido em outra microrrota</x:v>
      </x:c>
      <x:c r="O74" s="15" t="n">
        <x:f>IF(A74="","",--(COUNTIF($A$2:A74,A74)=1))</x:f>
        <x:v>1</x:v>
      </x:c>
      <x:c r="P74" s="15" t="n">
        <x:f>IF(A74="","",--(COUNTIFS($A$2:A74,A74,$F$2:F74,F74)=1))</x:f>
        <x:v>1</x:v>
      </x:c>
    </x:row>
    <x:row r="75">
      <x:c r="A75" s="18" t="str">
        <x:v>CINT-05-03-01</x:v>
      </x:c>
      <x:c r="B75" t="str">
        <x:v>Equipe CINT-037</x:v>
      </x:c>
      <x:c r="C75" t="str">
        <x:v>Marcos Gomes</x:v>
      </x:c>
      <x:c r="D75" t="str">
        <x:v>Base Garanhuns</x:v>
      </x:c>
      <x:c r="E75" t="str">
        <x:v>Angelim</x:v>
      </x:c>
      <x:c r="F75" t="str">
        <x:v>Garanhuns</x:v>
      </x:c>
      <x:c r="G75" t="str">
        <x:v>MR02</x:v>
      </x:c>
      <x:c r="H75" t="str">
        <x:v>Angelim</x:v>
      </x:c>
      <x:c r="I75" t="str">
        <x:v>Equipe Dupla</x:v>
      </x:c>
      <x:c r="J75" t="str">
        <x:v>Corte / Religação / Vistoria</x:v>
      </x:c>
      <x:c r="K75" t="str">
        <x:v>Contratada</x:v>
      </x:c>
      <x:c r="L75" t="str">
        <x:v>Cobrança</x:v>
      </x:c>
      <x:c r="M75" t="str">
        <x:v>Sim</x:v>
      </x:c>
      <x:c r="N75" t="str">
        <x:v>DADO FICTÍCIO – teste do painel; ID repetido em outra microrrota</x:v>
      </x:c>
      <x:c r="O75" s="15" t="n">
        <x:f>IF(A75="","",--(COUNTIF($A$2:A75,A75)=1))</x:f>
        <x:v>0</x:v>
      </x:c>
      <x:c r="P75" s="15" t="n">
        <x:f>IF(A75="","",--(COUNTIFS($A$2:A75,A75,$F$2:F75,F75)=1))</x:f>
        <x:v>0</x:v>
      </x:c>
    </x:row>
    <x:row r="76">
      <x:c r="A76" s="18" t="str">
        <x:v>CINT-05-03-02</x:v>
      </x:c>
      <x:c r="B76" t="str">
        <x:v>Equipe CINT-038</x:v>
      </x:c>
      <x:c r="C76" t="str">
        <x:v>Renato Pereira</x:v>
      </x:c>
      <x:c r="D76" t="str">
        <x:v>Base Garanhuns</x:v>
      </x:c>
      <x:c r="E76" t="str">
        <x:v>Angelim</x:v>
      </x:c>
      <x:c r="F76" t="str">
        <x:v>Garanhuns</x:v>
      </x:c>
      <x:c r="G76" t="str">
        <x:v>MR02</x:v>
      </x:c>
      <x:c r="H76" t="str">
        <x:v>Angelim</x:v>
      </x:c>
      <x:c r="I76" t="str">
        <x:v>Equipe Simples</x:v>
      </x:c>
      <x:c r="J76" t="str">
        <x:v>Corte / Religação / Vistoria</x:v>
      </x:c>
      <x:c r="K76" t="str">
        <x:v>Contratada</x:v>
      </x:c>
      <x:c r="L76" t="str">
        <x:v>Cobrança</x:v>
      </x:c>
      <x:c r="M76" t="str">
        <x:v>Sim</x:v>
      </x:c>
      <x:c r="N76" t="str">
        <x:v>DADO FICTÍCIO – teste do painel; ID repetido em outra microrrota</x:v>
      </x:c>
      <x:c r="O76" s="15" t="n">
        <x:f>IF(A76="","",--(COUNTIF($A$2:A76,A76)=1))</x:f>
        <x:v>1</x:v>
      </x:c>
      <x:c r="P76" s="15" t="n">
        <x:f>IF(A76="","",--(COUNTIFS($A$2:A76,A76,$F$2:F76,F76)=1))</x:f>
        <x:v>1</x:v>
      </x:c>
    </x:row>
    <x:row r="77">
      <x:c r="A77" s="18" t="str">
        <x:v>CINT-05-03-02</x:v>
      </x:c>
      <x:c r="B77" t="str">
        <x:v>Equipe CINT-038</x:v>
      </x:c>
      <x:c r="C77" t="str">
        <x:v>Renato Pereira</x:v>
      </x:c>
      <x:c r="D77" t="str">
        <x:v>Base Garanhuns</x:v>
      </x:c>
      <x:c r="E77" t="str">
        <x:v>Águas Belas</x:v>
      </x:c>
      <x:c r="F77" t="str">
        <x:v>Garanhuns</x:v>
      </x:c>
      <x:c r="G77" t="str">
        <x:v>MR03</x:v>
      </x:c>
      <x:c r="H77" t="str">
        <x:v>Águas Belas</x:v>
      </x:c>
      <x:c r="I77" t="str">
        <x:v>Equipe Simples</x:v>
      </x:c>
      <x:c r="J77" t="str">
        <x:v>Corte / Religação / Vistoria</x:v>
      </x:c>
      <x:c r="K77" t="str">
        <x:v>Contratada</x:v>
      </x:c>
      <x:c r="L77" t="str">
        <x:v>Cobrança</x:v>
      </x:c>
      <x:c r="M77" t="str">
        <x:v>Sim</x:v>
      </x:c>
      <x:c r="N77" t="str">
        <x:v>DADO FICTÍCIO – teste do painel; ID repetido em outra microrrota</x:v>
      </x:c>
      <x:c r="O77" s="15" t="n">
        <x:f>IF(A77="","",--(COUNTIF($A$2:A77,A77)=1))</x:f>
        <x:v>0</x:v>
      </x:c>
      <x:c r="P77" s="15" t="n">
        <x:f>IF(A77="","",--(COUNTIFS($A$2:A77,A77,$F$2:F77,F77)=1))</x:f>
        <x:v>0</x:v>
      </x:c>
    </x:row>
    <x:row r="78">
      <x:c r="A78" s="18" t="str">
        <x:v>CINT-05-04-01</x:v>
      </x:c>
      <x:c r="B78" t="str">
        <x:v>Equipe CINT-039</x:v>
      </x:c>
      <x:c r="C78" t="str">
        <x:v>Wagner Teixeira</x:v>
      </x:c>
      <x:c r="D78" t="str">
        <x:v>Base Garanhuns</x:v>
      </x:c>
      <x:c r="E78" t="str">
        <x:v>Águas Belas</x:v>
      </x:c>
      <x:c r="F78" t="str">
        <x:v>Garanhuns</x:v>
      </x:c>
      <x:c r="G78" t="str">
        <x:v>MR03</x:v>
      </x:c>
      <x:c r="H78" t="str">
        <x:v>Águas Belas</x:v>
      </x:c>
      <x:c r="I78" t="str">
        <x:v>Equipe Simples</x:v>
      </x:c>
      <x:c r="J78" t="str">
        <x:v>Corte / Religação / Vistoria</x:v>
      </x:c>
      <x:c r="K78" t="str">
        <x:v>Mobilizada</x:v>
      </x:c>
      <x:c r="L78" t="str">
        <x:v>Cobrança</x:v>
      </x:c>
      <x:c r="M78" t="str">
        <x:v>Sim</x:v>
      </x:c>
      <x:c r="N78" t="str">
        <x:v>DADO FICTÍCIO – teste do painel; ID repetido em outra microrrota</x:v>
      </x:c>
      <x:c r="O78" s="15" t="n">
        <x:f>IF(A78="","",--(COUNTIF($A$2:A78,A78)=1))</x:f>
        <x:v>1</x:v>
      </x:c>
      <x:c r="P78" s="15" t="n">
        <x:f>IF(A78="","",--(COUNTIFS($A$2:A78,A78,$F$2:F78,F78)=1))</x:f>
        <x:v>1</x:v>
      </x:c>
    </x:row>
    <x:row r="79">
      <x:c r="A79" s="18" t="str">
        <x:v>CINT-05-04-01</x:v>
      </x:c>
      <x:c r="B79" t="str">
        <x:v>Equipe CINT-039</x:v>
      </x:c>
      <x:c r="C79" t="str">
        <x:v>Wagner Teixeira</x:v>
      </x:c>
      <x:c r="D79" t="str">
        <x:v>Base Garanhuns</x:v>
      </x:c>
      <x:c r="E79" t="str">
        <x:v>Garanhuns</x:v>
      </x:c>
      <x:c r="F79" t="str">
        <x:v>Garanhuns</x:v>
      </x:c>
      <x:c r="G79" t="str">
        <x:v>MR01</x:v>
      </x:c>
      <x:c r="H79" t="str">
        <x:v>Garanhuns</x:v>
      </x:c>
      <x:c r="I79" t="str">
        <x:v>Equipe Simples</x:v>
      </x:c>
      <x:c r="J79" t="str">
        <x:v>Corte / Religação / Vistoria</x:v>
      </x:c>
      <x:c r="K79" t="str">
        <x:v>Mobilizada</x:v>
      </x:c>
      <x:c r="L79" t="str">
        <x:v>Cobrança</x:v>
      </x:c>
      <x:c r="M79" t="str">
        <x:v>Sim</x:v>
      </x:c>
      <x:c r="N79" t="str">
        <x:v>DADO FICTÍCIO – teste do painel; ID repetido em outra microrrota</x:v>
      </x:c>
      <x:c r="O79" s="15" t="n">
        <x:f>IF(A79="","",--(COUNTIF($A$2:A79,A79)=1))</x:f>
        <x:v>0</x:v>
      </x:c>
      <x:c r="P79" s="15" t="n">
        <x:f>IF(A79="","",--(COUNTIFS($A$2:A79,A79,$F$2:F79,F79)=1))</x:f>
        <x:v>0</x:v>
      </x:c>
    </x:row>
    <x:row r="80">
      <x:c r="A80" s="18" t="str">
        <x:v>CINT-05-04-02</x:v>
      </x:c>
      <x:c r="B80" t="str">
        <x:v>Equipe CINT-040</x:v>
      </x:c>
      <x:c r="C80" t="str">
        <x:v>André Almeida</x:v>
      </x:c>
      <x:c r="D80" t="str">
        <x:v>Base Garanhuns</x:v>
      </x:c>
      <x:c r="E80" t="str">
        <x:v>Garanhuns</x:v>
      </x:c>
      <x:c r="F80" t="str">
        <x:v>Garanhuns</x:v>
      </x:c>
      <x:c r="G80" t="str">
        <x:v>MR01</x:v>
      </x:c>
      <x:c r="H80" t="str">
        <x:v>Garanhuns</x:v>
      </x:c>
      <x:c r="I80" t="str">
        <x:v>Equipe Dupla</x:v>
      </x:c>
      <x:c r="J80" t="str">
        <x:v>Corte / Religação / Vistoria</x:v>
      </x:c>
      <x:c r="K80" t="str">
        <x:v>Mobilizada</x:v>
      </x:c>
      <x:c r="L80" t="str">
        <x:v>Cobrança</x:v>
      </x:c>
      <x:c r="M80" t="str">
        <x:v>Sim</x:v>
      </x:c>
      <x:c r="N80" t="str">
        <x:v>DADO FICTÍCIO – teste do painel; ID repetido em outra microrrota</x:v>
      </x:c>
      <x:c r="O80" s="15" t="n">
        <x:f>IF(A80="","",--(COUNTIF($A$2:A80,A80)=1))</x:f>
        <x:v>1</x:v>
      </x:c>
      <x:c r="P80" s="15" t="n">
        <x:f>IF(A80="","",--(COUNTIFS($A$2:A80,A80,$F$2:F80,F80)=1))</x:f>
        <x:v>1</x:v>
      </x:c>
    </x:row>
    <x:row r="81">
      <x:c r="A81" s="18" t="str">
        <x:v>CINT-05-04-02</x:v>
      </x:c>
      <x:c r="B81" t="str">
        <x:v>Equipe CINT-040</x:v>
      </x:c>
      <x:c r="C81" t="str">
        <x:v>André Almeida</x:v>
      </x:c>
      <x:c r="D81" t="str">
        <x:v>Base Garanhuns</x:v>
      </x:c>
      <x:c r="E81" t="str">
        <x:v>Angelim</x:v>
      </x:c>
      <x:c r="F81" t="str">
        <x:v>Garanhuns</x:v>
      </x:c>
      <x:c r="G81" t="str">
        <x:v>MR02</x:v>
      </x:c>
      <x:c r="H81" t="str">
        <x:v>Angelim</x:v>
      </x:c>
      <x:c r="I81" t="str">
        <x:v>Equipe Dupla</x:v>
      </x:c>
      <x:c r="J81" t="str">
        <x:v>Corte / Religação / Vistoria</x:v>
      </x:c>
      <x:c r="K81" t="str">
        <x:v>Mobilizada</x:v>
      </x:c>
      <x:c r="L81" t="str">
        <x:v>Cobrança</x:v>
      </x:c>
      <x:c r="M81" t="str">
        <x:v>Sim</x:v>
      </x:c>
      <x:c r="N81" t="str">
        <x:v>DADO FICTÍCIO – teste do painel; ID repetido em outra microrrota</x:v>
      </x:c>
      <x:c r="O81" s="15" t="n">
        <x:f>IF(A81="","",--(COUNTIF($A$2:A81,A81)=1))</x:f>
        <x:v>0</x:v>
      </x:c>
      <x:c r="P81" s="15" t="n">
        <x:f>IF(A81="","",--(COUNTIFS($A$2:A81,A81,$F$2:F81,F81)=1))</x:f>
        <x:v>0</x:v>
      </x:c>
    </x:row>
    <x:row r="82">
      <x:c r="A82" s="18" t="str">
        <x:v>CINT-06-01-01</x:v>
      </x:c>
      <x:c r="B82" t="str">
        <x:v>Equipe CINT-041</x:v>
      </x:c>
      <x:c r="C82" t="str">
        <x:v>Daniel Gomes</x:v>
      </x:c>
      <x:c r="D82" t="str">
        <x:v>Base Arcoverde</x:v>
      </x:c>
      <x:c r="E82" t="str">
        <x:v>Buíque</x:v>
      </x:c>
      <x:c r="F82" t="str">
        <x:v>Arcoverde</x:v>
      </x:c>
      <x:c r="G82" t="str">
        <x:v>MR01</x:v>
      </x:c>
      <x:c r="H82" t="str">
        <x:v>Buíque</x:v>
      </x:c>
      <x:c r="I82" t="str">
        <x:v>Equipe Dupla</x:v>
      </x:c>
      <x:c r="J82" t="str">
        <x:v>Corte / Religação / Vistoria</x:v>
      </x:c>
      <x:c r="K82" t="str">
        <x:v>Em recrutamento</x:v>
      </x:c>
      <x:c r="L82" t="str">
        <x:v>Cobrança</x:v>
      </x:c>
      <x:c r="M82" t="str">
        <x:v>Sim</x:v>
      </x:c>
      <x:c r="N82" t="str">
        <x:v>DADO FICTÍCIO – teste do painel; ID repetido em outra microrrota</x:v>
      </x:c>
      <x:c r="O82" s="15" t="n">
        <x:f>IF(A82="","",--(COUNTIF($A$2:A82,A82)=1))</x:f>
        <x:v>1</x:v>
      </x:c>
      <x:c r="P82" s="15" t="n">
        <x:f>IF(A82="","",--(COUNTIFS($A$2:A82,A82,$F$2:F82,F82)=1))</x:f>
        <x:v>1</x:v>
      </x:c>
    </x:row>
    <x:row r="83">
      <x:c r="A83" s="18" t="str">
        <x:v>CINT-06-01-01</x:v>
      </x:c>
      <x:c r="B83" t="str">
        <x:v>Equipe CINT-041</x:v>
      </x:c>
      <x:c r="C83" t="str">
        <x:v>Daniel Gomes</x:v>
      </x:c>
      <x:c r="D83" t="str">
        <x:v>Base Arcoverde</x:v>
      </x:c>
      <x:c r="E83" t="str">
        <x:v>Alagoinha</x:v>
      </x:c>
      <x:c r="F83" t="str">
        <x:v>Arcoverde</x:v>
      </x:c>
      <x:c r="G83" t="str">
        <x:v>MR02</x:v>
      </x:c>
      <x:c r="H83" t="str">
        <x:v>Alagoinha</x:v>
      </x:c>
      <x:c r="I83" t="str">
        <x:v>Equipe Dupla</x:v>
      </x:c>
      <x:c r="J83" t="str">
        <x:v>Corte / Religação / Vistoria</x:v>
      </x:c>
      <x:c r="K83" t="str">
        <x:v>Em recrutamento</x:v>
      </x:c>
      <x:c r="L83" t="str">
        <x:v>Cobrança</x:v>
      </x:c>
      <x:c r="M83" t="str">
        <x:v>Sim</x:v>
      </x:c>
      <x:c r="N83" t="str">
        <x:v>DADO FICTÍCIO – teste do painel; ID repetido em outra microrrota</x:v>
      </x:c>
      <x:c r="O83" s="15" t="n">
        <x:f>IF(A83="","",--(COUNTIF($A$2:A83,A83)=1))</x:f>
        <x:v>0</x:v>
      </x:c>
      <x:c r="P83" s="15" t="n">
        <x:f>IF(A83="","",--(COUNTIFS($A$2:A83,A83,$F$2:F83,F83)=1))</x:f>
        <x:v>0</x:v>
      </x:c>
    </x:row>
    <x:row r="84">
      <x:c r="A84" s="18" t="str">
        <x:v>CINT-06-01-02</x:v>
      </x:c>
      <x:c r="B84" t="str">
        <x:v>Equipe CINT-042</x:v>
      </x:c>
      <x:c r="C84" t="str">
        <x:v>Gabriel Pereira</x:v>
      </x:c>
      <x:c r="D84" t="str">
        <x:v>Base Arcoverde</x:v>
      </x:c>
      <x:c r="E84" t="str">
        <x:v>Alagoinha</x:v>
      </x:c>
      <x:c r="F84" t="str">
        <x:v>Arcoverde</x:v>
      </x:c>
      <x:c r="G84" t="str">
        <x:v>MR02</x:v>
      </x:c>
      <x:c r="H84" t="str">
        <x:v>Alagoinha</x:v>
      </x:c>
      <x:c r="I84" t="str">
        <x:v>Equipe Simples</x:v>
      </x:c>
      <x:c r="J84" t="str">
        <x:v>Corte / Religação / Vistoria</x:v>
      </x:c>
      <x:c r="K84" t="str">
        <x:v>Em recrutamento</x:v>
      </x:c>
      <x:c r="L84" t="str">
        <x:v>Cobrança</x:v>
      </x:c>
      <x:c r="M84" t="str">
        <x:v>Não</x:v>
      </x:c>
      <x:c r="N84" t="str">
        <x:v>DADO FICTÍCIO – teste do painel; ID repetido em outra microrrota</x:v>
      </x:c>
      <x:c r="O84" s="15" t="n">
        <x:f>IF(A84="","",--(COUNTIF($A$2:A84,A84)=1))</x:f>
        <x:v>1</x:v>
      </x:c>
      <x:c r="P84" s="15" t="n">
        <x:f>IF(A84="","",--(COUNTIFS($A$2:A84,A84,$F$2:F84,F84)=1))</x:f>
        <x:v>1</x:v>
      </x:c>
    </x:row>
    <x:row r="85">
      <x:c r="A85" s="18" t="str">
        <x:v>CINT-06-01-02</x:v>
      </x:c>
      <x:c r="B85" t="str">
        <x:v>Equipe CINT-042</x:v>
      </x:c>
      <x:c r="C85" t="str">
        <x:v>Gabriel Pereira</x:v>
      </x:c>
      <x:c r="D85" t="str">
        <x:v>Base Arcoverde</x:v>
      </x:c>
      <x:c r="E85" t="str">
        <x:v>Itaíba</x:v>
      </x:c>
      <x:c r="F85" t="str">
        <x:v>Arcoverde</x:v>
      </x:c>
      <x:c r="G85" t="str">
        <x:v>MR03</x:v>
      </x:c>
      <x:c r="H85" t="str">
        <x:v>Itaíba</x:v>
      </x:c>
      <x:c r="I85" t="str">
        <x:v>Equipe Simples</x:v>
      </x:c>
      <x:c r="J85" t="str">
        <x:v>Corte / Religação / Vistoria</x:v>
      </x:c>
      <x:c r="K85" t="str">
        <x:v>Em recrutamento</x:v>
      </x:c>
      <x:c r="L85" t="str">
        <x:v>Cobrança</x:v>
      </x:c>
      <x:c r="M85" t="str">
        <x:v>Não</x:v>
      </x:c>
      <x:c r="N85" t="str">
        <x:v>DADO FICTÍCIO – teste do painel; ID repetido em outra microrrota</x:v>
      </x:c>
      <x:c r="O85" s="15" t="n">
        <x:f>IF(A85="","",--(COUNTIF($A$2:A85,A85)=1))</x:f>
        <x:v>0</x:v>
      </x:c>
      <x:c r="P85" s="15" t="n">
        <x:f>IF(A85="","",--(COUNTIFS($A$2:A85,A85,$F$2:F85,F85)=1))</x:f>
        <x:v>0</x:v>
      </x:c>
    </x:row>
    <x:row r="86">
      <x:c r="A86" s="18" t="str">
        <x:v>CINT-06-02-01</x:v>
      </x:c>
      <x:c r="B86" t="str">
        <x:v>Equipe CINT-043</x:v>
      </x:c>
      <x:c r="C86" t="str">
        <x:v>João Teixeira</x:v>
      </x:c>
      <x:c r="D86" t="str">
        <x:v>Base Arcoverde</x:v>
      </x:c>
      <x:c r="E86" t="str">
        <x:v>Itaíba</x:v>
      </x:c>
      <x:c r="F86" t="str">
        <x:v>Arcoverde</x:v>
      </x:c>
      <x:c r="G86" t="str">
        <x:v>MR03</x:v>
      </x:c>
      <x:c r="H86" t="str">
        <x:v>Itaíba</x:v>
      </x:c>
      <x:c r="I86" t="str">
        <x:v>Equipe Simples</x:v>
      </x:c>
      <x:c r="J86" t="str">
        <x:v>Corte / Religação / Vistoria</x:v>
      </x:c>
      <x:c r="K86" t="str">
        <x:v>Em contratação</x:v>
      </x:c>
      <x:c r="L86" t="str">
        <x:v>Cobrança</x:v>
      </x:c>
      <x:c r="M86" t="str">
        <x:v>Sim</x:v>
      </x:c>
      <x:c r="N86" t="str">
        <x:v>DADO FICTÍCIO – teste do painel; ID repetido em outra microrrota</x:v>
      </x:c>
      <x:c r="O86" s="15" t="n">
        <x:f>IF(A86="","",--(COUNTIF($A$2:A86,A86)=1))</x:f>
        <x:v>1</x:v>
      </x:c>
      <x:c r="P86" s="15" t="n">
        <x:f>IF(A86="","",--(COUNTIFS($A$2:A86,A86,$F$2:F86,F86)=1))</x:f>
        <x:v>1</x:v>
      </x:c>
    </x:row>
    <x:row r="87">
      <x:c r="A87" s="18" t="str">
        <x:v>CINT-06-02-01</x:v>
      </x:c>
      <x:c r="B87" t="str">
        <x:v>Equipe CINT-043</x:v>
      </x:c>
      <x:c r="C87" t="str">
        <x:v>João Teixeira</x:v>
      </x:c>
      <x:c r="D87" t="str">
        <x:v>Base Arcoverde</x:v>
      </x:c>
      <x:c r="E87" t="str">
        <x:v>Custódia</x:v>
      </x:c>
      <x:c r="F87" t="str">
        <x:v>Arcoverde</x:v>
      </x:c>
      <x:c r="G87" t="str">
        <x:v>MR04</x:v>
      </x:c>
      <x:c r="H87" t="str">
        <x:v>Custódia</x:v>
      </x:c>
      <x:c r="I87" t="str">
        <x:v>Equipe Simples</x:v>
      </x:c>
      <x:c r="J87" t="str">
        <x:v>Corte / Religação / Vistoria</x:v>
      </x:c>
      <x:c r="K87" t="str">
        <x:v>Em contratação</x:v>
      </x:c>
      <x:c r="L87" t="str">
        <x:v>Cobrança</x:v>
      </x:c>
      <x:c r="M87" t="str">
        <x:v>Sim</x:v>
      </x:c>
      <x:c r="N87" t="str">
        <x:v>DADO FICTÍCIO – teste do painel; ID repetido em outra microrrota</x:v>
      </x:c>
      <x:c r="O87" s="15" t="n">
        <x:f>IF(A87="","",--(COUNTIF($A$2:A87,A87)=1))</x:f>
        <x:v>0</x:v>
      </x:c>
      <x:c r="P87" s="15" t="n">
        <x:f>IF(A87="","",--(COUNTIFS($A$2:A87,A87,$F$2:F87,F87)=1))</x:f>
        <x:v>0</x:v>
      </x:c>
    </x:row>
    <x:row r="88">
      <x:c r="A88" s="18" t="str">
        <x:v>CINT-06-02-02</x:v>
      </x:c>
      <x:c r="B88" t="str">
        <x:v>Equipe CINT-044</x:v>
      </x:c>
      <x:c r="C88" t="str">
        <x:v>Paulo Almeida</x:v>
      </x:c>
      <x:c r="D88" t="str">
        <x:v>Base Arcoverde</x:v>
      </x:c>
      <x:c r="E88" t="str">
        <x:v>Custódia</x:v>
      </x:c>
      <x:c r="F88" t="str">
        <x:v>Arcoverde</x:v>
      </x:c>
      <x:c r="G88" t="str">
        <x:v>MR04</x:v>
      </x:c>
      <x:c r="H88" t="str">
        <x:v>Custódia</x:v>
      </x:c>
      <x:c r="I88" t="str">
        <x:v>Equipe Dupla</x:v>
      </x:c>
      <x:c r="J88" t="str">
        <x:v>Corte / Religação / Vistoria</x:v>
      </x:c>
      <x:c r="K88" t="str">
        <x:v>Em contratação</x:v>
      </x:c>
      <x:c r="L88" t="str">
        <x:v>Cobrança</x:v>
      </x:c>
      <x:c r="M88" t="str">
        <x:v>Não</x:v>
      </x:c>
      <x:c r="N88" t="str">
        <x:v>DADO FICTÍCIO – teste do painel; ID repetido em outra microrrota</x:v>
      </x:c>
      <x:c r="O88" s="15" t="n">
        <x:f>IF(A88="","",--(COUNTIF($A$2:A88,A88)=1))</x:f>
        <x:v>1</x:v>
      </x:c>
      <x:c r="P88" s="15" t="n">
        <x:f>IF(A88="","",--(COUNTIFS($A$2:A88,A88,$F$2:F88,F88)=1))</x:f>
        <x:v>1</x:v>
      </x:c>
    </x:row>
    <x:row r="89">
      <x:c r="A89" s="18" t="str">
        <x:v>CINT-06-02-02</x:v>
      </x:c>
      <x:c r="B89" t="str">
        <x:v>Equipe CINT-044</x:v>
      </x:c>
      <x:c r="C89" t="str">
        <x:v>Paulo Almeida</x:v>
      </x:c>
      <x:c r="D89" t="str">
        <x:v>Base Arcoverde</x:v>
      </x:c>
      <x:c r="E89" t="str">
        <x:v>Buíque</x:v>
      </x:c>
      <x:c r="F89" t="str">
        <x:v>Arcoverde</x:v>
      </x:c>
      <x:c r="G89" t="str">
        <x:v>MR01</x:v>
      </x:c>
      <x:c r="H89" t="str">
        <x:v>Buíque</x:v>
      </x:c>
      <x:c r="I89" t="str">
        <x:v>Equipe Dupla</x:v>
      </x:c>
      <x:c r="J89" t="str">
        <x:v>Corte / Religação / Vistoria</x:v>
      </x:c>
      <x:c r="K89" t="str">
        <x:v>Em contratação</x:v>
      </x:c>
      <x:c r="L89" t="str">
        <x:v>Cobrança</x:v>
      </x:c>
      <x:c r="M89" t="str">
        <x:v>Não</x:v>
      </x:c>
      <x:c r="N89" t="str">
        <x:v>DADO FICTÍCIO – teste do painel; ID repetido em outra microrrota</x:v>
      </x:c>
      <x:c r="O89" s="15" t="n">
        <x:f>IF(A89="","",--(COUNTIF($A$2:A89,A89)=1))</x:f>
        <x:v>0</x:v>
      </x:c>
      <x:c r="P89" s="15" t="n">
        <x:f>IF(A89="","",--(COUNTIFS($A$2:A89,A89,$F$2:F89,F89)=1))</x:f>
        <x:v>0</x:v>
      </x:c>
    </x:row>
    <x:row r="90">
      <x:c r="A90" s="18" t="str">
        <x:v>CINT-06-03-01</x:v>
      </x:c>
      <x:c r="B90" t="str">
        <x:v>Equipe CINT-045</x:v>
      </x:c>
      <x:c r="C90" t="str">
        <x:v>Thiago Gomes</x:v>
      </x:c>
      <x:c r="D90" t="str">
        <x:v>Base Arcoverde</x:v>
      </x:c>
      <x:c r="E90" t="str">
        <x:v>Buíque</x:v>
      </x:c>
      <x:c r="F90" t="str">
        <x:v>Arcoverde</x:v>
      </x:c>
      <x:c r="G90" t="str">
        <x:v>MR01</x:v>
      </x:c>
      <x:c r="H90" t="str">
        <x:v>Buíque</x:v>
      </x:c>
      <x:c r="I90" t="str">
        <x:v>Equipe Dupla</x:v>
      </x:c>
      <x:c r="J90" t="str">
        <x:v>Corte / Religação / Vistoria</x:v>
      </x:c>
      <x:c r="K90" t="str">
        <x:v>Contratada</x:v>
      </x:c>
      <x:c r="L90" t="str">
        <x:v>Cobrança</x:v>
      </x:c>
      <x:c r="M90" t="str">
        <x:v>Sim</x:v>
      </x:c>
      <x:c r="N90" t="str">
        <x:v>DADO FICTÍCIO – teste do painel; ID repetido em outra microrrota</x:v>
      </x:c>
      <x:c r="O90" s="15" t="n">
        <x:f>IF(A90="","",--(COUNTIF($A$2:A90,A90)=1))</x:f>
        <x:v>1</x:v>
      </x:c>
      <x:c r="P90" s="15" t="n">
        <x:f>IF(A90="","",--(COUNTIFS($A$2:A90,A90,$F$2:F90,F90)=1))</x:f>
        <x:v>1</x:v>
      </x:c>
    </x:row>
    <x:row r="91">
      <x:c r="A91" s="18" t="str">
        <x:v>CINT-06-03-01</x:v>
      </x:c>
      <x:c r="B91" t="str">
        <x:v>Equipe CINT-045</x:v>
      </x:c>
      <x:c r="C91" t="str">
        <x:v>Thiago Gomes</x:v>
      </x:c>
      <x:c r="D91" t="str">
        <x:v>Base Arcoverde</x:v>
      </x:c>
      <x:c r="E91" t="str">
        <x:v>Alagoinha</x:v>
      </x:c>
      <x:c r="F91" t="str">
        <x:v>Arcoverde</x:v>
      </x:c>
      <x:c r="G91" t="str">
        <x:v>MR02</x:v>
      </x:c>
      <x:c r="H91" t="str">
        <x:v>Alagoinha</x:v>
      </x:c>
      <x:c r="I91" t="str">
        <x:v>Equipe Dupla</x:v>
      </x:c>
      <x:c r="J91" t="str">
        <x:v>Corte / Religação / Vistoria</x:v>
      </x:c>
      <x:c r="K91" t="str">
        <x:v>Contratada</x:v>
      </x:c>
      <x:c r="L91" t="str">
        <x:v>Cobrança</x:v>
      </x:c>
      <x:c r="M91" t="str">
        <x:v>Sim</x:v>
      </x:c>
      <x:c r="N91" t="str">
        <x:v>DADO FICTÍCIO – teste do painel; ID repetido em outra microrrota</x:v>
      </x:c>
      <x:c r="O91" s="15" t="n">
        <x:f>IF(A91="","",--(COUNTIF($A$2:A91,A91)=1))</x:f>
        <x:v>0</x:v>
      </x:c>
      <x:c r="P91" s="15" t="n">
        <x:f>IF(A91="","",--(COUNTIFS($A$2:A91,A91,$F$2:F91,F91)=1))</x:f>
        <x:v>0</x:v>
      </x:c>
    </x:row>
    <x:row r="92">
      <x:c r="A92" s="18" t="str">
        <x:v>CINT-06-03-02</x:v>
      </x:c>
      <x:c r="B92" t="str">
        <x:v>Equipe CINT-046</x:v>
      </x:c>
      <x:c r="C92" t="str">
        <x:v>Alex Pereira</x:v>
      </x:c>
      <x:c r="D92" t="str">
        <x:v>Base Arcoverde</x:v>
      </x:c>
      <x:c r="E92" t="str">
        <x:v>Alagoinha</x:v>
      </x:c>
      <x:c r="F92" t="str">
        <x:v>Arcoverde</x:v>
      </x:c>
      <x:c r="G92" t="str">
        <x:v>MR02</x:v>
      </x:c>
      <x:c r="H92" t="str">
        <x:v>Alagoinha</x:v>
      </x:c>
      <x:c r="I92" t="str">
        <x:v>Equipe Simples</x:v>
      </x:c>
      <x:c r="J92" t="str">
        <x:v>Corte / Religação / Vistoria</x:v>
      </x:c>
      <x:c r="K92" t="str">
        <x:v>Contratada</x:v>
      </x:c>
      <x:c r="L92" t="str">
        <x:v>Cobrança</x:v>
      </x:c>
      <x:c r="M92" t="str">
        <x:v>Sim</x:v>
      </x:c>
      <x:c r="N92" t="str">
        <x:v>DADO FICTÍCIO – teste do painel; ID repetido em outra microrrota</x:v>
      </x:c>
      <x:c r="O92" s="15" t="n">
        <x:f>IF(A92="","",--(COUNTIF($A$2:A92,A92)=1))</x:f>
        <x:v>1</x:v>
      </x:c>
      <x:c r="P92" s="15" t="n">
        <x:f>IF(A92="","",--(COUNTIFS($A$2:A92,A92,$F$2:F92,F92)=1))</x:f>
        <x:v>1</x:v>
      </x:c>
    </x:row>
    <x:row r="93">
      <x:c r="A93" s="18" t="str">
        <x:v>CINT-06-03-02</x:v>
      </x:c>
      <x:c r="B93" t="str">
        <x:v>Equipe CINT-046</x:v>
      </x:c>
      <x:c r="C93" t="str">
        <x:v>Alex Pereira</x:v>
      </x:c>
      <x:c r="D93" t="str">
        <x:v>Base Arcoverde</x:v>
      </x:c>
      <x:c r="E93" t="str">
        <x:v>Itaíba</x:v>
      </x:c>
      <x:c r="F93" t="str">
        <x:v>Arcoverde</x:v>
      </x:c>
      <x:c r="G93" t="str">
        <x:v>MR03</x:v>
      </x:c>
      <x:c r="H93" t="str">
        <x:v>Itaíba</x:v>
      </x:c>
      <x:c r="I93" t="str">
        <x:v>Equipe Simples</x:v>
      </x:c>
      <x:c r="J93" t="str">
        <x:v>Corte / Religação / Vistoria</x:v>
      </x:c>
      <x:c r="K93" t="str">
        <x:v>Contratada</x:v>
      </x:c>
      <x:c r="L93" t="str">
        <x:v>Cobrança</x:v>
      </x:c>
      <x:c r="M93" t="str">
        <x:v>Sim</x:v>
      </x:c>
      <x:c r="N93" t="str">
        <x:v>DADO FICTÍCIO – teste do painel; ID repetido em outra microrrota</x:v>
      </x:c>
      <x:c r="O93" s="15" t="n">
        <x:f>IF(A93="","",--(COUNTIF($A$2:A93,A93)=1))</x:f>
        <x:v>0</x:v>
      </x:c>
      <x:c r="P93" s="15" t="n">
        <x:f>IF(A93="","",--(COUNTIFS($A$2:A93,A93,$F$2:F93,F93)=1))</x:f>
        <x:v>0</x:v>
      </x:c>
    </x:row>
    <x:row r="94">
      <x:c r="A94" s="18" t="str">
        <x:v>CINT-06-04-01</x:v>
      </x:c>
      <x:c r="B94" t="str">
        <x:v>Equipe CINT-047</x:v>
      </x:c>
      <x:c r="C94" t="str">
        <x:v>Bruno Teixeira</x:v>
      </x:c>
      <x:c r="D94" t="str">
        <x:v>Base Arcoverde</x:v>
      </x:c>
      <x:c r="E94" t="str">
        <x:v>Itaíba</x:v>
      </x:c>
      <x:c r="F94" t="str">
        <x:v>Arcoverde</x:v>
      </x:c>
      <x:c r="G94" t="str">
        <x:v>MR03</x:v>
      </x:c>
      <x:c r="H94" t="str">
        <x:v>Itaíba</x:v>
      </x:c>
      <x:c r="I94" t="str">
        <x:v>Equipe Simples</x:v>
      </x:c>
      <x:c r="J94" t="str">
        <x:v>Corte / Religação / Vistoria</x:v>
      </x:c>
      <x:c r="K94" t="str">
        <x:v>Mobilizada</x:v>
      </x:c>
      <x:c r="L94" t="str">
        <x:v>Cobrança</x:v>
      </x:c>
      <x:c r="M94" t="str">
        <x:v>Sim</x:v>
      </x:c>
      <x:c r="N94" t="str">
        <x:v>DADO FICTÍCIO – teste do painel; ID repetido em outra microrrota</x:v>
      </x:c>
      <x:c r="O94" s="15" t="n">
        <x:f>IF(A94="","",--(COUNTIF($A$2:A94,A94)=1))</x:f>
        <x:v>1</x:v>
      </x:c>
      <x:c r="P94" s="15" t="n">
        <x:f>IF(A94="","",--(COUNTIFS($A$2:A94,A94,$F$2:F94,F94)=1))</x:f>
        <x:v>1</x:v>
      </x:c>
    </x:row>
    <x:row r="95">
      <x:c r="A95" s="18" t="str">
        <x:v>CINT-06-04-01</x:v>
      </x:c>
      <x:c r="B95" t="str">
        <x:v>Equipe CINT-047</x:v>
      </x:c>
      <x:c r="C95" t="str">
        <x:v>Bruno Teixeira</x:v>
      </x:c>
      <x:c r="D95" t="str">
        <x:v>Base Arcoverde</x:v>
      </x:c>
      <x:c r="E95" t="str">
        <x:v>Custódia</x:v>
      </x:c>
      <x:c r="F95" t="str">
        <x:v>Arcoverde</x:v>
      </x:c>
      <x:c r="G95" t="str">
        <x:v>MR04</x:v>
      </x:c>
      <x:c r="H95" t="str">
        <x:v>Custódia</x:v>
      </x:c>
      <x:c r="I95" t="str">
        <x:v>Equipe Simples</x:v>
      </x:c>
      <x:c r="J95" t="str">
        <x:v>Corte / Religação / Vistoria</x:v>
      </x:c>
      <x:c r="K95" t="str">
        <x:v>Mobilizada</x:v>
      </x:c>
      <x:c r="L95" t="str">
        <x:v>Cobrança</x:v>
      </x:c>
      <x:c r="M95" t="str">
        <x:v>Sim</x:v>
      </x:c>
      <x:c r="N95" t="str">
        <x:v>DADO FICTÍCIO – teste do painel; ID repetido em outra microrrota</x:v>
      </x:c>
      <x:c r="O95" s="15" t="n">
        <x:f>IF(A95="","",--(COUNTIF($A$2:A95,A95)=1))</x:f>
        <x:v>0</x:v>
      </x:c>
      <x:c r="P95" s="15" t="n">
        <x:f>IF(A95="","",--(COUNTIFS($A$2:A95,A95,$F$2:F95,F95)=1))</x:f>
        <x:v>0</x:v>
      </x:c>
    </x:row>
    <x:row r="96">
      <x:c r="A96" s="18" t="str">
        <x:v>CINT-06-04-02</x:v>
      </x:c>
      <x:c r="B96" t="str">
        <x:v>Equipe CINT-048</x:v>
      </x:c>
      <x:c r="C96" t="str">
        <x:v>Eduardo Almeida</x:v>
      </x:c>
      <x:c r="D96" t="str">
        <x:v>Base Arcoverde</x:v>
      </x:c>
      <x:c r="E96" t="str">
        <x:v>Custódia</x:v>
      </x:c>
      <x:c r="F96" t="str">
        <x:v>Arcoverde</x:v>
      </x:c>
      <x:c r="G96" t="str">
        <x:v>MR04</x:v>
      </x:c>
      <x:c r="H96" t="str">
        <x:v>Custódia</x:v>
      </x:c>
      <x:c r="I96" t="str">
        <x:v>Equipe Dupla</x:v>
      </x:c>
      <x:c r="J96" t="str">
        <x:v>Corte / Religação / Vistoria</x:v>
      </x:c>
      <x:c r="K96" t="str">
        <x:v>Mobilizada</x:v>
      </x:c>
      <x:c r="L96" t="str">
        <x:v>Cobrança</x:v>
      </x:c>
      <x:c r="M96" t="str">
        <x:v>Sim</x:v>
      </x:c>
      <x:c r="N96" t="str">
        <x:v>DADO FICTÍCIO – teste do painel; ID repetido em outra microrrota</x:v>
      </x:c>
      <x:c r="O96" s="15" t="n">
        <x:f>IF(A96="","",--(COUNTIF($A$2:A96,A96)=1))</x:f>
        <x:v>1</x:v>
      </x:c>
      <x:c r="P96" s="15" t="n">
        <x:f>IF(A96="","",--(COUNTIFS($A$2:A96,A96,$F$2:F96,F96)=1))</x:f>
        <x:v>1</x:v>
      </x:c>
    </x:row>
    <x:row r="97">
      <x:c r="A97" s="18" t="str">
        <x:v>CINT-06-04-02</x:v>
      </x:c>
      <x:c r="B97" t="str">
        <x:v>Equipe CINT-048</x:v>
      </x:c>
      <x:c r="C97" t="str">
        <x:v>Eduardo Almeida</x:v>
      </x:c>
      <x:c r="D97" t="str">
        <x:v>Base Arcoverde</x:v>
      </x:c>
      <x:c r="E97" t="str">
        <x:v>Buíque</x:v>
      </x:c>
      <x:c r="F97" t="str">
        <x:v>Arcoverde</x:v>
      </x:c>
      <x:c r="G97" t="str">
        <x:v>MR01</x:v>
      </x:c>
      <x:c r="H97" t="str">
        <x:v>Buíque</x:v>
      </x:c>
      <x:c r="I97" t="str">
        <x:v>Equipe Dupla</x:v>
      </x:c>
      <x:c r="J97" t="str">
        <x:v>Corte / Religação / Vistoria</x:v>
      </x:c>
      <x:c r="K97" t="str">
        <x:v>Mobilizada</x:v>
      </x:c>
      <x:c r="L97" t="str">
        <x:v>Cobrança</x:v>
      </x:c>
      <x:c r="M97" t="str">
        <x:v>Sim</x:v>
      </x:c>
      <x:c r="N97" t="str">
        <x:v>DADO FICTÍCIO – teste do painel; ID repetido em outra microrrota</x:v>
      </x:c>
      <x:c r="O97" s="15" t="n">
        <x:f>IF(A97="","",--(COUNTIF($A$2:A97,A97)=1))</x:f>
        <x:v>0</x:v>
      </x:c>
      <x:c r="P97" s="15" t="n">
        <x:f>IF(A97="","",--(COUNTIFS($A$2:A97,A97,$F$2:F97,F97)=1))</x:f>
        <x:v>0</x:v>
      </x:c>
    </x:row>
    <x:row r="98">
      <x:c r="A98" s="18" t="str">
        <x:v>CINT-07-01-01</x:v>
      </x:c>
      <x:c r="B98" t="str">
        <x:v>Equipe CINT-049</x:v>
      </x:c>
      <x:c r="C98" t="str">
        <x:v>Henrique Gomes</x:v>
      </x:c>
      <x:c r="D98" t="str">
        <x:v>Base Afogados da Ingazeira</x:v>
      </x:c>
      <x:c r="E98" t="str">
        <x:v>Brejinho</x:v>
      </x:c>
      <x:c r="F98" t="str">
        <x:v>Afogados da Ingazeira</x:v>
      </x:c>
      <x:c r="G98" t="str">
        <x:v>MR01</x:v>
      </x:c>
      <x:c r="H98" t="str">
        <x:v>Brejinho</x:v>
      </x:c>
      <x:c r="I98" t="str">
        <x:v>Equipe Dupla</x:v>
      </x:c>
      <x:c r="J98" t="str">
        <x:v>Corte / Religação / Vistoria</x:v>
      </x:c>
      <x:c r="K98" t="str">
        <x:v>Em recrutamento</x:v>
      </x:c>
      <x:c r="L98" t="str">
        <x:v>Cobrança</x:v>
      </x:c>
      <x:c r="M98" t="str">
        <x:v>Sim</x:v>
      </x:c>
      <x:c r="N98" t="str">
        <x:v>DADO FICTÍCIO – teste do painel; ID repetido em outra microrrota</x:v>
      </x:c>
      <x:c r="O98" s="15" t="n">
        <x:f>IF(A98="","",--(COUNTIF($A$2:A98,A98)=1))</x:f>
        <x:v>1</x:v>
      </x:c>
      <x:c r="P98" s="15" t="n">
        <x:f>IF(A98="","",--(COUNTIFS($A$2:A98,A98,$F$2:F98,F98)=1))</x:f>
        <x:v>1</x:v>
      </x:c>
    </x:row>
    <x:row r="99">
      <x:c r="A99" s="18" t="str">
        <x:v>CINT-07-01-01</x:v>
      </x:c>
      <x:c r="B99" t="str">
        <x:v>Equipe CINT-049</x:v>
      </x:c>
      <x:c r="C99" t="str">
        <x:v>Henrique Gomes</x:v>
      </x:c>
      <x:c r="D99" t="str">
        <x:v>Base Afogados da Ingazeira</x:v>
      </x:c>
      <x:c r="E99" t="str">
        <x:v>Carnaíba</x:v>
      </x:c>
      <x:c r="F99" t="str">
        <x:v>Afogados da Ingazeira</x:v>
      </x:c>
      <x:c r="G99" t="str">
        <x:v>MR02</x:v>
      </x:c>
      <x:c r="H99" t="str">
        <x:v>Carnaíba</x:v>
      </x:c>
      <x:c r="I99" t="str">
        <x:v>Equipe Dupla</x:v>
      </x:c>
      <x:c r="J99" t="str">
        <x:v>Corte / Religação / Vistoria</x:v>
      </x:c>
      <x:c r="K99" t="str">
        <x:v>Em recrutamento</x:v>
      </x:c>
      <x:c r="L99" t="str">
        <x:v>Cobrança</x:v>
      </x:c>
      <x:c r="M99" t="str">
        <x:v>Sim</x:v>
      </x:c>
      <x:c r="N99" t="str">
        <x:v>DADO FICTÍCIO – teste do painel; ID repetido em outra microrrota</x:v>
      </x:c>
      <x:c r="O99" s="15" t="n">
        <x:f>IF(A99="","",--(COUNTIF($A$2:A99,A99)=1))</x:f>
        <x:v>0</x:v>
      </x:c>
      <x:c r="P99" s="15" t="n">
        <x:f>IF(A99="","",--(COUNTIFS($A$2:A99,A99,$F$2:F99,F99)=1))</x:f>
        <x:v>0</x:v>
      </x:c>
    </x:row>
    <x:row r="100">
      <x:c r="A100" s="18" t="str">
        <x:v>CINT-07-01-02</x:v>
      </x:c>
      <x:c r="B100" t="str">
        <x:v>Equipe CINT-050</x:v>
      </x:c>
      <x:c r="C100" t="str">
        <x:v>Lucas Pereira</x:v>
      </x:c>
      <x:c r="D100" t="str">
        <x:v>Base Afogados da Ingazeira</x:v>
      </x:c>
      <x:c r="E100" t="str">
        <x:v>Carnaíba</x:v>
      </x:c>
      <x:c r="F100" t="str">
        <x:v>Afogados da Ingazeira</x:v>
      </x:c>
      <x:c r="G100" t="str">
        <x:v>MR02</x:v>
      </x:c>
      <x:c r="H100" t="str">
        <x:v>Carnaíba</x:v>
      </x:c>
      <x:c r="I100" t="str">
        <x:v>Equipe Simples</x:v>
      </x:c>
      <x:c r="J100" t="str">
        <x:v>Corte / Religação / Vistoria</x:v>
      </x:c>
      <x:c r="K100" t="str">
        <x:v>Em recrutamento</x:v>
      </x:c>
      <x:c r="L100" t="str">
        <x:v>Cobrança</x:v>
      </x:c>
      <x:c r="M100" t="str">
        <x:v>Não</x:v>
      </x:c>
      <x:c r="N100" t="str">
        <x:v>DADO FICTÍCIO – teste do painel; ID repetido em outra microrrota</x:v>
      </x:c>
      <x:c r="O100" s="15" t="n">
        <x:f>IF(A100="","",--(COUNTIF($A$2:A100,A100)=1))</x:f>
        <x:v>1</x:v>
      </x:c>
      <x:c r="P100" s="15" t="n">
        <x:f>IF(A100="","",--(COUNTIFS($A$2:A100,A100,$F$2:F100,F100)=1))</x:f>
        <x:v>1</x:v>
      </x:c>
    </x:row>
    <x:row r="101">
      <x:c r="A101" s="18" t="str">
        <x:v>CINT-07-01-02</x:v>
      </x:c>
      <x:c r="B101" t="str">
        <x:v>Equipe CINT-050</x:v>
      </x:c>
      <x:c r="C101" t="str">
        <x:v>Lucas Pereira</x:v>
      </x:c>
      <x:c r="D101" t="str">
        <x:v>Base Afogados da Ingazeira</x:v>
      </x:c>
      <x:c r="E101" t="str">
        <x:v>Afogados da Ingazeira</x:v>
      </x:c>
      <x:c r="F101" t="str">
        <x:v>Afogados da Ingazeira</x:v>
      </x:c>
      <x:c r="G101" t="str">
        <x:v>MR03</x:v>
      </x:c>
      <x:c r="H101" t="str">
        <x:v>Afogados da Ingazeira</x:v>
      </x:c>
      <x:c r="I101" t="str">
        <x:v>Equipe Simples</x:v>
      </x:c>
      <x:c r="J101" t="str">
        <x:v>Corte / Religação / Vistoria</x:v>
      </x:c>
      <x:c r="K101" t="str">
        <x:v>Em recrutamento</x:v>
      </x:c>
      <x:c r="L101" t="str">
        <x:v>Cobrança</x:v>
      </x:c>
      <x:c r="M101" t="str">
        <x:v>Não</x:v>
      </x:c>
      <x:c r="N101" t="str">
        <x:v>DADO FICTÍCIO – teste do painel; ID repetido em outra microrrota</x:v>
      </x:c>
      <x:c r="O101" s="15" t="n">
        <x:f>IF(A101="","",--(COUNTIF($A$2:A101,A101)=1))</x:f>
        <x:v>0</x:v>
      </x:c>
      <x:c r="P101" s="15" t="n">
        <x:f>IF(A101="","",--(COUNTIFS($A$2:A101,A101,$F$2:F101,F101)=1))</x:f>
        <x:v>0</x:v>
      </x:c>
    </x:row>
    <x:row r="102">
      <x:c r="A102" s="18" t="str">
        <x:v>CINT-07-02-01</x:v>
      </x:c>
      <x:c r="B102" t="str">
        <x:v>Equipe CINT-051</x:v>
      </x:c>
      <x:c r="C102" t="str">
        <x:v>Rafael Teixeira</x:v>
      </x:c>
      <x:c r="D102" t="str">
        <x:v>Base Afogados da Ingazeira</x:v>
      </x:c>
      <x:c r="E102" t="str">
        <x:v>Afogados da Ingazeira</x:v>
      </x:c>
      <x:c r="F102" t="str">
        <x:v>Afogados da Ingazeira</x:v>
      </x:c>
      <x:c r="G102" t="str">
        <x:v>MR03</x:v>
      </x:c>
      <x:c r="H102" t="str">
        <x:v>Afogados da Ingazeira</x:v>
      </x:c>
      <x:c r="I102" t="str">
        <x:v>Equipe Simples</x:v>
      </x:c>
      <x:c r="J102" t="str">
        <x:v>Corte / Religação / Vistoria</x:v>
      </x:c>
      <x:c r="K102" t="str">
        <x:v>Em contratação</x:v>
      </x:c>
      <x:c r="L102" t="str">
        <x:v>Cobrança</x:v>
      </x:c>
      <x:c r="M102" t="str">
        <x:v>Sim</x:v>
      </x:c>
      <x:c r="N102" t="str">
        <x:v>DADO FICTÍCIO – teste do painel; ID repetido em outra microrrota</x:v>
      </x:c>
      <x:c r="O102" s="15" t="n">
        <x:f>IF(A102="","",--(COUNTIF($A$2:A102,A102)=1))</x:f>
        <x:v>1</x:v>
      </x:c>
      <x:c r="P102" s="15" t="n">
        <x:f>IF(A102="","",--(COUNTIFS($A$2:A102,A102,$F$2:F102,F102)=1))</x:f>
        <x:v>1</x:v>
      </x:c>
    </x:row>
    <x:row r="103">
      <x:c r="A103" s="18" t="str">
        <x:v>CINT-07-02-01</x:v>
      </x:c>
      <x:c r="B103" t="str">
        <x:v>Equipe CINT-051</x:v>
      </x:c>
      <x:c r="C103" t="str">
        <x:v>Rafael Teixeira</x:v>
      </x:c>
      <x:c r="D103" t="str">
        <x:v>Base Afogados da Ingazeira</x:v>
      </x:c>
      <x:c r="E103" t="str">
        <x:v>Brejinho</x:v>
      </x:c>
      <x:c r="F103" t="str">
        <x:v>Afogados da Ingazeira</x:v>
      </x:c>
      <x:c r="G103" t="str">
        <x:v>MR01</x:v>
      </x:c>
      <x:c r="H103" t="str">
        <x:v>Brejinho</x:v>
      </x:c>
      <x:c r="I103" t="str">
        <x:v>Equipe Simples</x:v>
      </x:c>
      <x:c r="J103" t="str">
        <x:v>Corte / Religação / Vistoria</x:v>
      </x:c>
      <x:c r="K103" t="str">
        <x:v>Em contratação</x:v>
      </x:c>
      <x:c r="L103" t="str">
        <x:v>Cobrança</x:v>
      </x:c>
      <x:c r="M103" t="str">
        <x:v>Sim</x:v>
      </x:c>
      <x:c r="N103" t="str">
        <x:v>DADO FICTÍCIO – teste do painel; ID repetido em outra microrrota</x:v>
      </x:c>
      <x:c r="O103" s="15" t="n">
        <x:f>IF(A103="","",--(COUNTIF($A$2:A103,A103)=1))</x:f>
        <x:v>0</x:v>
      </x:c>
      <x:c r="P103" s="15" t="n">
        <x:f>IF(A103="","",--(COUNTIFS($A$2:A103,A103,$F$2:F103,F103)=1))</x:f>
        <x:v>0</x:v>
      </x:c>
    </x:row>
    <x:row r="104">
      <x:c r="A104" s="18" t="str">
        <x:v>CINT-07-02-02</x:v>
      </x:c>
      <x:c r="B104" t="str">
        <x:v>Equipe CINT-052</x:v>
      </x:c>
      <x:c r="C104" t="str">
        <x:v>Vinícius Almeida</x:v>
      </x:c>
      <x:c r="D104" t="str">
        <x:v>Base Afogados da Ingazeira</x:v>
      </x:c>
      <x:c r="E104" t="str">
        <x:v>Brejinho</x:v>
      </x:c>
      <x:c r="F104" t="str">
        <x:v>Afogados da Ingazeira</x:v>
      </x:c>
      <x:c r="G104" t="str">
        <x:v>MR01</x:v>
      </x:c>
      <x:c r="H104" t="str">
        <x:v>Brejinho</x:v>
      </x:c>
      <x:c r="I104" t="str">
        <x:v>Equipe Dupla</x:v>
      </x:c>
      <x:c r="J104" t="str">
        <x:v>Corte / Religação / Vistoria</x:v>
      </x:c>
      <x:c r="K104" t="str">
        <x:v>Em contratação</x:v>
      </x:c>
      <x:c r="L104" t="str">
        <x:v>Cobrança</x:v>
      </x:c>
      <x:c r="M104" t="str">
        <x:v>Não</x:v>
      </x:c>
      <x:c r="N104" t="str">
        <x:v>DADO FICTÍCIO – teste do painel; ID repetido em outra microrrota</x:v>
      </x:c>
      <x:c r="O104" s="15" t="n">
        <x:f>IF(A104="","",--(COUNTIF($A$2:A104,A104)=1))</x:f>
        <x:v>1</x:v>
      </x:c>
      <x:c r="P104" s="15" t="n">
        <x:f>IF(A104="","",--(COUNTIFS($A$2:A104,A104,$F$2:F104,F104)=1))</x:f>
        <x:v>1</x:v>
      </x:c>
    </x:row>
    <x:row r="105">
      <x:c r="A105" s="18" t="str">
        <x:v>CINT-07-02-02</x:v>
      </x:c>
      <x:c r="B105" t="str">
        <x:v>Equipe CINT-052</x:v>
      </x:c>
      <x:c r="C105" t="str">
        <x:v>Vinícius Almeida</x:v>
      </x:c>
      <x:c r="D105" t="str">
        <x:v>Base Afogados da Ingazeira</x:v>
      </x:c>
      <x:c r="E105" t="str">
        <x:v>Carnaíba</x:v>
      </x:c>
      <x:c r="F105" t="str">
        <x:v>Afogados da Ingazeira</x:v>
      </x:c>
      <x:c r="G105" t="str">
        <x:v>MR02</x:v>
      </x:c>
      <x:c r="H105" t="str">
        <x:v>Carnaíba</x:v>
      </x:c>
      <x:c r="I105" t="str">
        <x:v>Equipe Dupla</x:v>
      </x:c>
      <x:c r="J105" t="str">
        <x:v>Corte / Religação / Vistoria</x:v>
      </x:c>
      <x:c r="K105" t="str">
        <x:v>Em contratação</x:v>
      </x:c>
      <x:c r="L105" t="str">
        <x:v>Cobrança</x:v>
      </x:c>
      <x:c r="M105" t="str">
        <x:v>Não</x:v>
      </x:c>
      <x:c r="N105" t="str">
        <x:v>DADO FICTÍCIO – teste do painel; ID repetido em outra microrrota</x:v>
      </x:c>
      <x:c r="O105" s="15" t="n">
        <x:f>IF(A105="","",--(COUNTIF($A$2:A105,A105)=1))</x:f>
        <x:v>0</x:v>
      </x:c>
      <x:c r="P105" s="15" t="n">
        <x:f>IF(A105="","",--(COUNTIFS($A$2:A105,A105,$F$2:F105,F105)=1))</x:f>
        <x:v>0</x:v>
      </x:c>
    </x:row>
    <x:row r="106">
      <x:c r="A106" s="18" t="str">
        <x:v>CINT-07-03-01</x:v>
      </x:c>
      <x:c r="B106" t="str">
        <x:v>Equipe CINT-053</x:v>
      </x:c>
      <x:c r="C106" t="str">
        <x:v>Diego Gomes</x:v>
      </x:c>
      <x:c r="D106" t="str">
        <x:v>Base Afogados da Ingazeira</x:v>
      </x:c>
      <x:c r="E106" t="str">
        <x:v>Carnaíba</x:v>
      </x:c>
      <x:c r="F106" t="str">
        <x:v>Afogados da Ingazeira</x:v>
      </x:c>
      <x:c r="G106" t="str">
        <x:v>MR02</x:v>
      </x:c>
      <x:c r="H106" t="str">
        <x:v>Carnaíba</x:v>
      </x:c>
      <x:c r="I106" t="str">
        <x:v>Equipe Dupla</x:v>
      </x:c>
      <x:c r="J106" t="str">
        <x:v>Corte / Religação / Vistoria</x:v>
      </x:c>
      <x:c r="K106" t="str">
        <x:v>Contratada</x:v>
      </x:c>
      <x:c r="L106" t="str">
        <x:v>Cobrança</x:v>
      </x:c>
      <x:c r="M106" t="str">
        <x:v>Sim</x:v>
      </x:c>
      <x:c r="N106" t="str">
        <x:v>DADO FICTÍCIO – teste do painel; ID repetido em outra microrrota</x:v>
      </x:c>
      <x:c r="O106" s="15" t="n">
        <x:f>IF(A106="","",--(COUNTIF($A$2:A106,A106)=1))</x:f>
        <x:v>1</x:v>
      </x:c>
      <x:c r="P106" s="15" t="n">
        <x:f>IF(A106="","",--(COUNTIFS($A$2:A106,A106,$F$2:F106,F106)=1))</x:f>
        <x:v>1</x:v>
      </x:c>
    </x:row>
    <x:row r="107">
      <x:c r="A107" s="18" t="str">
        <x:v>CINT-07-03-01</x:v>
      </x:c>
      <x:c r="B107" t="str">
        <x:v>Equipe CINT-053</x:v>
      </x:c>
      <x:c r="C107" t="str">
        <x:v>Diego Gomes</x:v>
      </x:c>
      <x:c r="D107" t="str">
        <x:v>Base Afogados da Ingazeira</x:v>
      </x:c>
      <x:c r="E107" t="str">
        <x:v>Afogados da Ingazeira</x:v>
      </x:c>
      <x:c r="F107" t="str">
        <x:v>Afogados da Ingazeira</x:v>
      </x:c>
      <x:c r="G107" t="str">
        <x:v>MR03</x:v>
      </x:c>
      <x:c r="H107" t="str">
        <x:v>Afogados da Ingazeira</x:v>
      </x:c>
      <x:c r="I107" t="str">
        <x:v>Equipe Dupla</x:v>
      </x:c>
      <x:c r="J107" t="str">
        <x:v>Corte / Religação / Vistoria</x:v>
      </x:c>
      <x:c r="K107" t="str">
        <x:v>Contratada</x:v>
      </x:c>
      <x:c r="L107" t="str">
        <x:v>Cobrança</x:v>
      </x:c>
      <x:c r="M107" t="str">
        <x:v>Sim</x:v>
      </x:c>
      <x:c r="N107" t="str">
        <x:v>DADO FICTÍCIO – teste do painel; ID repetido em outra microrrota</x:v>
      </x:c>
      <x:c r="O107" s="15" t="n">
        <x:f>IF(A107="","",--(COUNTIF($A$2:A107,A107)=1))</x:f>
        <x:v>0</x:v>
      </x:c>
      <x:c r="P107" s="15" t="n">
        <x:f>IF(A107="","",--(COUNTIFS($A$2:A107,A107,$F$2:F107,F107)=1))</x:f>
        <x:v>0</x:v>
      </x:c>
    </x:row>
    <x:row r="108">
      <x:c r="A108" s="18" t="str">
        <x:v>CINT-07-03-02</x:v>
      </x:c>
      <x:c r="B108" t="str">
        <x:v>Equipe CINT-054</x:v>
      </x:c>
      <x:c r="C108" t="str">
        <x:v>Carlos Pereira</x:v>
      </x:c>
      <x:c r="D108" t="str">
        <x:v>Base Afogados da Ingazeira</x:v>
      </x:c>
      <x:c r="E108" t="str">
        <x:v>Afogados da Ingazeira</x:v>
      </x:c>
      <x:c r="F108" t="str">
        <x:v>Afogados da Ingazeira</x:v>
      </x:c>
      <x:c r="G108" t="str">
        <x:v>MR03</x:v>
      </x:c>
      <x:c r="H108" t="str">
        <x:v>Afogados da Ingazeira</x:v>
      </x:c>
      <x:c r="I108" t="str">
        <x:v>Equipe Simples</x:v>
      </x:c>
      <x:c r="J108" t="str">
        <x:v>Corte / Religação / Vistoria</x:v>
      </x:c>
      <x:c r="K108" t="str">
        <x:v>Contratada</x:v>
      </x:c>
      <x:c r="L108" t="str">
        <x:v>Cobrança</x:v>
      </x:c>
      <x:c r="M108" t="str">
        <x:v>Sim</x:v>
      </x:c>
      <x:c r="N108" t="str">
        <x:v>DADO FICTÍCIO – teste do painel; ID repetido em outra microrrota</x:v>
      </x:c>
      <x:c r="O108" s="15" t="n">
        <x:f>IF(A108="","",--(COUNTIF($A$2:A108,A108)=1))</x:f>
        <x:v>1</x:v>
      </x:c>
      <x:c r="P108" s="15" t="n">
        <x:f>IF(A108="","",--(COUNTIFS($A$2:A108,A108,$F$2:F108,F108)=1))</x:f>
        <x:v>1</x:v>
      </x:c>
    </x:row>
    <x:row r="109">
      <x:c r="A109" s="18" t="str">
        <x:v>CINT-07-03-02</x:v>
      </x:c>
      <x:c r="B109" t="str">
        <x:v>Equipe CINT-054</x:v>
      </x:c>
      <x:c r="C109" t="str">
        <x:v>Carlos Pereira</x:v>
      </x:c>
      <x:c r="D109" t="str">
        <x:v>Base Afogados da Ingazeira</x:v>
      </x:c>
      <x:c r="E109" t="str">
        <x:v>Brejinho</x:v>
      </x:c>
      <x:c r="F109" t="str">
        <x:v>Afogados da Ingazeira</x:v>
      </x:c>
      <x:c r="G109" t="str">
        <x:v>MR01</x:v>
      </x:c>
      <x:c r="H109" t="str">
        <x:v>Brejinho</x:v>
      </x:c>
      <x:c r="I109" t="str">
        <x:v>Equipe Simples</x:v>
      </x:c>
      <x:c r="J109" t="str">
        <x:v>Corte / Religação / Vistoria</x:v>
      </x:c>
      <x:c r="K109" t="str">
        <x:v>Contratada</x:v>
      </x:c>
      <x:c r="L109" t="str">
        <x:v>Cobrança</x:v>
      </x:c>
      <x:c r="M109" t="str">
        <x:v>Sim</x:v>
      </x:c>
      <x:c r="N109" t="str">
        <x:v>DADO FICTÍCIO – teste do painel; ID repetido em outra microrrota</x:v>
      </x:c>
      <x:c r="O109" s="15" t="n">
        <x:f>IF(A109="","",--(COUNTIF($A$2:A109,A109)=1))</x:f>
        <x:v>0</x:v>
      </x:c>
      <x:c r="P109" s="15" t="n">
        <x:f>IF(A109="","",--(COUNTIFS($A$2:A109,A109,$F$2:F109,F109)=1))</x:f>
        <x:v>0</x:v>
      </x:c>
    </x:row>
    <x:row r="110">
      <x:c r="A110" s="18" t="str">
        <x:v>CINT-07-04-01</x:v>
      </x:c>
      <x:c r="B110" t="str">
        <x:v>Equipe CINT-055</x:v>
      </x:c>
      <x:c r="C110" t="str">
        <x:v>Felipe Teixeira</x:v>
      </x:c>
      <x:c r="D110" t="str">
        <x:v>Base Afogados da Ingazeira</x:v>
      </x:c>
      <x:c r="E110" t="str">
        <x:v>Brejinho</x:v>
      </x:c>
      <x:c r="F110" t="str">
        <x:v>Afogados da Ingazeira</x:v>
      </x:c>
      <x:c r="G110" t="str">
        <x:v>MR01</x:v>
      </x:c>
      <x:c r="H110" t="str">
        <x:v>Brejinho</x:v>
      </x:c>
      <x:c r="I110" t="str">
        <x:v>Equipe Simples</x:v>
      </x:c>
      <x:c r="J110" t="str">
        <x:v>Corte / Religação / Vistoria</x:v>
      </x:c>
      <x:c r="K110" t="str">
        <x:v>Mobilizada</x:v>
      </x:c>
      <x:c r="L110" t="str">
        <x:v>Cobrança</x:v>
      </x:c>
      <x:c r="M110" t="str">
        <x:v>Sim</x:v>
      </x:c>
      <x:c r="N110" t="str">
        <x:v>DADO FICTÍCIO – teste do painel; ID repetido em outra microrrota</x:v>
      </x:c>
      <x:c r="O110" s="15" t="n">
        <x:f>IF(A110="","",--(COUNTIF($A$2:A110,A110)=1))</x:f>
        <x:v>1</x:v>
      </x:c>
      <x:c r="P110" s="15" t="n">
        <x:f>IF(A110="","",--(COUNTIFS($A$2:A110,A110,$F$2:F110,F110)=1))</x:f>
        <x:v>1</x:v>
      </x:c>
    </x:row>
    <x:row r="111">
      <x:c r="A111" s="18" t="str">
        <x:v>CINT-07-04-01</x:v>
      </x:c>
      <x:c r="B111" t="str">
        <x:v>Equipe CINT-055</x:v>
      </x:c>
      <x:c r="C111" t="str">
        <x:v>Felipe Teixeira</x:v>
      </x:c>
      <x:c r="D111" t="str">
        <x:v>Base Afogados da Ingazeira</x:v>
      </x:c>
      <x:c r="E111" t="str">
        <x:v>Carnaíba</x:v>
      </x:c>
      <x:c r="F111" t="str">
        <x:v>Afogados da Ingazeira</x:v>
      </x:c>
      <x:c r="G111" t="str">
        <x:v>MR02</x:v>
      </x:c>
      <x:c r="H111" t="str">
        <x:v>Carnaíba</x:v>
      </x:c>
      <x:c r="I111" t="str">
        <x:v>Equipe Simples</x:v>
      </x:c>
      <x:c r="J111" t="str">
        <x:v>Corte / Religação / Vistoria</x:v>
      </x:c>
      <x:c r="K111" t="str">
        <x:v>Mobilizada</x:v>
      </x:c>
      <x:c r="L111" t="str">
        <x:v>Cobrança</x:v>
      </x:c>
      <x:c r="M111" t="str">
        <x:v>Sim</x:v>
      </x:c>
      <x:c r="N111" t="str">
        <x:v>DADO FICTÍCIO – teste do painel; ID repetido em outra microrrota</x:v>
      </x:c>
      <x:c r="O111" s="15" t="n">
        <x:f>IF(A111="","",--(COUNTIF($A$2:A111,A111)=1))</x:f>
        <x:v>0</x:v>
      </x:c>
      <x:c r="P111" s="15" t="n">
        <x:f>IF(A111="","",--(COUNTIFS($A$2:A111,A111,$F$2:F111,F111)=1))</x:f>
        <x:v>0</x:v>
      </x:c>
    </x:row>
    <x:row r="112">
      <x:c r="A112" s="18" t="str">
        <x:v>CINT-07-04-02</x:v>
      </x:c>
      <x:c r="B112" t="str">
        <x:v>Equipe CINT-056</x:v>
      </x:c>
      <x:c r="C112" t="str">
        <x:v>Igor Almeida</x:v>
      </x:c>
      <x:c r="D112" t="str">
        <x:v>Base Afogados da Ingazeira</x:v>
      </x:c>
      <x:c r="E112" t="str">
        <x:v>Carnaíba</x:v>
      </x:c>
      <x:c r="F112" t="str">
        <x:v>Afogados da Ingazeira</x:v>
      </x:c>
      <x:c r="G112" t="str">
        <x:v>MR02</x:v>
      </x:c>
      <x:c r="H112" t="str">
        <x:v>Carnaíba</x:v>
      </x:c>
      <x:c r="I112" t="str">
        <x:v>Equipe Dupla</x:v>
      </x:c>
      <x:c r="J112" t="str">
        <x:v>Corte / Religação / Vistoria</x:v>
      </x:c>
      <x:c r="K112" t="str">
        <x:v>Mobilizada</x:v>
      </x:c>
      <x:c r="L112" t="str">
        <x:v>Cobrança</x:v>
      </x:c>
      <x:c r="M112" t="str">
        <x:v>Sim</x:v>
      </x:c>
      <x:c r="N112" t="str">
        <x:v>DADO FICTÍCIO – teste do painel; ID repetido em outra microrrota</x:v>
      </x:c>
      <x:c r="O112" s="15" t="n">
        <x:f>IF(A112="","",--(COUNTIF($A$2:A112,A112)=1))</x:f>
        <x:v>1</x:v>
      </x:c>
      <x:c r="P112" s="15" t="n">
        <x:f>IF(A112="","",--(COUNTIFS($A$2:A112,A112,$F$2:F112,F112)=1))</x:f>
        <x:v>1</x:v>
      </x:c>
    </x:row>
    <x:row r="113">
      <x:c r="A113" s="18" t="str">
        <x:v>CINT-07-04-02</x:v>
      </x:c>
      <x:c r="B113" t="str">
        <x:v>Equipe CINT-056</x:v>
      </x:c>
      <x:c r="C113" t="str">
        <x:v>Igor Almeida</x:v>
      </x:c>
      <x:c r="D113" t="str">
        <x:v>Base Afogados da Ingazeira</x:v>
      </x:c>
      <x:c r="E113" t="str">
        <x:v>Afogados da Ingazeira</x:v>
      </x:c>
      <x:c r="F113" t="str">
        <x:v>Afogados da Ingazeira</x:v>
      </x:c>
      <x:c r="G113" t="str">
        <x:v>MR03</x:v>
      </x:c>
      <x:c r="H113" t="str">
        <x:v>Afogados da Ingazeira</x:v>
      </x:c>
      <x:c r="I113" t="str">
        <x:v>Equipe Dupla</x:v>
      </x:c>
      <x:c r="J113" t="str">
        <x:v>Corte / Religação / Vistoria</x:v>
      </x:c>
      <x:c r="K113" t="str">
        <x:v>Mobilizada</x:v>
      </x:c>
      <x:c r="L113" t="str">
        <x:v>Cobrança</x:v>
      </x:c>
      <x:c r="M113" t="str">
        <x:v>Sim</x:v>
      </x:c>
      <x:c r="N113" t="str">
        <x:v>DADO FICTÍCIO – teste do painel; ID repetido em outra microrrota</x:v>
      </x:c>
      <x:c r="O113" s="15" t="n">
        <x:f>IF(A113="","",--(COUNTIF($A$2:A113,A113)=1))</x:f>
        <x:v>0</x:v>
      </x:c>
      <x:c r="P113" s="15" t="n">
        <x:f>IF(A113="","",--(COUNTIFS($A$2:A113,A113,$F$2:F113,F113)=1))</x:f>
        <x:v>0</x:v>
      </x:c>
    </x:row>
    <x:row r="114">
      <x:c r="A114" s="18" t="str">
        <x:v>CINT-08-01-01</x:v>
      </x:c>
      <x:c r="B114" t="str">
        <x:v>Equipe CINT-057</x:v>
      </x:c>
      <x:c r="C114" t="str">
        <x:v>Marcos Gomes</x:v>
      </x:c>
      <x:c r="D114" t="str">
        <x:v>Base Serra Talhada</x:v>
      </x:c>
      <x:c r="E114" t="str">
        <x:v>Belém do São Francisco</x:v>
      </x:c>
      <x:c r="F114" t="str">
        <x:v>Serra Talhada</x:v>
      </x:c>
      <x:c r="G114" t="str">
        <x:v>MR03</x:v>
      </x:c>
      <x:c r="H114" t="str">
        <x:v>Belém do São Francisco</x:v>
      </x:c>
      <x:c r="I114" t="str">
        <x:v>Equipe Dupla</x:v>
      </x:c>
      <x:c r="J114" t="str">
        <x:v>Corte / Religação / Vistoria</x:v>
      </x:c>
      <x:c r="K114" t="str">
        <x:v>Em recrutamento</x:v>
      </x:c>
      <x:c r="L114" t="str">
        <x:v>Cobrança</x:v>
      </x:c>
      <x:c r="M114" t="str">
        <x:v>Sim</x:v>
      </x:c>
      <x:c r="N114" t="str">
        <x:v>DADO FICTÍCIO – teste do painel; ID repetido em outra microrrota</x:v>
      </x:c>
      <x:c r="O114" s="15" t="n">
        <x:f>IF(A114="","",--(COUNTIF($A$2:A114,A114)=1))</x:f>
        <x:v>1</x:v>
      </x:c>
      <x:c r="P114" s="15" t="n">
        <x:f>IF(A114="","",--(COUNTIFS($A$2:A114,A114,$F$2:F114,F114)=1))</x:f>
        <x:v>1</x:v>
      </x:c>
    </x:row>
    <x:row r="115">
      <x:c r="A115" s="18" t="str">
        <x:v>CINT-08-01-01</x:v>
      </x:c>
      <x:c r="B115" t="str">
        <x:v>Equipe CINT-057</x:v>
      </x:c>
      <x:c r="C115" t="str">
        <x:v>Marcos Gomes</x:v>
      </x:c>
      <x:c r="D115" t="str">
        <x:v>Base Serra Talhada</x:v>
      </x:c>
      <x:c r="E115" t="str">
        <x:v>Betânia</x:v>
      </x:c>
      <x:c r="F115" t="str">
        <x:v>Serra Talhada</x:v>
      </x:c>
      <x:c r="G115" t="str">
        <x:v>MR01</x:v>
      </x:c>
      <x:c r="H115" t="str">
        <x:v>Betânia</x:v>
      </x:c>
      <x:c r="I115" t="str">
        <x:v>Equipe Dupla</x:v>
      </x:c>
      <x:c r="J115" t="str">
        <x:v>Corte / Religação / Vistoria</x:v>
      </x:c>
      <x:c r="K115" t="str">
        <x:v>Em recrutamento</x:v>
      </x:c>
      <x:c r="L115" t="str">
        <x:v>Cobrança</x:v>
      </x:c>
      <x:c r="M115" t="str">
        <x:v>Sim</x:v>
      </x:c>
      <x:c r="N115" t="str">
        <x:v>DADO FICTÍCIO – teste do painel; ID repetido em outra microrrota</x:v>
      </x:c>
      <x:c r="O115" s="15" t="n">
        <x:f>IF(A115="","",--(COUNTIF($A$2:A115,A115)=1))</x:f>
        <x:v>0</x:v>
      </x:c>
      <x:c r="P115" s="15" t="n">
        <x:f>IF(A115="","",--(COUNTIFS($A$2:A115,A115,$F$2:F115,F115)=1))</x:f>
        <x:v>0</x:v>
      </x:c>
    </x:row>
    <x:row r="116">
      <x:c r="A116" s="18" t="str">
        <x:v>CINT-08-01-02</x:v>
      </x:c>
      <x:c r="B116" t="str">
        <x:v>Equipe CINT-058</x:v>
      </x:c>
      <x:c r="C116" t="str">
        <x:v>Renato Pereira</x:v>
      </x:c>
      <x:c r="D116" t="str">
        <x:v>Base Serra Talhada</x:v>
      </x:c>
      <x:c r="E116" t="str">
        <x:v>Betânia</x:v>
      </x:c>
      <x:c r="F116" t="str">
        <x:v>Serra Talhada</x:v>
      </x:c>
      <x:c r="G116" t="str">
        <x:v>MR01</x:v>
      </x:c>
      <x:c r="H116" t="str">
        <x:v>Betânia</x:v>
      </x:c>
      <x:c r="I116" t="str">
        <x:v>Equipe Simples</x:v>
      </x:c>
      <x:c r="J116" t="str">
        <x:v>Corte / Religação / Vistoria</x:v>
      </x:c>
      <x:c r="K116" t="str">
        <x:v>Em recrutamento</x:v>
      </x:c>
      <x:c r="L116" t="str">
        <x:v>Cobrança</x:v>
      </x:c>
      <x:c r="M116" t="str">
        <x:v>Não</x:v>
      </x:c>
      <x:c r="N116" t="str">
        <x:v>DADO FICTÍCIO – teste do painel; ID repetido em outra microrrota</x:v>
      </x:c>
      <x:c r="O116" s="15" t="n">
        <x:f>IF(A116="","",--(COUNTIF($A$2:A116,A116)=1))</x:f>
        <x:v>1</x:v>
      </x:c>
      <x:c r="P116" s="15" t="n">
        <x:f>IF(A116="","",--(COUNTIFS($A$2:A116,A116,$F$2:F116,F116)=1))</x:f>
        <x:v>1</x:v>
      </x:c>
    </x:row>
    <x:row r="117">
      <x:c r="A117" s="18" t="str">
        <x:v>CINT-08-01-02</x:v>
      </x:c>
      <x:c r="B117" t="str">
        <x:v>Equipe CINT-058</x:v>
      </x:c>
      <x:c r="C117" t="str">
        <x:v>Renato Pereira</x:v>
      </x:c>
      <x:c r="D117" t="str">
        <x:v>Base Serra Talhada</x:v>
      </x:c>
      <x:c r="E117" t="str">
        <x:v>Jatobá</x:v>
      </x:c>
      <x:c r="F117" t="str">
        <x:v>Serra Talhada</x:v>
      </x:c>
      <x:c r="G117" t="str">
        <x:v>MR02</x:v>
      </x:c>
      <x:c r="H117" t="str">
        <x:v>Jatobá</x:v>
      </x:c>
      <x:c r="I117" t="str">
        <x:v>Equipe Simples</x:v>
      </x:c>
      <x:c r="J117" t="str">
        <x:v>Corte / Religação / Vistoria</x:v>
      </x:c>
      <x:c r="K117" t="str">
        <x:v>Em recrutamento</x:v>
      </x:c>
      <x:c r="L117" t="str">
        <x:v>Cobrança</x:v>
      </x:c>
      <x:c r="M117" t="str">
        <x:v>Não</x:v>
      </x:c>
      <x:c r="N117" t="str">
        <x:v>DADO FICTÍCIO – teste do painel; ID repetido em outra microrrota</x:v>
      </x:c>
      <x:c r="O117" s="15" t="n">
        <x:f>IF(A117="","",--(COUNTIF($A$2:A117,A117)=1))</x:f>
        <x:v>0</x:v>
      </x:c>
      <x:c r="P117" s="15" t="n">
        <x:f>IF(A117="","",--(COUNTIFS($A$2:A117,A117,$F$2:F117,F117)=1))</x:f>
        <x:v>0</x:v>
      </x:c>
    </x:row>
    <x:row r="118">
      <x:c r="A118" s="18" t="str">
        <x:v>CINT-08-02-01</x:v>
      </x:c>
      <x:c r="B118" t="str">
        <x:v>Equipe CINT-059</x:v>
      </x:c>
      <x:c r="C118" t="str">
        <x:v>Wagner Teixeira</x:v>
      </x:c>
      <x:c r="D118" t="str">
        <x:v>Base Serra Talhada</x:v>
      </x:c>
      <x:c r="E118" t="str">
        <x:v>Jatobá</x:v>
      </x:c>
      <x:c r="F118" t="str">
        <x:v>Serra Talhada</x:v>
      </x:c>
      <x:c r="G118" t="str">
        <x:v>MR02</x:v>
      </x:c>
      <x:c r="H118" t="str">
        <x:v>Jatobá</x:v>
      </x:c>
      <x:c r="I118" t="str">
        <x:v>Equipe Simples</x:v>
      </x:c>
      <x:c r="J118" t="str">
        <x:v>Corte / Religação / Vistoria</x:v>
      </x:c>
      <x:c r="K118" t="str">
        <x:v>Em contratação</x:v>
      </x:c>
      <x:c r="L118" t="str">
        <x:v>Cobrança</x:v>
      </x:c>
      <x:c r="M118" t="str">
        <x:v>Sim</x:v>
      </x:c>
      <x:c r="N118" t="str">
        <x:v>DADO FICTÍCIO – teste do painel; ID repetido em outra microrrota</x:v>
      </x:c>
      <x:c r="O118" s="15" t="n">
        <x:f>IF(A118="","",--(COUNTIF($A$2:A118,A118)=1))</x:f>
        <x:v>1</x:v>
      </x:c>
      <x:c r="P118" s="15" t="n">
        <x:f>IF(A118="","",--(COUNTIFS($A$2:A118,A118,$F$2:F118,F118)=1))</x:f>
        <x:v>1</x:v>
      </x:c>
    </x:row>
    <x:row r="119">
      <x:c r="A119" s="18" t="str">
        <x:v>CINT-08-02-01</x:v>
      </x:c>
      <x:c r="B119" t="str">
        <x:v>Equipe CINT-059</x:v>
      </x:c>
      <x:c r="C119" t="str">
        <x:v>Wagner Teixeira</x:v>
      </x:c>
      <x:c r="D119" t="str">
        <x:v>Base Serra Talhada</x:v>
      </x:c>
      <x:c r="E119" t="str">
        <x:v>Belém do São Francisco</x:v>
      </x:c>
      <x:c r="F119" t="str">
        <x:v>Serra Talhada</x:v>
      </x:c>
      <x:c r="G119" t="str">
        <x:v>MR03</x:v>
      </x:c>
      <x:c r="H119" t="str">
        <x:v>Belém do São Francisco</x:v>
      </x:c>
      <x:c r="I119" t="str">
        <x:v>Equipe Simples</x:v>
      </x:c>
      <x:c r="J119" t="str">
        <x:v>Corte / Religação / Vistoria</x:v>
      </x:c>
      <x:c r="K119" t="str">
        <x:v>Em contratação</x:v>
      </x:c>
      <x:c r="L119" t="str">
        <x:v>Cobrança</x:v>
      </x:c>
      <x:c r="M119" t="str">
        <x:v>Sim</x:v>
      </x:c>
      <x:c r="N119" t="str">
        <x:v>DADO FICTÍCIO – teste do painel; ID repetido em outra microrrota</x:v>
      </x:c>
      <x:c r="O119" s="15" t="n">
        <x:f>IF(A119="","",--(COUNTIF($A$2:A119,A119)=1))</x:f>
        <x:v>0</x:v>
      </x:c>
      <x:c r="P119" s="15" t="n">
        <x:f>IF(A119="","",--(COUNTIFS($A$2:A119,A119,$F$2:F119,F119)=1))</x:f>
        <x:v>0</x:v>
      </x:c>
    </x:row>
    <x:row r="120">
      <x:c r="A120" s="18" t="str">
        <x:v>CINT-08-02-02</x:v>
      </x:c>
      <x:c r="B120" t="str">
        <x:v>Equipe CINT-060</x:v>
      </x:c>
      <x:c r="C120" t="str">
        <x:v>André Almeida</x:v>
      </x:c>
      <x:c r="D120" t="str">
        <x:v>Base Serra Talhada</x:v>
      </x:c>
      <x:c r="E120" t="str">
        <x:v>Belém do São Francisco</x:v>
      </x:c>
      <x:c r="F120" t="str">
        <x:v>Serra Talhada</x:v>
      </x:c>
      <x:c r="G120" t="str">
        <x:v>MR03</x:v>
      </x:c>
      <x:c r="H120" t="str">
        <x:v>Belém do São Francisco</x:v>
      </x:c>
      <x:c r="I120" t="str">
        <x:v>Equipe Dupla</x:v>
      </x:c>
      <x:c r="J120" t="str">
        <x:v>Corte / Religação / Vistoria</x:v>
      </x:c>
      <x:c r="K120" t="str">
        <x:v>Em contratação</x:v>
      </x:c>
      <x:c r="L120" t="str">
        <x:v>Cobrança</x:v>
      </x:c>
      <x:c r="M120" t="str">
        <x:v>Não</x:v>
      </x:c>
      <x:c r="N120" t="str">
        <x:v>DADO FICTÍCIO – teste do painel; ID repetido em outra microrrota</x:v>
      </x:c>
      <x:c r="O120" s="15" t="n">
        <x:f>IF(A120="","",--(COUNTIF($A$2:A120,A120)=1))</x:f>
        <x:v>1</x:v>
      </x:c>
      <x:c r="P120" s="15" t="n">
        <x:f>IF(A120="","",--(COUNTIFS($A$2:A120,A120,$F$2:F120,F120)=1))</x:f>
        <x:v>1</x:v>
      </x:c>
    </x:row>
    <x:row r="121">
      <x:c r="A121" s="18" t="str">
        <x:v>CINT-08-02-02</x:v>
      </x:c>
      <x:c r="B121" t="str">
        <x:v>Equipe CINT-060</x:v>
      </x:c>
      <x:c r="C121" t="str">
        <x:v>André Almeida</x:v>
      </x:c>
      <x:c r="D121" t="str">
        <x:v>Base Serra Talhada</x:v>
      </x:c>
      <x:c r="E121" t="str">
        <x:v>Betânia</x:v>
      </x:c>
      <x:c r="F121" t="str">
        <x:v>Serra Talhada</x:v>
      </x:c>
      <x:c r="G121" t="str">
        <x:v>MR01</x:v>
      </x:c>
      <x:c r="H121" t="str">
        <x:v>Betânia</x:v>
      </x:c>
      <x:c r="I121" t="str">
        <x:v>Equipe Dupla</x:v>
      </x:c>
      <x:c r="J121" t="str">
        <x:v>Corte / Religação / Vistoria</x:v>
      </x:c>
      <x:c r="K121" t="str">
        <x:v>Em contratação</x:v>
      </x:c>
      <x:c r="L121" t="str">
        <x:v>Cobrança</x:v>
      </x:c>
      <x:c r="M121" t="str">
        <x:v>Não</x:v>
      </x:c>
      <x:c r="N121" t="str">
        <x:v>DADO FICTÍCIO – teste do painel; ID repetido em outra microrrota</x:v>
      </x:c>
      <x:c r="O121" s="15" t="n">
        <x:f>IF(A121="","",--(COUNTIF($A$2:A121,A121)=1))</x:f>
        <x:v>0</x:v>
      </x:c>
      <x:c r="P121" s="15" t="n">
        <x:f>IF(A121="","",--(COUNTIFS($A$2:A121,A121,$F$2:F121,F121)=1))</x:f>
        <x:v>0</x:v>
      </x:c>
    </x:row>
    <x:row r="122">
      <x:c r="A122" s="18" t="str">
        <x:v>CINT-08-03-01</x:v>
      </x:c>
      <x:c r="B122" t="str">
        <x:v>Equipe CINT-061</x:v>
      </x:c>
      <x:c r="C122" t="str">
        <x:v>Daniel Gomes</x:v>
      </x:c>
      <x:c r="D122" t="str">
        <x:v>Base Serra Talhada</x:v>
      </x:c>
      <x:c r="E122" t="str">
        <x:v>Betânia</x:v>
      </x:c>
      <x:c r="F122" t="str">
        <x:v>Serra Talhada</x:v>
      </x:c>
      <x:c r="G122" t="str">
        <x:v>MR01</x:v>
      </x:c>
      <x:c r="H122" t="str">
        <x:v>Betânia</x:v>
      </x:c>
      <x:c r="I122" t="str">
        <x:v>Equipe Dupla</x:v>
      </x:c>
      <x:c r="J122" t="str">
        <x:v>Corte / Religação / Vistoria</x:v>
      </x:c>
      <x:c r="K122" t="str">
        <x:v>Contratada</x:v>
      </x:c>
      <x:c r="L122" t="str">
        <x:v>Cobrança</x:v>
      </x:c>
      <x:c r="M122" t="str">
        <x:v>Sim</x:v>
      </x:c>
      <x:c r="N122" t="str">
        <x:v>DADO FICTÍCIO – teste do painel; ID repetido em outra microrrota</x:v>
      </x:c>
      <x:c r="O122" s="15" t="n">
        <x:f>IF(A122="","",--(COUNTIF($A$2:A122,A122)=1))</x:f>
        <x:v>1</x:v>
      </x:c>
      <x:c r="P122" s="15" t="n">
        <x:f>IF(A122="","",--(COUNTIFS($A$2:A122,A122,$F$2:F122,F122)=1))</x:f>
        <x:v>1</x:v>
      </x:c>
    </x:row>
    <x:row r="123">
      <x:c r="A123" s="18" t="str">
        <x:v>CINT-08-03-01</x:v>
      </x:c>
      <x:c r="B123" t="str">
        <x:v>Equipe CINT-061</x:v>
      </x:c>
      <x:c r="C123" t="str">
        <x:v>Daniel Gomes</x:v>
      </x:c>
      <x:c r="D123" t="str">
        <x:v>Base Serra Talhada</x:v>
      </x:c>
      <x:c r="E123" t="str">
        <x:v>Jatobá</x:v>
      </x:c>
      <x:c r="F123" t="str">
        <x:v>Serra Talhada</x:v>
      </x:c>
      <x:c r="G123" t="str">
        <x:v>MR02</x:v>
      </x:c>
      <x:c r="H123" t="str">
        <x:v>Jatobá</x:v>
      </x:c>
      <x:c r="I123" t="str">
        <x:v>Equipe Dupla</x:v>
      </x:c>
      <x:c r="J123" t="str">
        <x:v>Corte / Religação / Vistoria</x:v>
      </x:c>
      <x:c r="K123" t="str">
        <x:v>Contratada</x:v>
      </x:c>
      <x:c r="L123" t="str">
        <x:v>Cobrança</x:v>
      </x:c>
      <x:c r="M123" t="str">
        <x:v>Sim</x:v>
      </x:c>
      <x:c r="N123" t="str">
        <x:v>DADO FICTÍCIO – teste do painel; ID repetido em outra microrrota</x:v>
      </x:c>
      <x:c r="O123" s="15" t="n">
        <x:f>IF(A123="","",--(COUNTIF($A$2:A123,A123)=1))</x:f>
        <x:v>0</x:v>
      </x:c>
      <x:c r="P123" s="15" t="n">
        <x:f>IF(A123="","",--(COUNTIFS($A$2:A123,A123,$F$2:F123,F123)=1))</x:f>
        <x:v>0</x:v>
      </x:c>
    </x:row>
    <x:row r="124">
      <x:c r="A124" s="18" t="str">
        <x:v>CINT-08-03-02</x:v>
      </x:c>
      <x:c r="B124" t="str">
        <x:v>Equipe CINT-062</x:v>
      </x:c>
      <x:c r="C124" t="str">
        <x:v>Gabriel Pereira</x:v>
      </x:c>
      <x:c r="D124" t="str">
        <x:v>Base Serra Talhada</x:v>
      </x:c>
      <x:c r="E124" t="str">
        <x:v>Jatobá</x:v>
      </x:c>
      <x:c r="F124" t="str">
        <x:v>Serra Talhada</x:v>
      </x:c>
      <x:c r="G124" t="str">
        <x:v>MR02</x:v>
      </x:c>
      <x:c r="H124" t="str">
        <x:v>Jatobá</x:v>
      </x:c>
      <x:c r="I124" t="str">
        <x:v>Equipe Simples</x:v>
      </x:c>
      <x:c r="J124" t="str">
        <x:v>Corte / Religação / Vistoria</x:v>
      </x:c>
      <x:c r="K124" t="str">
        <x:v>Contratada</x:v>
      </x:c>
      <x:c r="L124" t="str">
        <x:v>Cobrança</x:v>
      </x:c>
      <x:c r="M124" t="str">
        <x:v>Sim</x:v>
      </x:c>
      <x:c r="N124" t="str">
        <x:v>DADO FICTÍCIO – teste do painel; ID repetido em outra microrrota</x:v>
      </x:c>
      <x:c r="O124" s="15" t="n">
        <x:f>IF(A124="","",--(COUNTIF($A$2:A124,A124)=1))</x:f>
        <x:v>1</x:v>
      </x:c>
      <x:c r="P124" s="15" t="n">
        <x:f>IF(A124="","",--(COUNTIFS($A$2:A124,A124,$F$2:F124,F124)=1))</x:f>
        <x:v>1</x:v>
      </x:c>
    </x:row>
    <x:row r="125">
      <x:c r="A125" s="18" t="str">
        <x:v>CINT-08-03-02</x:v>
      </x:c>
      <x:c r="B125" t="str">
        <x:v>Equipe CINT-062</x:v>
      </x:c>
      <x:c r="C125" t="str">
        <x:v>Gabriel Pereira</x:v>
      </x:c>
      <x:c r="D125" t="str">
        <x:v>Base Serra Talhada</x:v>
      </x:c>
      <x:c r="E125" t="str">
        <x:v>Belém do São Francisco</x:v>
      </x:c>
      <x:c r="F125" t="str">
        <x:v>Serra Talhada</x:v>
      </x:c>
      <x:c r="G125" t="str">
        <x:v>MR03</x:v>
      </x:c>
      <x:c r="H125" t="str">
        <x:v>Belém do São Francisco</x:v>
      </x:c>
      <x:c r="I125" t="str">
        <x:v>Equipe Simples</x:v>
      </x:c>
      <x:c r="J125" t="str">
        <x:v>Corte / Religação / Vistoria</x:v>
      </x:c>
      <x:c r="K125" t="str">
        <x:v>Contratada</x:v>
      </x:c>
      <x:c r="L125" t="str">
        <x:v>Cobrança</x:v>
      </x:c>
      <x:c r="M125" t="str">
        <x:v>Sim</x:v>
      </x:c>
      <x:c r="N125" t="str">
        <x:v>DADO FICTÍCIO – teste do painel; ID repetido em outra microrrota</x:v>
      </x:c>
      <x:c r="O125" s="15" t="n">
        <x:f>IF(A125="","",--(COUNTIF($A$2:A125,A125)=1))</x:f>
        <x:v>0</x:v>
      </x:c>
      <x:c r="P125" s="15" t="n">
        <x:f>IF(A125="","",--(COUNTIFS($A$2:A125,A125,$F$2:F125,F125)=1))</x:f>
        <x:v>0</x:v>
      </x:c>
    </x:row>
    <x:row r="126">
      <x:c r="A126" s="18" t="str">
        <x:v>CINT-08-04-01</x:v>
      </x:c>
      <x:c r="B126" t="str">
        <x:v>Equipe CINT-063</x:v>
      </x:c>
      <x:c r="C126" t="str">
        <x:v>João Teixeira</x:v>
      </x:c>
      <x:c r="D126" t="str">
        <x:v>Base Serra Talhada</x:v>
      </x:c>
      <x:c r="E126" t="str">
        <x:v>Belém do São Francisco</x:v>
      </x:c>
      <x:c r="F126" t="str">
        <x:v>Serra Talhada</x:v>
      </x:c>
      <x:c r="G126" t="str">
        <x:v>MR03</x:v>
      </x:c>
      <x:c r="H126" t="str">
        <x:v>Belém do São Francisco</x:v>
      </x:c>
      <x:c r="I126" t="str">
        <x:v>Equipe Simples</x:v>
      </x:c>
      <x:c r="J126" t="str">
        <x:v>Corte / Religação / Vistoria</x:v>
      </x:c>
      <x:c r="K126" t="str">
        <x:v>Mobilizada</x:v>
      </x:c>
      <x:c r="L126" t="str">
        <x:v>Cobrança</x:v>
      </x:c>
      <x:c r="M126" t="str">
        <x:v>Sim</x:v>
      </x:c>
      <x:c r="N126" t="str">
        <x:v>DADO FICTÍCIO – teste do painel; ID repetido em outra microrrota</x:v>
      </x:c>
      <x:c r="O126" s="15" t="n">
        <x:f>IF(A126="","",--(COUNTIF($A$2:A126,A126)=1))</x:f>
        <x:v>1</x:v>
      </x:c>
      <x:c r="P126" s="15" t="n">
        <x:f>IF(A126="","",--(COUNTIFS($A$2:A126,A126,$F$2:F126,F126)=1))</x:f>
        <x:v>1</x:v>
      </x:c>
    </x:row>
    <x:row r="127">
      <x:c r="A127" s="18" t="str">
        <x:v>CINT-08-04-01</x:v>
      </x:c>
      <x:c r="B127" t="str">
        <x:v>Equipe CINT-063</x:v>
      </x:c>
      <x:c r="C127" t="str">
        <x:v>João Teixeira</x:v>
      </x:c>
      <x:c r="D127" t="str">
        <x:v>Base Serra Talhada</x:v>
      </x:c>
      <x:c r="E127" t="str">
        <x:v>Betânia</x:v>
      </x:c>
      <x:c r="F127" t="str">
        <x:v>Serra Talhada</x:v>
      </x:c>
      <x:c r="G127" t="str">
        <x:v>MR01</x:v>
      </x:c>
      <x:c r="H127" t="str">
        <x:v>Betânia</x:v>
      </x:c>
      <x:c r="I127" t="str">
        <x:v>Equipe Simples</x:v>
      </x:c>
      <x:c r="J127" t="str">
        <x:v>Corte / Religação / Vistoria</x:v>
      </x:c>
      <x:c r="K127" t="str">
        <x:v>Mobilizada</x:v>
      </x:c>
      <x:c r="L127" t="str">
        <x:v>Cobrança</x:v>
      </x:c>
      <x:c r="M127" t="str">
        <x:v>Sim</x:v>
      </x:c>
      <x:c r="N127" t="str">
        <x:v>DADO FICTÍCIO – teste do painel; ID repetido em outra microrrota</x:v>
      </x:c>
      <x:c r="O127" s="15" t="n">
        <x:f>IF(A127="","",--(COUNTIF($A$2:A127,A127)=1))</x:f>
        <x:v>0</x:v>
      </x:c>
      <x:c r="P127" s="15" t="n">
        <x:f>IF(A127="","",--(COUNTIFS($A$2:A127,A127,$F$2:F127,F127)=1))</x:f>
        <x:v>0</x:v>
      </x:c>
    </x:row>
    <x:row r="128">
      <x:c r="A128" s="18" t="str">
        <x:v>CINT-08-04-02</x:v>
      </x:c>
      <x:c r="B128" t="str">
        <x:v>Equipe CINT-064</x:v>
      </x:c>
      <x:c r="C128" t="str">
        <x:v>Paulo Almeida</x:v>
      </x:c>
      <x:c r="D128" t="str">
        <x:v>Base Serra Talhada</x:v>
      </x:c>
      <x:c r="E128" t="str">
        <x:v>Betânia</x:v>
      </x:c>
      <x:c r="F128" t="str">
        <x:v>Serra Talhada</x:v>
      </x:c>
      <x:c r="G128" t="str">
        <x:v>MR01</x:v>
      </x:c>
      <x:c r="H128" t="str">
        <x:v>Betânia</x:v>
      </x:c>
      <x:c r="I128" t="str">
        <x:v>Equipe Dupla</x:v>
      </x:c>
      <x:c r="J128" t="str">
        <x:v>Corte / Religação / Vistoria</x:v>
      </x:c>
      <x:c r="K128" t="str">
        <x:v>Mobilizada</x:v>
      </x:c>
      <x:c r="L128" t="str">
        <x:v>Cobrança</x:v>
      </x:c>
      <x:c r="M128" t="str">
        <x:v>Sim</x:v>
      </x:c>
      <x:c r="N128" t="str">
        <x:v>DADO FICTÍCIO – teste do painel; ID repetido em outra microrrota</x:v>
      </x:c>
      <x:c r="O128" s="15" t="n">
        <x:f>IF(A128="","",--(COUNTIF($A$2:A128,A128)=1))</x:f>
        <x:v>1</x:v>
      </x:c>
      <x:c r="P128" s="15" t="n">
        <x:f>IF(A128="","",--(COUNTIFS($A$2:A128,A128,$F$2:F128,F128)=1))</x:f>
        <x:v>1</x:v>
      </x:c>
    </x:row>
    <x:row r="129">
      <x:c r="A129" s="18" t="str">
        <x:v>CINT-08-04-02</x:v>
      </x:c>
      <x:c r="B129" t="str">
        <x:v>Equipe CINT-064</x:v>
      </x:c>
      <x:c r="C129" t="str">
        <x:v>Paulo Almeida</x:v>
      </x:c>
      <x:c r="D129" t="str">
        <x:v>Base Serra Talhada</x:v>
      </x:c>
      <x:c r="E129" t="str">
        <x:v>Jatobá</x:v>
      </x:c>
      <x:c r="F129" t="str">
        <x:v>Serra Talhada</x:v>
      </x:c>
      <x:c r="G129" t="str">
        <x:v>MR02</x:v>
      </x:c>
      <x:c r="H129" t="str">
        <x:v>Jatobá</x:v>
      </x:c>
      <x:c r="I129" t="str">
        <x:v>Equipe Dupla</x:v>
      </x:c>
      <x:c r="J129" t="str">
        <x:v>Corte / Religação / Vistoria</x:v>
      </x:c>
      <x:c r="K129" t="str">
        <x:v>Mobilizada</x:v>
      </x:c>
      <x:c r="L129" t="str">
        <x:v>Cobrança</x:v>
      </x:c>
      <x:c r="M129" t="str">
        <x:v>Sim</x:v>
      </x:c>
      <x:c r="N129" t="str">
        <x:v>DADO FICTÍCIO – teste do painel; ID repetido em outra microrrota</x:v>
      </x:c>
      <x:c r="O129" s="15" t="n">
        <x:f>IF(A129="","",--(COUNTIF($A$2:A129,A129)=1))</x:f>
        <x:v>0</x:v>
      </x:c>
      <x:c r="P129" s="15" t="n">
        <x:f>IF(A129="","",--(COUNTIFS($A$2:A129,A129,$F$2:F129,F129)=1))</x:f>
        <x:v>0</x:v>
      </x:c>
    </x:row>
    <x:row r="130">
      <x:c r="A130" s="18"/>
      <x:c r="O130" s="15" t="str">
        <x:f>IF(A130="","",--(COUNTIF($A$2:A130,A130)=1))</x:f>
      </x:c>
      <x:c r="P130" s="15" t="str">
        <x:f>IF(A130="","",--(COUNTIFS($A$2:A130,A130,$F$2:F130,F130)=1))</x:f>
      </x:c>
    </x:row>
    <x:row r="131">
      <x:c r="A131" s="18"/>
      <x:c r="O131" s="15" t="str">
        <x:f>IF(A131="","",--(COUNTIF($A$2:A131,A131)=1))</x:f>
      </x:c>
      <x:c r="P131" s="15" t="str">
        <x:f>IF(A131="","",--(COUNTIFS($A$2:A131,A131,$F$2:F131,F131)=1))</x:f>
      </x:c>
    </x:row>
    <x:row r="132">
      <x:c r="A132" s="18"/>
      <x:c r="O132" s="15" t="str">
        <x:f>IF(A132="","",--(COUNTIF($A$2:A132,A132)=1))</x:f>
      </x:c>
      <x:c r="P132" s="15" t="str">
        <x:f>IF(A132="","",--(COUNTIFS($A$2:A132,A132,$F$2:F132,F132)=1))</x:f>
      </x:c>
    </x:row>
    <x:row r="133">
      <x:c r="A133" s="18"/>
      <x:c r="O133" s="15" t="str">
        <x:f>IF(A133="","",--(COUNTIF($A$2:A133,A133)=1))</x:f>
      </x:c>
      <x:c r="P133" s="15" t="str">
        <x:f>IF(A133="","",--(COUNTIFS($A$2:A133,A133,$F$2:F133,F133)=1))</x:f>
      </x:c>
    </x:row>
    <x:row r="134">
      <x:c r="A134" s="18"/>
      <x:c r="O134" s="15" t="str">
        <x:f>IF(A134="","",--(COUNTIF($A$2:A134,A134)=1))</x:f>
      </x:c>
      <x:c r="P134" s="15" t="str">
        <x:f>IF(A134="","",--(COUNTIFS($A$2:A134,A134,$F$2:F134,F134)=1))</x:f>
      </x:c>
    </x:row>
    <x:row r="135">
      <x:c r="A135" s="18"/>
      <x:c r="O135" s="15" t="str">
        <x:f>IF(A135="","",--(COUNTIF($A$2:A135,A135)=1))</x:f>
      </x:c>
      <x:c r="P135" s="15" t="str">
        <x:f>IF(A135="","",--(COUNTIFS($A$2:A135,A135,$F$2:F135,F135)=1))</x:f>
      </x:c>
    </x:row>
    <x:row r="136">
      <x:c r="A136" s="18"/>
      <x:c r="O136" s="15" t="str">
        <x:f>IF(A136="","",--(COUNTIF($A$2:A136,A136)=1))</x:f>
      </x:c>
      <x:c r="P136" s="15" t="str">
        <x:f>IF(A136="","",--(COUNTIFS($A$2:A136,A136,$F$2:F136,F136)=1))</x:f>
      </x:c>
    </x:row>
    <x:row r="137">
      <x:c r="A137" s="18"/>
      <x:c r="O137" s="15" t="str">
        <x:f>IF(A137="","",--(COUNTIF($A$2:A137,A137)=1))</x:f>
      </x:c>
      <x:c r="P137" s="15" t="str">
        <x:f>IF(A137="","",--(COUNTIFS($A$2:A137,A137,$F$2:F137,F137)=1))</x:f>
      </x:c>
    </x:row>
    <x:row r="138">
      <x:c r="A138" s="18"/>
      <x:c r="O138" s="15" t="str">
        <x:f>IF(A138="","",--(COUNTIF($A$2:A138,A138)=1))</x:f>
      </x:c>
      <x:c r="P138" s="15" t="str">
        <x:f>IF(A138="","",--(COUNTIFS($A$2:A138,A138,$F$2:F138,F138)=1))</x:f>
      </x:c>
    </x:row>
    <x:row r="139">
      <x:c r="A139" s="18"/>
      <x:c r="O139" s="15" t="str">
        <x:f>IF(A139="","",--(COUNTIF($A$2:A139,A139)=1))</x:f>
      </x:c>
      <x:c r="P139" s="15" t="str">
        <x:f>IF(A139="","",--(COUNTIFS($A$2:A139,A139,$F$2:F139,F139)=1))</x:f>
      </x:c>
    </x:row>
    <x:row r="140">
      <x:c r="A140" s="18"/>
      <x:c r="O140" s="15" t="str">
        <x:f>IF(A140="","",--(COUNTIF($A$2:A140,A140)=1))</x:f>
      </x:c>
      <x:c r="P140" s="15" t="str">
        <x:f>IF(A140="","",--(COUNTIFS($A$2:A140,A140,$F$2:F140,F140)=1))</x:f>
      </x:c>
    </x:row>
    <x:row r="141">
      <x:c r="A141" s="18"/>
      <x:c r="O141" s="15" t="str">
        <x:f>IF(A141="","",--(COUNTIF($A$2:A141,A141)=1))</x:f>
      </x:c>
      <x:c r="P141" s="15" t="str">
        <x:f>IF(A141="","",--(COUNTIFS($A$2:A141,A141,$F$2:F141,F141)=1))</x:f>
      </x:c>
    </x:row>
    <x:row r="142">
      <x:c r="A142" s="18"/>
      <x:c r="O142" s="15" t="str">
        <x:f>IF(A142="","",--(COUNTIF($A$2:A142,A142)=1))</x:f>
      </x:c>
      <x:c r="P142" s="15" t="str">
        <x:f>IF(A142="","",--(COUNTIFS($A$2:A142,A142,$F$2:F142,F142)=1))</x:f>
      </x:c>
    </x:row>
    <x:row r="143">
      <x:c r="A143" s="18"/>
      <x:c r="O143" s="15" t="str">
        <x:f>IF(A143="","",--(COUNTIF($A$2:A143,A143)=1))</x:f>
      </x:c>
      <x:c r="P143" s="15" t="str">
        <x:f>IF(A143="","",--(COUNTIFS($A$2:A143,A143,$F$2:F143,F143)=1))</x:f>
      </x:c>
    </x:row>
    <x:row r="144">
      <x:c r="A144" s="18"/>
      <x:c r="O144" s="15" t="str">
        <x:f>IF(A144="","",--(COUNTIF($A$2:A144,A144)=1))</x:f>
      </x:c>
      <x:c r="P144" s="15" t="str">
        <x:f>IF(A144="","",--(COUNTIFS($A$2:A144,A144,$F$2:F144,F144)=1))</x:f>
      </x:c>
    </x:row>
    <x:row r="145">
      <x:c r="A145" s="18"/>
      <x:c r="O145" s="15" t="str">
        <x:f>IF(A145="","",--(COUNTIF($A$2:A145,A145)=1))</x:f>
      </x:c>
      <x:c r="P145" s="15" t="str">
        <x:f>IF(A145="","",--(COUNTIFS($A$2:A145,A145,$F$2:F145,F145)=1))</x:f>
      </x:c>
    </x:row>
    <x:row r="146">
      <x:c r="A146" s="18"/>
      <x:c r="O146" s="15" t="str">
        <x:f>IF(A146="","",--(COUNTIF($A$2:A146,A146)=1))</x:f>
      </x:c>
      <x:c r="P146" s="15" t="str">
        <x:f>IF(A146="","",--(COUNTIFS($A$2:A146,A146,$F$2:F146,F146)=1))</x:f>
      </x:c>
    </x:row>
    <x:row r="147">
      <x:c r="A147" s="18"/>
      <x:c r="O147" s="15" t="str">
        <x:f>IF(A147="","",--(COUNTIF($A$2:A147,A147)=1))</x:f>
      </x:c>
      <x:c r="P147" s="15" t="str">
        <x:f>IF(A147="","",--(COUNTIFS($A$2:A147,A147,$F$2:F147,F147)=1))</x:f>
      </x:c>
    </x:row>
    <x:row r="148">
      <x:c r="A148" s="18"/>
      <x:c r="O148" s="15" t="str">
        <x:f>IF(A148="","",--(COUNTIF($A$2:A148,A148)=1))</x:f>
      </x:c>
      <x:c r="P148" s="15" t="str">
        <x:f>IF(A148="","",--(COUNTIFS($A$2:A148,A148,$F$2:F148,F148)=1))</x:f>
      </x:c>
    </x:row>
    <x:row r="149">
      <x:c r="A149" s="18"/>
      <x:c r="O149" s="15" t="str">
        <x:f>IF(A149="","",--(COUNTIF($A$2:A149,A149)=1))</x:f>
      </x:c>
      <x:c r="P149" s="15" t="str">
        <x:f>IF(A149="","",--(COUNTIFS($A$2:A149,A149,$F$2:F149,F149)=1))</x:f>
      </x:c>
    </x:row>
    <x:row r="150">
      <x:c r="A150" s="18"/>
      <x:c r="O150" s="15" t="str">
        <x:f>IF(A150="","",--(COUNTIF($A$2:A150,A150)=1))</x:f>
      </x:c>
      <x:c r="P150" s="15" t="str">
        <x:f>IF(A150="","",--(COUNTIFS($A$2:A150,A150,$F$2:F150,F150)=1))</x:f>
      </x:c>
    </x:row>
    <x:row r="151">
      <x:c r="A151" s="18"/>
      <x:c r="O151" s="15" t="str">
        <x:f>IF(A151="","",--(COUNTIF($A$2:A151,A151)=1))</x:f>
      </x:c>
      <x:c r="P151" s="15" t="str">
        <x:f>IF(A151="","",--(COUNTIFS($A$2:A151,A151,$F$2:F151,F151)=1))</x:f>
      </x:c>
    </x:row>
    <x:row r="152">
      <x:c r="A152" s="18"/>
      <x:c r="O152" s="15" t="str">
        <x:f>IF(A152="","",--(COUNTIF($A$2:A152,A152)=1))</x:f>
      </x:c>
      <x:c r="P152" s="15" t="str">
        <x:f>IF(A152="","",--(COUNTIFS($A$2:A152,A152,$F$2:F152,F152)=1))</x:f>
      </x:c>
    </x:row>
    <x:row r="153">
      <x:c r="A153" s="18"/>
      <x:c r="O153" s="15" t="str">
        <x:f>IF(A153="","",--(COUNTIF($A$2:A153,A153)=1))</x:f>
      </x:c>
      <x:c r="P153" s="15" t="str">
        <x:f>IF(A153="","",--(COUNTIFS($A$2:A153,A153,$F$2:F153,F153)=1))</x:f>
      </x:c>
    </x:row>
    <x:row r="154">
      <x:c r="A154" s="18"/>
      <x:c r="O154" s="15" t="str">
        <x:f>IF(A154="","",--(COUNTIF($A$2:A154,A154)=1))</x:f>
      </x:c>
      <x:c r="P154" s="15" t="str">
        <x:f>IF(A154="","",--(COUNTIFS($A$2:A154,A154,$F$2:F154,F154)=1))</x:f>
      </x:c>
    </x:row>
    <x:row r="155">
      <x:c r="A155" s="18"/>
      <x:c r="O155" s="15" t="str">
        <x:f>IF(A155="","",--(COUNTIF($A$2:A155,A155)=1))</x:f>
      </x:c>
      <x:c r="P155" s="15" t="str">
        <x:f>IF(A155="","",--(COUNTIFS($A$2:A155,A155,$F$2:F155,F155)=1))</x:f>
      </x:c>
    </x:row>
    <x:row r="156">
      <x:c r="A156" s="18"/>
      <x:c r="O156" s="15" t="str">
        <x:f>IF(A156="","",--(COUNTIF($A$2:A156,A156)=1))</x:f>
      </x:c>
      <x:c r="P156" s="15" t="str">
        <x:f>IF(A156="","",--(COUNTIFS($A$2:A156,A156,$F$2:F156,F156)=1))</x:f>
      </x:c>
    </x:row>
    <x:row r="157">
      <x:c r="A157" s="18"/>
      <x:c r="O157" s="15" t="str">
        <x:f>IF(A157="","",--(COUNTIF($A$2:A157,A157)=1))</x:f>
      </x:c>
      <x:c r="P157" s="15" t="str">
        <x:f>IF(A157="","",--(COUNTIFS($A$2:A157,A157,$F$2:F157,F157)=1))</x:f>
      </x:c>
    </x:row>
    <x:row r="158">
      <x:c r="A158" s="18"/>
      <x:c r="O158" s="15" t="str">
        <x:f>IF(A158="","",--(COUNTIF($A$2:A158,A158)=1))</x:f>
      </x:c>
      <x:c r="P158" s="15" t="str">
        <x:f>IF(A158="","",--(COUNTIFS($A$2:A158,A158,$F$2:F158,F158)=1))</x:f>
      </x:c>
    </x:row>
    <x:row r="159">
      <x:c r="A159" s="18"/>
      <x:c r="O159" s="15" t="str">
        <x:f>IF(A159="","",--(COUNTIF($A$2:A159,A159)=1))</x:f>
      </x:c>
      <x:c r="P159" s="15" t="str">
        <x:f>IF(A159="","",--(COUNTIFS($A$2:A159,A159,$F$2:F159,F159)=1))</x:f>
      </x:c>
    </x:row>
    <x:row r="160">
      <x:c r="A160" s="18"/>
      <x:c r="O160" s="15" t="str">
        <x:f>IF(A160="","",--(COUNTIF($A$2:A160,A160)=1))</x:f>
      </x:c>
      <x:c r="P160" s="15" t="str">
        <x:f>IF(A160="","",--(COUNTIFS($A$2:A160,A160,$F$2:F160,F160)=1))</x:f>
      </x:c>
    </x:row>
    <x:row r="161">
      <x:c r="A161" s="18"/>
      <x:c r="O161" s="15" t="str">
        <x:f>IF(A161="","",--(COUNTIF($A$2:A161,A161)=1))</x:f>
      </x:c>
      <x:c r="P161" s="15" t="str">
        <x:f>IF(A161="","",--(COUNTIFS($A$2:A161,A161,$F$2:F161,F161)=1))</x:f>
      </x:c>
    </x:row>
    <x:row r="162">
      <x:c r="A162" s="18"/>
      <x:c r="O162" s="15" t="str">
        <x:f>IF(A162="","",--(COUNTIF($A$2:A162,A162)=1))</x:f>
      </x:c>
      <x:c r="P162" s="15" t="str">
        <x:f>IF(A162="","",--(COUNTIFS($A$2:A162,A162,$F$2:F162,F162)=1))</x:f>
      </x:c>
    </x:row>
    <x:row r="163">
      <x:c r="A163" s="18"/>
      <x:c r="O163" s="15" t="str">
        <x:f>IF(A163="","",--(COUNTIF($A$2:A163,A163)=1))</x:f>
      </x:c>
      <x:c r="P163" s="15" t="str">
        <x:f>IF(A163="","",--(COUNTIFS($A$2:A163,A163,$F$2:F163,F163)=1))</x:f>
      </x:c>
    </x:row>
    <x:row r="164">
      <x:c r="A164" s="18"/>
      <x:c r="O164" s="15" t="str">
        <x:f>IF(A164="","",--(COUNTIF($A$2:A164,A164)=1))</x:f>
      </x:c>
      <x:c r="P164" s="15" t="str">
        <x:f>IF(A164="","",--(COUNTIFS($A$2:A164,A164,$F$2:F164,F164)=1))</x:f>
      </x:c>
    </x:row>
    <x:row r="165">
      <x:c r="A165" s="18"/>
      <x:c r="O165" s="15" t="str">
        <x:f>IF(A165="","",--(COUNTIF($A$2:A165,A165)=1))</x:f>
      </x:c>
      <x:c r="P165" s="15" t="str">
        <x:f>IF(A165="","",--(COUNTIFS($A$2:A165,A165,$F$2:F165,F165)=1))</x:f>
      </x:c>
    </x:row>
    <x:row r="166">
      <x:c r="A166" s="18"/>
      <x:c r="O166" s="15" t="str">
        <x:f>IF(A166="","",--(COUNTIF($A$2:A166,A166)=1))</x:f>
      </x:c>
      <x:c r="P166" s="15" t="str">
        <x:f>IF(A166="","",--(COUNTIFS($A$2:A166,A166,$F$2:F166,F166)=1))</x:f>
      </x:c>
    </x:row>
    <x:row r="167">
      <x:c r="A167" s="18"/>
      <x:c r="O167" s="15" t="str">
        <x:f>IF(A167="","",--(COUNTIF($A$2:A167,A167)=1))</x:f>
      </x:c>
      <x:c r="P167" s="15" t="str">
        <x:f>IF(A167="","",--(COUNTIFS($A$2:A167,A167,$F$2:F167,F167)=1))</x:f>
      </x:c>
    </x:row>
    <x:row r="168">
      <x:c r="A168" s="18"/>
      <x:c r="O168" s="15" t="str">
        <x:f>IF(A168="","",--(COUNTIF($A$2:A168,A168)=1))</x:f>
      </x:c>
      <x:c r="P168" s="15" t="str">
        <x:f>IF(A168="","",--(COUNTIFS($A$2:A168,A168,$F$2:F168,F168)=1))</x:f>
      </x:c>
    </x:row>
    <x:row r="169">
      <x:c r="A169" s="18"/>
      <x:c r="O169" s="15" t="str">
        <x:f>IF(A169="","",--(COUNTIF($A$2:A169,A169)=1))</x:f>
      </x:c>
      <x:c r="P169" s="15" t="str">
        <x:f>IF(A169="","",--(COUNTIFS($A$2:A169,A169,$F$2:F169,F169)=1))</x:f>
      </x:c>
    </x:row>
    <x:row r="170">
      <x:c r="A170" s="18"/>
      <x:c r="O170" s="15" t="str">
        <x:f>IF(A170="","",--(COUNTIF($A$2:A170,A170)=1))</x:f>
      </x:c>
      <x:c r="P170" s="15" t="str">
        <x:f>IF(A170="","",--(COUNTIFS($A$2:A170,A170,$F$2:F170,F170)=1))</x:f>
      </x:c>
    </x:row>
    <x:row r="171">
      <x:c r="A171" s="18"/>
      <x:c r="O171" s="15" t="str">
        <x:f>IF(A171="","",--(COUNTIF($A$2:A171,A171)=1))</x:f>
      </x:c>
      <x:c r="P171" s="15" t="str">
        <x:f>IF(A171="","",--(COUNTIFS($A$2:A171,A171,$F$2:F171,F171)=1))</x:f>
      </x:c>
    </x:row>
    <x:row r="172">
      <x:c r="A172" s="18"/>
      <x:c r="O172" s="15" t="str">
        <x:f>IF(A172="","",--(COUNTIF($A$2:A172,A172)=1))</x:f>
      </x:c>
      <x:c r="P172" s="15" t="str">
        <x:f>IF(A172="","",--(COUNTIFS($A$2:A172,A172,$F$2:F172,F172)=1))</x:f>
      </x:c>
    </x:row>
    <x:row r="173">
      <x:c r="A173" s="18"/>
      <x:c r="O173" s="15" t="str">
        <x:f>IF(A173="","",--(COUNTIF($A$2:A173,A173)=1))</x:f>
      </x:c>
      <x:c r="P173" s="15" t="str">
        <x:f>IF(A173="","",--(COUNTIFS($A$2:A173,A173,$F$2:F173,F173)=1))</x:f>
      </x:c>
    </x:row>
    <x:row r="174">
      <x:c r="A174" s="18"/>
      <x:c r="O174" s="15" t="str">
        <x:f>IF(A174="","",--(COUNTIF($A$2:A174,A174)=1))</x:f>
      </x:c>
      <x:c r="P174" s="15" t="str">
        <x:f>IF(A174="","",--(COUNTIFS($A$2:A174,A174,$F$2:F174,F174)=1))</x:f>
      </x:c>
    </x:row>
    <x:row r="175">
      <x:c r="A175" s="18"/>
      <x:c r="O175" s="15" t="str">
        <x:f>IF(A175="","",--(COUNTIF($A$2:A175,A175)=1))</x:f>
      </x:c>
      <x:c r="P175" s="15" t="str">
        <x:f>IF(A175="","",--(COUNTIFS($A$2:A175,A175,$F$2:F175,F175)=1))</x:f>
      </x:c>
    </x:row>
    <x:row r="176">
      <x:c r="A176" s="18"/>
      <x:c r="O176" s="15" t="str">
        <x:f>IF(A176="","",--(COUNTIF($A$2:A176,A176)=1))</x:f>
      </x:c>
      <x:c r="P176" s="15" t="str">
        <x:f>IF(A176="","",--(COUNTIFS($A$2:A176,A176,$F$2:F176,F176)=1))</x:f>
      </x:c>
    </x:row>
    <x:row r="177">
      <x:c r="A177" s="18"/>
      <x:c r="O177" s="15" t="str">
        <x:f>IF(A177="","",--(COUNTIF($A$2:A177,A177)=1))</x:f>
      </x:c>
      <x:c r="P177" s="15" t="str">
        <x:f>IF(A177="","",--(COUNTIFS($A$2:A177,A177,$F$2:F177,F177)=1))</x:f>
      </x:c>
    </x:row>
    <x:row r="178">
      <x:c r="A178" s="18"/>
      <x:c r="O178" s="15" t="str">
        <x:f>IF(A178="","",--(COUNTIF($A$2:A178,A178)=1))</x:f>
      </x:c>
      <x:c r="P178" s="15" t="str">
        <x:f>IF(A178="","",--(COUNTIFS($A$2:A178,A178,$F$2:F178,F178)=1))</x:f>
      </x:c>
    </x:row>
    <x:row r="179">
      <x:c r="A179" s="18"/>
      <x:c r="O179" s="15" t="str">
        <x:f>IF(A179="","",--(COUNTIF($A$2:A179,A179)=1))</x:f>
      </x:c>
      <x:c r="P179" s="15" t="str">
        <x:f>IF(A179="","",--(COUNTIFS($A$2:A179,A179,$F$2:F179,F179)=1))</x:f>
      </x:c>
    </x:row>
    <x:row r="180">
      <x:c r="A180" s="18"/>
      <x:c r="O180" s="15" t="str">
        <x:f>IF(A180="","",--(COUNTIF($A$2:A180,A180)=1))</x:f>
      </x:c>
      <x:c r="P180" s="15" t="str">
        <x:f>IF(A180="","",--(COUNTIFS($A$2:A180,A180,$F$2:F180,F180)=1))</x:f>
      </x:c>
    </x:row>
    <x:row r="181">
      <x:c r="A181" s="18"/>
      <x:c r="O181" s="15" t="str">
        <x:f>IF(A181="","",--(COUNTIF($A$2:A181,A181)=1))</x:f>
      </x:c>
      <x:c r="P181" s="15" t="str">
        <x:f>IF(A181="","",--(COUNTIFS($A$2:A181,A181,$F$2:F181,F181)=1))</x:f>
      </x:c>
    </x:row>
    <x:row r="182">
      <x:c r="A182" s="18"/>
      <x:c r="O182" s="15" t="str">
        <x:f>IF(A182="","",--(COUNTIF($A$2:A182,A182)=1))</x:f>
      </x:c>
      <x:c r="P182" s="15" t="str">
        <x:f>IF(A182="","",--(COUNTIFS($A$2:A182,A182,$F$2:F182,F182)=1))</x:f>
      </x:c>
    </x:row>
    <x:row r="183">
      <x:c r="A183" s="18"/>
      <x:c r="O183" s="15" t="str">
        <x:f>IF(A183="","",--(COUNTIF($A$2:A183,A183)=1))</x:f>
      </x:c>
      <x:c r="P183" s="15" t="str">
        <x:f>IF(A183="","",--(COUNTIFS($A$2:A183,A183,$F$2:F183,F183)=1))</x:f>
      </x:c>
    </x:row>
    <x:row r="184">
      <x:c r="A184" s="18"/>
      <x:c r="O184" s="15" t="str">
        <x:f>IF(A184="","",--(COUNTIF($A$2:A184,A184)=1))</x:f>
      </x:c>
      <x:c r="P184" s="15" t="str">
        <x:f>IF(A184="","",--(COUNTIFS($A$2:A184,A184,$F$2:F184,F184)=1))</x:f>
      </x:c>
    </x:row>
    <x:row r="185">
      <x:c r="A185" s="18"/>
      <x:c r="O185" s="15" t="str">
        <x:f>IF(A185="","",--(COUNTIF($A$2:A185,A185)=1))</x:f>
      </x:c>
      <x:c r="P185" s="15" t="str">
        <x:f>IF(A185="","",--(COUNTIFS($A$2:A185,A185,$F$2:F185,F185)=1))</x:f>
      </x:c>
    </x:row>
    <x:row r="186">
      <x:c r="A186" s="18"/>
      <x:c r="O186" s="15" t="str">
        <x:f>IF(A186="","",--(COUNTIF($A$2:A186,A186)=1))</x:f>
      </x:c>
      <x:c r="P186" s="15" t="str">
        <x:f>IF(A186="","",--(COUNTIFS($A$2:A186,A186,$F$2:F186,F186)=1))</x:f>
      </x:c>
    </x:row>
    <x:row r="187">
      <x:c r="A187" s="18"/>
      <x:c r="O187" s="15" t="str">
        <x:f>IF(A187="","",--(COUNTIF($A$2:A187,A187)=1))</x:f>
      </x:c>
      <x:c r="P187" s="15" t="str">
        <x:f>IF(A187="","",--(COUNTIFS($A$2:A187,A187,$F$2:F187,F187)=1))</x:f>
      </x:c>
    </x:row>
    <x:row r="188">
      <x:c r="A188" s="18"/>
      <x:c r="O188" s="15" t="str">
        <x:f>IF(A188="","",--(COUNTIF($A$2:A188,A188)=1))</x:f>
      </x:c>
      <x:c r="P188" s="15" t="str">
        <x:f>IF(A188="","",--(COUNTIFS($A$2:A188,A188,$F$2:F188,F188)=1))</x:f>
      </x:c>
    </x:row>
    <x:row r="189">
      <x:c r="A189" s="18"/>
      <x:c r="O189" s="15" t="str">
        <x:f>IF(A189="","",--(COUNTIF($A$2:A189,A189)=1))</x:f>
      </x:c>
      <x:c r="P189" s="15" t="str">
        <x:f>IF(A189="","",--(COUNTIFS($A$2:A189,A189,$F$2:F189,F189)=1))</x:f>
      </x:c>
    </x:row>
    <x:row r="190">
      <x:c r="A190" s="18"/>
      <x:c r="O190" s="15" t="str">
        <x:f>IF(A190="","",--(COUNTIF($A$2:A190,A190)=1))</x:f>
      </x:c>
      <x:c r="P190" s="15" t="str">
        <x:f>IF(A190="","",--(COUNTIFS($A$2:A190,A190,$F$2:F190,F190)=1))</x:f>
      </x:c>
    </x:row>
    <x:row r="191">
      <x:c r="A191" s="18"/>
      <x:c r="O191" s="15" t="str">
        <x:f>IF(A191="","",--(COUNTIF($A$2:A191,A191)=1))</x:f>
      </x:c>
      <x:c r="P191" s="15" t="str">
        <x:f>IF(A191="","",--(COUNTIFS($A$2:A191,A191,$F$2:F191,F191)=1))</x:f>
      </x:c>
    </x:row>
    <x:row r="192">
      <x:c r="A192" s="18"/>
      <x:c r="O192" s="15" t="str">
        <x:f>IF(A192="","",--(COUNTIF($A$2:A192,A192)=1))</x:f>
      </x:c>
      <x:c r="P192" s="15" t="str">
        <x:f>IF(A192="","",--(COUNTIFS($A$2:A192,A192,$F$2:F192,F192)=1))</x:f>
      </x:c>
    </x:row>
    <x:row r="193">
      <x:c r="A193" s="18"/>
      <x:c r="O193" s="15" t="str">
        <x:f>IF(A193="","",--(COUNTIF($A$2:A193,A193)=1))</x:f>
      </x:c>
      <x:c r="P193" s="15" t="str">
        <x:f>IF(A193="","",--(COUNTIFS($A$2:A193,A193,$F$2:F193,F193)=1))</x:f>
      </x:c>
    </x:row>
    <x:row r="194">
      <x:c r="A194" s="18"/>
      <x:c r="O194" s="15" t="str">
        <x:f>IF(A194="","",--(COUNTIF($A$2:A194,A194)=1))</x:f>
      </x:c>
      <x:c r="P194" s="15" t="str">
        <x:f>IF(A194="","",--(COUNTIFS($A$2:A194,A194,$F$2:F194,F194)=1))</x:f>
      </x:c>
    </x:row>
    <x:row r="195">
      <x:c r="A195" s="18"/>
      <x:c r="O195" s="15" t="str">
        <x:f>IF(A195="","",--(COUNTIF($A$2:A195,A195)=1))</x:f>
      </x:c>
      <x:c r="P195" s="15" t="str">
        <x:f>IF(A195="","",--(COUNTIFS($A$2:A195,A195,$F$2:F195,F195)=1))</x:f>
      </x:c>
    </x:row>
    <x:row r="196">
      <x:c r="A196" s="18"/>
      <x:c r="O196" s="15" t="str">
        <x:f>IF(A196="","",--(COUNTIF($A$2:A196,A196)=1))</x:f>
      </x:c>
      <x:c r="P196" s="15" t="str">
        <x:f>IF(A196="","",--(COUNTIFS($A$2:A196,A196,$F$2:F196,F196)=1))</x:f>
      </x:c>
    </x:row>
    <x:row r="197">
      <x:c r="A197" s="18"/>
      <x:c r="O197" s="15" t="str">
        <x:f>IF(A197="","",--(COUNTIF($A$2:A197,A197)=1))</x:f>
      </x:c>
      <x:c r="P197" s="15" t="str">
        <x:f>IF(A197="","",--(COUNTIFS($A$2:A197,A197,$F$2:F197,F197)=1))</x:f>
      </x:c>
    </x:row>
    <x:row r="198">
      <x:c r="A198" s="18"/>
      <x:c r="O198" s="15" t="str">
        <x:f>IF(A198="","",--(COUNTIF($A$2:A198,A198)=1))</x:f>
      </x:c>
      <x:c r="P198" s="15" t="str">
        <x:f>IF(A198="","",--(COUNTIFS($A$2:A198,A198,$F$2:F198,F198)=1))</x:f>
      </x:c>
    </x:row>
    <x:row r="199">
      <x:c r="A199" s="18"/>
      <x:c r="O199" s="15" t="str">
        <x:f>IF(A199="","",--(COUNTIF($A$2:A199,A199)=1))</x:f>
      </x:c>
      <x:c r="P199" s="15" t="str">
        <x:f>IF(A199="","",--(COUNTIFS($A$2:A199,A199,$F$2:F199,F199)=1))</x:f>
      </x:c>
    </x:row>
    <x:row r="200">
      <x:c r="A200" s="18"/>
      <x:c r="O200" s="15" t="str">
        <x:f>IF(A200="","",--(COUNTIF($A$2:A200,A200)=1))</x:f>
      </x:c>
      <x:c r="P200" s="15" t="str">
        <x:f>IF(A200="","",--(COUNTIFS($A$2:A200,A200,$F$2:F200,F200)=1))</x:f>
      </x:c>
    </x:row>
    <x:row r="201">
      <x:c r="A201" s="18"/>
      <x:c r="O201" s="15" t="str">
        <x:f>IF(A201="","",--(COUNTIF($A$2:A201,A201)=1))</x:f>
      </x:c>
      <x:c r="P201" s="15" t="str">
        <x:f>IF(A201="","",--(COUNTIFS($A$2:A201,A201,$F$2:F201,F201)=1))</x:f>
      </x:c>
    </x:row>
    <x:row r="202">
      <x:c r="A202" s="18"/>
      <x:c r="O202" s="15" t="str">
        <x:f>IF(A202="","",--(COUNTIF($A$2:A202,A202)=1))</x:f>
      </x:c>
      <x:c r="P202" s="15" t="str">
        <x:f>IF(A202="","",--(COUNTIFS($A$2:A202,A202,$F$2:F202,F202)=1))</x:f>
      </x:c>
    </x:row>
    <x:row r="203">
      <x:c r="A203" s="18"/>
      <x:c r="O203" s="15" t="str">
        <x:f>IF(A203="","",--(COUNTIF($A$2:A203,A203)=1))</x:f>
      </x:c>
      <x:c r="P203" s="15" t="str">
        <x:f>IF(A203="","",--(COUNTIFS($A$2:A203,A203,$F$2:F203,F203)=1))</x:f>
      </x:c>
    </x:row>
    <x:row r="204">
      <x:c r="A204" s="18"/>
      <x:c r="O204" s="15" t="str">
        <x:f>IF(A204="","",--(COUNTIF($A$2:A204,A204)=1))</x:f>
      </x:c>
      <x:c r="P204" s="15" t="str">
        <x:f>IF(A204="","",--(COUNTIFS($A$2:A204,A204,$F$2:F204,F204)=1))</x:f>
      </x:c>
    </x:row>
    <x:row r="205">
      <x:c r="A205" s="18"/>
      <x:c r="O205" s="15" t="str">
        <x:f>IF(A205="","",--(COUNTIF($A$2:A205,A205)=1))</x:f>
      </x:c>
      <x:c r="P205" s="15" t="str">
        <x:f>IF(A205="","",--(COUNTIFS($A$2:A205,A205,$F$2:F205,F205)=1))</x:f>
      </x:c>
    </x:row>
    <x:row r="206">
      <x:c r="A206" s="18"/>
      <x:c r="O206" s="15" t="str">
        <x:f>IF(A206="","",--(COUNTIF($A$2:A206,A206)=1))</x:f>
      </x:c>
      <x:c r="P206" s="15" t="str">
        <x:f>IF(A206="","",--(COUNTIFS($A$2:A206,A206,$F$2:F206,F206)=1))</x:f>
      </x:c>
    </x:row>
    <x:row r="207">
      <x:c r="A207" s="18"/>
      <x:c r="O207" s="15" t="str">
        <x:f>IF(A207="","",--(COUNTIF($A$2:A207,A207)=1))</x:f>
      </x:c>
      <x:c r="P207" s="15" t="str">
        <x:f>IF(A207="","",--(COUNTIFS($A$2:A207,A207,$F$2:F207,F207)=1))</x:f>
      </x:c>
    </x:row>
    <x:row r="208">
      <x:c r="A208" s="18"/>
      <x:c r="O208" s="15" t="str">
        <x:f>IF(A208="","",--(COUNTIF($A$2:A208,A208)=1))</x:f>
      </x:c>
      <x:c r="P208" s="15" t="str">
        <x:f>IF(A208="","",--(COUNTIFS($A$2:A208,A208,$F$2:F208,F208)=1))</x:f>
      </x:c>
    </x:row>
    <x:row r="209">
      <x:c r="A209" s="18"/>
      <x:c r="O209" s="15" t="str">
        <x:f>IF(A209="","",--(COUNTIF($A$2:A209,A209)=1))</x:f>
      </x:c>
      <x:c r="P209" s="15" t="str">
        <x:f>IF(A209="","",--(COUNTIFS($A$2:A209,A209,$F$2:F209,F209)=1))</x:f>
      </x:c>
    </x:row>
    <x:row r="210">
      <x:c r="A210" s="18"/>
      <x:c r="O210" s="15" t="str">
        <x:f>IF(A210="","",--(COUNTIF($A$2:A210,A210)=1))</x:f>
      </x:c>
      <x:c r="P210" s="15" t="str">
        <x:f>IF(A210="","",--(COUNTIFS($A$2:A210,A210,$F$2:F210,F210)=1))</x:f>
      </x:c>
    </x:row>
    <x:row r="211">
      <x:c r="A211" s="18"/>
      <x:c r="O211" s="15" t="str">
        <x:f>IF(A211="","",--(COUNTIF($A$2:A211,A211)=1))</x:f>
      </x:c>
      <x:c r="P211" s="15" t="str">
        <x:f>IF(A211="","",--(COUNTIFS($A$2:A211,A211,$F$2:F211,F211)=1))</x:f>
      </x:c>
    </x:row>
    <x:row r="212">
      <x:c r="A212" s="18"/>
      <x:c r="O212" s="15" t="str">
        <x:f>IF(A212="","",--(COUNTIF($A$2:A212,A212)=1))</x:f>
      </x:c>
      <x:c r="P212" s="15" t="str">
        <x:f>IF(A212="","",--(COUNTIFS($A$2:A212,A212,$F$2:F212,F212)=1))</x:f>
      </x:c>
    </x:row>
    <x:row r="213">
      <x:c r="A213" s="18"/>
      <x:c r="O213" s="15" t="str">
        <x:f>IF(A213="","",--(COUNTIF($A$2:A213,A213)=1))</x:f>
      </x:c>
      <x:c r="P213" s="15" t="str">
        <x:f>IF(A213="","",--(COUNTIFS($A$2:A213,A213,$F$2:F213,F213)=1))</x:f>
      </x:c>
    </x:row>
    <x:row r="214">
      <x:c r="A214" s="18"/>
      <x:c r="O214" s="15" t="str">
        <x:f>IF(A214="","",--(COUNTIF($A$2:A214,A214)=1))</x:f>
      </x:c>
      <x:c r="P214" s="15" t="str">
        <x:f>IF(A214="","",--(COUNTIFS($A$2:A214,A214,$F$2:F214,F214)=1))</x:f>
      </x:c>
    </x:row>
    <x:row r="215">
      <x:c r="A215" s="18"/>
      <x:c r="O215" s="15" t="str">
        <x:f>IF(A215="","",--(COUNTIF($A$2:A215,A215)=1))</x:f>
      </x:c>
      <x:c r="P215" s="15" t="str">
        <x:f>IF(A215="","",--(COUNTIFS($A$2:A215,A215,$F$2:F215,F215)=1))</x:f>
      </x:c>
    </x:row>
    <x:row r="216">
      <x:c r="A216" s="18"/>
      <x:c r="O216" s="15" t="str">
        <x:f>IF(A216="","",--(COUNTIF($A$2:A216,A216)=1))</x:f>
      </x:c>
      <x:c r="P216" s="15" t="str">
        <x:f>IF(A216="","",--(COUNTIFS($A$2:A216,A216,$F$2:F216,F216)=1))</x:f>
      </x:c>
    </x:row>
    <x:row r="217">
      <x:c r="A217" s="18"/>
      <x:c r="O217" s="15" t="str">
        <x:f>IF(A217="","",--(COUNTIF($A$2:A217,A217)=1))</x:f>
      </x:c>
      <x:c r="P217" s="15" t="str">
        <x:f>IF(A217="","",--(COUNTIFS($A$2:A217,A217,$F$2:F217,F217)=1))</x:f>
      </x:c>
    </x:row>
    <x:row r="218">
      <x:c r="A218" s="18"/>
      <x:c r="O218" s="15" t="str">
        <x:f>IF(A218="","",--(COUNTIF($A$2:A218,A218)=1))</x:f>
      </x:c>
      <x:c r="P218" s="15" t="str">
        <x:f>IF(A218="","",--(COUNTIFS($A$2:A218,A218,$F$2:F218,F218)=1))</x:f>
      </x:c>
    </x:row>
    <x:row r="219">
      <x:c r="A219" s="18"/>
      <x:c r="O219" s="15" t="str">
        <x:f>IF(A219="","",--(COUNTIF($A$2:A219,A219)=1))</x:f>
      </x:c>
      <x:c r="P219" s="15" t="str">
        <x:f>IF(A219="","",--(COUNTIFS($A$2:A219,A219,$F$2:F219,F219)=1))</x:f>
      </x:c>
    </x:row>
    <x:row r="220">
      <x:c r="A220" s="18"/>
      <x:c r="O220" s="15" t="str">
        <x:f>IF(A220="","",--(COUNTIF($A$2:A220,A220)=1))</x:f>
      </x:c>
      <x:c r="P220" s="15" t="str">
        <x:f>IF(A220="","",--(COUNTIFS($A$2:A220,A220,$F$2:F220,F220)=1))</x:f>
      </x:c>
    </x:row>
    <x:row r="221">
      <x:c r="A221" s="18"/>
      <x:c r="O221" s="15" t="str">
        <x:f>IF(A221="","",--(COUNTIF($A$2:A221,A221)=1))</x:f>
      </x:c>
      <x:c r="P221" s="15" t="str">
        <x:f>IF(A221="","",--(COUNTIFS($A$2:A221,A221,$F$2:F221,F221)=1))</x:f>
      </x:c>
    </x:row>
    <x:row r="222">
      <x:c r="A222" s="18"/>
      <x:c r="O222" s="15" t="str">
        <x:f>IF(A222="","",--(COUNTIF($A$2:A222,A222)=1))</x:f>
      </x:c>
      <x:c r="P222" s="15" t="str">
        <x:f>IF(A222="","",--(COUNTIFS($A$2:A222,A222,$F$2:F222,F222)=1))</x:f>
      </x:c>
    </x:row>
    <x:row r="223">
      <x:c r="A223" s="18"/>
      <x:c r="O223" s="15" t="str">
        <x:f>IF(A223="","",--(COUNTIF($A$2:A223,A223)=1))</x:f>
      </x:c>
      <x:c r="P223" s="15" t="str">
        <x:f>IF(A223="","",--(COUNTIFS($A$2:A223,A223,$F$2:F223,F223)=1))</x:f>
      </x:c>
    </x:row>
    <x:row r="224">
      <x:c r="A224" s="18"/>
      <x:c r="O224" s="15" t="str">
        <x:f>IF(A224="","",--(COUNTIF($A$2:A224,A224)=1))</x:f>
      </x:c>
      <x:c r="P224" s="15" t="str">
        <x:f>IF(A224="","",--(COUNTIFS($A$2:A224,A224,$F$2:F224,F224)=1))</x:f>
      </x:c>
    </x:row>
    <x:row r="225">
      <x:c r="A225" s="18"/>
      <x:c r="O225" s="15" t="str">
        <x:f>IF(A225="","",--(COUNTIF($A$2:A225,A225)=1))</x:f>
      </x:c>
      <x:c r="P225" s="15" t="str">
        <x:f>IF(A225="","",--(COUNTIFS($A$2:A225,A225,$F$2:F225,F225)=1))</x:f>
      </x:c>
    </x:row>
    <x:row r="226">
      <x:c r="A226" s="18"/>
      <x:c r="O226" s="15" t="str">
        <x:f>IF(A226="","",--(COUNTIF($A$2:A226,A226)=1))</x:f>
      </x:c>
      <x:c r="P226" s="15" t="str">
        <x:f>IF(A226="","",--(COUNTIFS($A$2:A226,A226,$F$2:F226,F226)=1))</x:f>
      </x:c>
    </x:row>
    <x:row r="227">
      <x:c r="A227" s="18"/>
      <x:c r="O227" s="15" t="str">
        <x:f>IF(A227="","",--(COUNTIF($A$2:A227,A227)=1))</x:f>
      </x:c>
      <x:c r="P227" s="15" t="str">
        <x:f>IF(A227="","",--(COUNTIFS($A$2:A227,A227,$F$2:F227,F227)=1))</x:f>
      </x:c>
    </x:row>
    <x:row r="228">
      <x:c r="A228" s="18"/>
      <x:c r="O228" s="15" t="str">
        <x:f>IF(A228="","",--(COUNTIF($A$2:A228,A228)=1))</x:f>
      </x:c>
      <x:c r="P228" s="15" t="str">
        <x:f>IF(A228="","",--(COUNTIFS($A$2:A228,A228,$F$2:F228,F228)=1))</x:f>
      </x:c>
    </x:row>
    <x:row r="229">
      <x:c r="A229" s="18"/>
      <x:c r="O229" s="15" t="str">
        <x:f>IF(A229="","",--(COUNTIF($A$2:A229,A229)=1))</x:f>
      </x:c>
      <x:c r="P229" s="15" t="str">
        <x:f>IF(A229="","",--(COUNTIFS($A$2:A229,A229,$F$2:F229,F229)=1))</x:f>
      </x:c>
    </x:row>
    <x:row r="230">
      <x:c r="A230" s="18"/>
      <x:c r="O230" s="15" t="str">
        <x:f>IF(A230="","",--(COUNTIF($A$2:A230,A230)=1))</x:f>
      </x:c>
      <x:c r="P230" s="15" t="str">
        <x:f>IF(A230="","",--(COUNTIFS($A$2:A230,A230,$F$2:F230,F230)=1))</x:f>
      </x:c>
    </x:row>
    <x:row r="231">
      <x:c r="A231" s="18"/>
      <x:c r="O231" s="15" t="str">
        <x:f>IF(A231="","",--(COUNTIF($A$2:A231,A231)=1))</x:f>
      </x:c>
      <x:c r="P231" s="15" t="str">
        <x:f>IF(A231="","",--(COUNTIFS($A$2:A231,A231,$F$2:F231,F231)=1))</x:f>
      </x:c>
    </x:row>
    <x:row r="232">
      <x:c r="A232" s="18"/>
      <x:c r="O232" s="15" t="str">
        <x:f>IF(A232="","",--(COUNTIF($A$2:A232,A232)=1))</x:f>
      </x:c>
      <x:c r="P232" s="15" t="str">
        <x:f>IF(A232="","",--(COUNTIFS($A$2:A232,A232,$F$2:F232,F232)=1))</x:f>
      </x:c>
    </x:row>
    <x:row r="233">
      <x:c r="A233" s="18"/>
      <x:c r="O233" s="15" t="str">
        <x:f>IF(A233="","",--(COUNTIF($A$2:A233,A233)=1))</x:f>
      </x:c>
      <x:c r="P233" s="15" t="str">
        <x:f>IF(A233="","",--(COUNTIFS($A$2:A233,A233,$F$2:F233,F233)=1))</x:f>
      </x:c>
    </x:row>
    <x:row r="234">
      <x:c r="A234" s="18"/>
      <x:c r="O234" s="15" t="str">
        <x:f>IF(A234="","",--(COUNTIF($A$2:A234,A234)=1))</x:f>
      </x:c>
      <x:c r="P234" s="15" t="str">
        <x:f>IF(A234="","",--(COUNTIFS($A$2:A234,A234,$F$2:F234,F234)=1))</x:f>
      </x:c>
    </x:row>
    <x:row r="235">
      <x:c r="A235" s="18"/>
      <x:c r="O235" s="15" t="str">
        <x:f>IF(A235="","",--(COUNTIF($A$2:A235,A235)=1))</x:f>
      </x:c>
      <x:c r="P235" s="15" t="str">
        <x:f>IF(A235="","",--(COUNTIFS($A$2:A235,A235,$F$2:F235,F235)=1))</x:f>
      </x:c>
    </x:row>
    <x:row r="236">
      <x:c r="A236" s="18"/>
      <x:c r="O236" s="15" t="str">
        <x:f>IF(A236="","",--(COUNTIF($A$2:A236,A236)=1))</x:f>
      </x:c>
      <x:c r="P236" s="15" t="str">
        <x:f>IF(A236="","",--(COUNTIFS($A$2:A236,A236,$F$2:F236,F236)=1))</x:f>
      </x:c>
    </x:row>
    <x:row r="237">
      <x:c r="A237" s="18"/>
      <x:c r="O237" s="15" t="str">
        <x:f>IF(A237="","",--(COUNTIF($A$2:A237,A237)=1))</x:f>
      </x:c>
      <x:c r="P237" s="15" t="str">
        <x:f>IF(A237="","",--(COUNTIFS($A$2:A237,A237,$F$2:F237,F237)=1))</x:f>
      </x:c>
    </x:row>
    <x:row r="238">
      <x:c r="A238" s="18"/>
      <x:c r="O238" s="15" t="str">
        <x:f>IF(A238="","",--(COUNTIF($A$2:A238,A238)=1))</x:f>
      </x:c>
      <x:c r="P238" s="15" t="str">
        <x:f>IF(A238="","",--(COUNTIFS($A$2:A238,A238,$F$2:F238,F238)=1))</x:f>
      </x:c>
    </x:row>
    <x:row r="239">
      <x:c r="A239" s="18"/>
      <x:c r="O239" s="15" t="str">
        <x:f>IF(A239="","",--(COUNTIF($A$2:A239,A239)=1))</x:f>
      </x:c>
      <x:c r="P239" s="15" t="str">
        <x:f>IF(A239="","",--(COUNTIFS($A$2:A239,A239,$F$2:F239,F239)=1))</x:f>
      </x:c>
    </x:row>
    <x:row r="240">
      <x:c r="A240" s="18"/>
      <x:c r="O240" s="15" t="str">
        <x:f>IF(A240="","",--(COUNTIF($A$2:A240,A240)=1))</x:f>
      </x:c>
      <x:c r="P240" s="15" t="str">
        <x:f>IF(A240="","",--(COUNTIFS($A$2:A240,A240,$F$2:F240,F240)=1))</x:f>
      </x:c>
    </x:row>
    <x:row r="241">
      <x:c r="A241" s="18"/>
      <x:c r="O241" s="15" t="str">
        <x:f>IF(A241="","",--(COUNTIF($A$2:A241,A241)=1))</x:f>
      </x:c>
      <x:c r="P241" s="15" t="str">
        <x:f>IF(A241="","",--(COUNTIFS($A$2:A241,A241,$F$2:F241,F241)=1))</x:f>
      </x:c>
    </x:row>
    <x:row r="242">
      <x:c r="A242" s="18"/>
      <x:c r="O242" s="15" t="str">
        <x:f>IF(A242="","",--(COUNTIF($A$2:A242,A242)=1))</x:f>
      </x:c>
      <x:c r="P242" s="15" t="str">
        <x:f>IF(A242="","",--(COUNTIFS($A$2:A242,A242,$F$2:F242,F242)=1))</x:f>
      </x:c>
    </x:row>
    <x:row r="243">
      <x:c r="A243" s="18"/>
      <x:c r="O243" s="15" t="str">
        <x:f>IF(A243="","",--(COUNTIF($A$2:A243,A243)=1))</x:f>
      </x:c>
      <x:c r="P243" s="15" t="str">
        <x:f>IF(A243="","",--(COUNTIFS($A$2:A243,A243,$F$2:F243,F243)=1))</x:f>
      </x:c>
    </x:row>
    <x:row r="244">
      <x:c r="A244" s="18"/>
      <x:c r="O244" s="15" t="str">
        <x:f>IF(A244="","",--(COUNTIF($A$2:A244,A244)=1))</x:f>
      </x:c>
      <x:c r="P244" s="15" t="str">
        <x:f>IF(A244="","",--(COUNTIFS($A$2:A244,A244,$F$2:F244,F244)=1))</x:f>
      </x:c>
    </x:row>
    <x:row r="245">
      <x:c r="A245" s="18"/>
      <x:c r="O245" s="15" t="str">
        <x:f>IF(A245="","",--(COUNTIF($A$2:A245,A245)=1))</x:f>
      </x:c>
      <x:c r="P245" s="15" t="str">
        <x:f>IF(A245="","",--(COUNTIFS($A$2:A245,A245,$F$2:F245,F245)=1))</x:f>
      </x:c>
    </x:row>
    <x:row r="246">
      <x:c r="A246" s="18"/>
      <x:c r="O246" s="15" t="str">
        <x:f>IF(A246="","",--(COUNTIF($A$2:A246,A246)=1))</x:f>
      </x:c>
      <x:c r="P246" s="15" t="str">
        <x:f>IF(A246="","",--(COUNTIFS($A$2:A246,A246,$F$2:F246,F246)=1))</x:f>
      </x:c>
    </x:row>
    <x:row r="247">
      <x:c r="A247" s="18"/>
      <x:c r="O247" s="15" t="str">
        <x:f>IF(A247="","",--(COUNTIF($A$2:A247,A247)=1))</x:f>
      </x:c>
      <x:c r="P247" s="15" t="str">
        <x:f>IF(A247="","",--(COUNTIFS($A$2:A247,A247,$F$2:F247,F247)=1))</x:f>
      </x:c>
    </x:row>
    <x:row r="248">
      <x:c r="A248" s="18"/>
      <x:c r="O248" s="15" t="str">
        <x:f>IF(A248="","",--(COUNTIF($A$2:A248,A248)=1))</x:f>
      </x:c>
      <x:c r="P248" s="15" t="str">
        <x:f>IF(A248="","",--(COUNTIFS($A$2:A248,A248,$F$2:F248,F248)=1))</x:f>
      </x:c>
    </x:row>
    <x:row r="249">
      <x:c r="A249" s="18"/>
      <x:c r="O249" s="15" t="str">
        <x:f>IF(A249="","",--(COUNTIF($A$2:A249,A249)=1))</x:f>
      </x:c>
      <x:c r="P249" s="15" t="str">
        <x:f>IF(A249="","",--(COUNTIFS($A$2:A249,A249,$F$2:F249,F249)=1))</x:f>
      </x:c>
    </x:row>
    <x:row r="250">
      <x:c r="A250" s="18"/>
      <x:c r="O250" s="15" t="str">
        <x:f>IF(A250="","",--(COUNTIF($A$2:A250,A250)=1))</x:f>
      </x:c>
      <x:c r="P250" s="15" t="str">
        <x:f>IF(A250="","",--(COUNTIFS($A$2:A250,A250,$F$2:F250,F250)=1))</x:f>
      </x:c>
    </x:row>
    <x:row r="251">
      <x:c r="A251" s="18"/>
      <x:c r="O251" s="15" t="str">
        <x:f>IF(A251="","",--(COUNTIF($A$2:A251,A251)=1))</x:f>
      </x:c>
      <x:c r="P251" s="15" t="str">
        <x:f>IF(A251="","",--(COUNTIFS($A$2:A251,A251,$F$2:F251,F251)=1))</x:f>
      </x:c>
    </x:row>
    <x:row r="252">
      <x:c r="A252" s="18"/>
      <x:c r="O252" s="15" t="str">
        <x:f>IF(A252="","",--(COUNTIF($A$2:A252,A252)=1))</x:f>
      </x:c>
      <x:c r="P252" s="15" t="str">
        <x:f>IF(A252="","",--(COUNTIFS($A$2:A252,A252,$F$2:F252,F252)=1))</x:f>
      </x:c>
    </x:row>
    <x:row r="253">
      <x:c r="A253" s="18"/>
      <x:c r="O253" s="15" t="str">
        <x:f>IF(A253="","",--(COUNTIF($A$2:A253,A253)=1))</x:f>
      </x:c>
      <x:c r="P253" s="15" t="str">
        <x:f>IF(A253="","",--(COUNTIFS($A$2:A253,A253,$F$2:F253,F253)=1))</x:f>
      </x:c>
    </x:row>
    <x:row r="254">
      <x:c r="A254" s="18"/>
      <x:c r="O254" s="15" t="str">
        <x:f>IF(A254="","",--(COUNTIF($A$2:A254,A254)=1))</x:f>
      </x:c>
      <x:c r="P254" s="15" t="str">
        <x:f>IF(A254="","",--(COUNTIFS($A$2:A254,A254,$F$2:F254,F254)=1))</x:f>
      </x:c>
    </x:row>
    <x:row r="255">
      <x:c r="A255" s="18"/>
      <x:c r="O255" s="15" t="str">
        <x:f>IF(A255="","",--(COUNTIF($A$2:A255,A255)=1))</x:f>
      </x:c>
      <x:c r="P255" s="15" t="str">
        <x:f>IF(A255="","",--(COUNTIFS($A$2:A255,A255,$F$2:F255,F255)=1))</x:f>
      </x:c>
    </x:row>
    <x:row r="256">
      <x:c r="A256" s="18"/>
      <x:c r="O256" s="15" t="str">
        <x:f>IF(A256="","",--(COUNTIF($A$2:A256,A256)=1))</x:f>
      </x:c>
      <x:c r="P256" s="15" t="str">
        <x:f>IF(A256="","",--(COUNTIFS($A$2:A256,A256,$F$2:F256,F256)=1))</x:f>
      </x:c>
    </x:row>
    <x:row r="257">
      <x:c r="A257" s="18"/>
      <x:c r="O257" s="15" t="str">
        <x:f>IF(A257="","",--(COUNTIF($A$2:A257,A257)=1))</x:f>
      </x:c>
      <x:c r="P257" s="15" t="str">
        <x:f>IF(A257="","",--(COUNTIFS($A$2:A257,A257,$F$2:F257,F257)=1))</x:f>
      </x:c>
    </x:row>
    <x:row r="258">
      <x:c r="A258" s="18"/>
      <x:c r="O258" s="15" t="str">
        <x:f>IF(A258="","",--(COUNTIF($A$2:A258,A258)=1))</x:f>
      </x:c>
      <x:c r="P258" s="15" t="str">
        <x:f>IF(A258="","",--(COUNTIFS($A$2:A258,A258,$F$2:F258,F258)=1))</x:f>
      </x:c>
    </x:row>
    <x:row r="259">
      <x:c r="A259" s="18"/>
      <x:c r="O259" s="15" t="str">
        <x:f>IF(A259="","",--(COUNTIF($A$2:A259,A259)=1))</x:f>
      </x:c>
      <x:c r="P259" s="15" t="str">
        <x:f>IF(A259="","",--(COUNTIFS($A$2:A259,A259,$F$2:F259,F259)=1))</x:f>
      </x:c>
    </x:row>
    <x:row r="260">
      <x:c r="A260" s="18"/>
      <x:c r="O260" s="15" t="str">
        <x:f>IF(A260="","",--(COUNTIF($A$2:A260,A260)=1))</x:f>
      </x:c>
      <x:c r="P260" s="15" t="str">
        <x:f>IF(A260="","",--(COUNTIFS($A$2:A260,A260,$F$2:F260,F260)=1))</x:f>
      </x:c>
    </x:row>
    <x:row r="261">
      <x:c r="A261" s="18"/>
      <x:c r="O261" s="15" t="str">
        <x:f>IF(A261="","",--(COUNTIF($A$2:A261,A261)=1))</x:f>
      </x:c>
      <x:c r="P261" s="15" t="str">
        <x:f>IF(A261="","",--(COUNTIFS($A$2:A261,A261,$F$2:F261,F261)=1))</x:f>
      </x:c>
    </x:row>
    <x:row r="262">
      <x:c r="A262" s="18"/>
      <x:c r="O262" s="15" t="str">
        <x:f>IF(A262="","",--(COUNTIF($A$2:A262,A262)=1))</x:f>
      </x:c>
      <x:c r="P262" s="15" t="str">
        <x:f>IF(A262="","",--(COUNTIFS($A$2:A262,A262,$F$2:F262,F262)=1))</x:f>
      </x:c>
    </x:row>
    <x:row r="263">
      <x:c r="A263" s="18"/>
      <x:c r="O263" s="15" t="str">
        <x:f>IF(A263="","",--(COUNTIF($A$2:A263,A263)=1))</x:f>
      </x:c>
      <x:c r="P263" s="15" t="str">
        <x:f>IF(A263="","",--(COUNTIFS($A$2:A263,A263,$F$2:F263,F263)=1))</x:f>
      </x:c>
    </x:row>
    <x:row r="264">
      <x:c r="A264" s="18"/>
      <x:c r="O264" s="15" t="str">
        <x:f>IF(A264="","",--(COUNTIF($A$2:A264,A264)=1))</x:f>
      </x:c>
      <x:c r="P264" s="15" t="str">
        <x:f>IF(A264="","",--(COUNTIFS($A$2:A264,A264,$F$2:F264,F264)=1))</x:f>
      </x:c>
    </x:row>
    <x:row r="265">
      <x:c r="A265" s="18"/>
      <x:c r="O265" s="15" t="str">
        <x:f>IF(A265="","",--(COUNTIF($A$2:A265,A265)=1))</x:f>
      </x:c>
      <x:c r="P265" s="15" t="str">
        <x:f>IF(A265="","",--(COUNTIFS($A$2:A265,A265,$F$2:F265,F265)=1))</x:f>
      </x:c>
    </x:row>
    <x:row r="266">
      <x:c r="A266" s="18"/>
      <x:c r="O266" s="15" t="str">
        <x:f>IF(A266="","",--(COUNTIF($A$2:A266,A266)=1))</x:f>
      </x:c>
      <x:c r="P266" s="15" t="str">
        <x:f>IF(A266="","",--(COUNTIFS($A$2:A266,A266,$F$2:F266,F266)=1))</x:f>
      </x:c>
    </x:row>
    <x:row r="267">
      <x:c r="A267" s="18"/>
      <x:c r="O267" s="15" t="str">
        <x:f>IF(A267="","",--(COUNTIF($A$2:A267,A267)=1))</x:f>
      </x:c>
      <x:c r="P267" s="15" t="str">
        <x:f>IF(A267="","",--(COUNTIFS($A$2:A267,A267,$F$2:F267,F267)=1))</x:f>
      </x:c>
    </x:row>
    <x:row r="268">
      <x:c r="A268" s="18"/>
      <x:c r="O268" s="15" t="str">
        <x:f>IF(A268="","",--(COUNTIF($A$2:A268,A268)=1))</x:f>
      </x:c>
      <x:c r="P268" s="15" t="str">
        <x:f>IF(A268="","",--(COUNTIFS($A$2:A268,A268,$F$2:F268,F268)=1))</x:f>
      </x:c>
    </x:row>
    <x:row r="269">
      <x:c r="A269" s="18"/>
      <x:c r="O269" s="15" t="str">
        <x:f>IF(A269="","",--(COUNTIF($A$2:A269,A269)=1))</x:f>
      </x:c>
      <x:c r="P269" s="15" t="str">
        <x:f>IF(A269="","",--(COUNTIFS($A$2:A269,A269,$F$2:F269,F269)=1))</x:f>
      </x:c>
    </x:row>
    <x:row r="270">
      <x:c r="A270" s="18"/>
      <x:c r="O270" s="15" t="str">
        <x:f>IF(A270="","",--(COUNTIF($A$2:A270,A270)=1))</x:f>
      </x:c>
      <x:c r="P270" s="15" t="str">
        <x:f>IF(A270="","",--(COUNTIFS($A$2:A270,A270,$F$2:F270,F270)=1))</x:f>
      </x:c>
    </x:row>
    <x:row r="271">
      <x:c r="A271" s="18"/>
      <x:c r="O271" s="15" t="str">
        <x:f>IF(A271="","",--(COUNTIF($A$2:A271,A271)=1))</x:f>
      </x:c>
      <x:c r="P271" s="15" t="str">
        <x:f>IF(A271="","",--(COUNTIFS($A$2:A271,A271,$F$2:F271,F271)=1))</x:f>
      </x:c>
    </x:row>
    <x:row r="272">
      <x:c r="A272" s="18"/>
      <x:c r="O272" s="15" t="str">
        <x:f>IF(A272="","",--(COUNTIF($A$2:A272,A272)=1))</x:f>
      </x:c>
      <x:c r="P272" s="15" t="str">
        <x:f>IF(A272="","",--(COUNTIFS($A$2:A272,A272,$F$2:F272,F272)=1))</x:f>
      </x:c>
    </x:row>
    <x:row r="273">
      <x:c r="A273" s="18"/>
      <x:c r="O273" s="15" t="str">
        <x:f>IF(A273="","",--(COUNTIF($A$2:A273,A273)=1))</x:f>
      </x:c>
      <x:c r="P273" s="15" t="str">
        <x:f>IF(A273="","",--(COUNTIFS($A$2:A273,A273,$F$2:F273,F273)=1))</x:f>
      </x:c>
    </x:row>
    <x:row r="274">
      <x:c r="A274" s="18"/>
      <x:c r="O274" s="15" t="str">
        <x:f>IF(A274="","",--(COUNTIF($A$2:A274,A274)=1))</x:f>
      </x:c>
      <x:c r="P274" s="15" t="str">
        <x:f>IF(A274="","",--(COUNTIFS($A$2:A274,A274,$F$2:F274,F274)=1))</x:f>
      </x:c>
    </x:row>
    <x:row r="275">
      <x:c r="A275" s="18"/>
      <x:c r="O275" s="15" t="str">
        <x:f>IF(A275="","",--(COUNTIF($A$2:A275,A275)=1))</x:f>
      </x:c>
      <x:c r="P275" s="15" t="str">
        <x:f>IF(A275="","",--(COUNTIFS($A$2:A275,A275,$F$2:F275,F275)=1))</x:f>
      </x:c>
    </x:row>
    <x:row r="276">
      <x:c r="A276" s="18"/>
      <x:c r="O276" s="15" t="str">
        <x:f>IF(A276="","",--(COUNTIF($A$2:A276,A276)=1))</x:f>
      </x:c>
      <x:c r="P276" s="15" t="str">
        <x:f>IF(A276="","",--(COUNTIFS($A$2:A276,A276,$F$2:F276,F276)=1))</x:f>
      </x:c>
    </x:row>
    <x:row r="277">
      <x:c r="A277" s="18"/>
      <x:c r="O277" s="15" t="str">
        <x:f>IF(A277="","",--(COUNTIF($A$2:A277,A277)=1))</x:f>
      </x:c>
      <x:c r="P277" s="15" t="str">
        <x:f>IF(A277="","",--(COUNTIFS($A$2:A277,A277,$F$2:F277,F277)=1))</x:f>
      </x:c>
    </x:row>
    <x:row r="278">
      <x:c r="A278" s="18"/>
      <x:c r="O278" s="15" t="str">
        <x:f>IF(A278="","",--(COUNTIF($A$2:A278,A278)=1))</x:f>
      </x:c>
      <x:c r="P278" s="15" t="str">
        <x:f>IF(A278="","",--(COUNTIFS($A$2:A278,A278,$F$2:F278,F278)=1))</x:f>
      </x:c>
    </x:row>
    <x:row r="279">
      <x:c r="A279" s="18"/>
      <x:c r="O279" s="15" t="str">
        <x:f>IF(A279="","",--(COUNTIF($A$2:A279,A279)=1))</x:f>
      </x:c>
      <x:c r="P279" s="15" t="str">
        <x:f>IF(A279="","",--(COUNTIFS($A$2:A279,A279,$F$2:F279,F279)=1))</x:f>
      </x:c>
    </x:row>
    <x:row r="280">
      <x:c r="A280" s="18"/>
      <x:c r="O280" s="15" t="str">
        <x:f>IF(A280="","",--(COUNTIF($A$2:A280,A280)=1))</x:f>
      </x:c>
      <x:c r="P280" s="15" t="str">
        <x:f>IF(A280="","",--(COUNTIFS($A$2:A280,A280,$F$2:F280,F280)=1))</x:f>
      </x:c>
    </x:row>
    <x:row r="281">
      <x:c r="A281" s="18"/>
      <x:c r="O281" s="15" t="str">
        <x:f>IF(A281="","",--(COUNTIF($A$2:A281,A281)=1))</x:f>
      </x:c>
      <x:c r="P281" s="15" t="str">
        <x:f>IF(A281="","",--(COUNTIFS($A$2:A281,A281,$F$2:F281,F281)=1))</x:f>
      </x:c>
    </x:row>
    <x:row r="282">
      <x:c r="A282" s="18"/>
      <x:c r="O282" s="15" t="str">
        <x:f>IF(A282="","",--(COUNTIF($A$2:A282,A282)=1))</x:f>
      </x:c>
      <x:c r="P282" s="15" t="str">
        <x:f>IF(A282="","",--(COUNTIFS($A$2:A282,A282,$F$2:F282,F282)=1))</x:f>
      </x:c>
    </x:row>
    <x:row r="283">
      <x:c r="A283" s="18"/>
      <x:c r="O283" s="15" t="str">
        <x:f>IF(A283="","",--(COUNTIF($A$2:A283,A283)=1))</x:f>
      </x:c>
      <x:c r="P283" s="15" t="str">
        <x:f>IF(A283="","",--(COUNTIFS($A$2:A283,A283,$F$2:F283,F283)=1))</x:f>
      </x:c>
    </x:row>
    <x:row r="284">
      <x:c r="A284" s="18"/>
      <x:c r="O284" s="15" t="str">
        <x:f>IF(A284="","",--(COUNTIF($A$2:A284,A284)=1))</x:f>
      </x:c>
      <x:c r="P284" s="15" t="str">
        <x:f>IF(A284="","",--(COUNTIFS($A$2:A284,A284,$F$2:F284,F284)=1))</x:f>
      </x:c>
    </x:row>
    <x:row r="285">
      <x:c r="A285" s="18"/>
      <x:c r="O285" s="15" t="str">
        <x:f>IF(A285="","",--(COUNTIF($A$2:A285,A285)=1))</x:f>
      </x:c>
      <x:c r="P285" s="15" t="str">
        <x:f>IF(A285="","",--(COUNTIFS($A$2:A285,A285,$F$2:F285,F285)=1))</x:f>
      </x:c>
    </x:row>
    <x:row r="286">
      <x:c r="A286" s="18"/>
      <x:c r="O286" s="15" t="str">
        <x:f>IF(A286="","",--(COUNTIF($A$2:A286,A286)=1))</x:f>
      </x:c>
      <x:c r="P286" s="15" t="str">
        <x:f>IF(A286="","",--(COUNTIFS($A$2:A286,A286,$F$2:F286,F286)=1))</x:f>
      </x:c>
    </x:row>
    <x:row r="287">
      <x:c r="A287" s="18"/>
      <x:c r="O287" s="15" t="str">
        <x:f>IF(A287="","",--(COUNTIF($A$2:A287,A287)=1))</x:f>
      </x:c>
      <x:c r="P287" s="15" t="str">
        <x:f>IF(A287="","",--(COUNTIFS($A$2:A287,A287,$F$2:F287,F287)=1))</x:f>
      </x:c>
    </x:row>
    <x:row r="288">
      <x:c r="A288" s="18"/>
      <x:c r="O288" s="15" t="str">
        <x:f>IF(A288="","",--(COUNTIF($A$2:A288,A288)=1))</x:f>
      </x:c>
      <x:c r="P288" s="15" t="str">
        <x:f>IF(A288="","",--(COUNTIFS($A$2:A288,A288,$F$2:F288,F288)=1))</x:f>
      </x:c>
    </x:row>
    <x:row r="289">
      <x:c r="A289" s="18"/>
      <x:c r="O289" s="15" t="str">
        <x:f>IF(A289="","",--(COUNTIF($A$2:A289,A289)=1))</x:f>
      </x:c>
      <x:c r="P289" s="15" t="str">
        <x:f>IF(A289="","",--(COUNTIFS($A$2:A289,A289,$F$2:F289,F289)=1))</x:f>
      </x:c>
    </x:row>
    <x:row r="290">
      <x:c r="A290" s="18"/>
      <x:c r="O290" s="15" t="str">
        <x:f>IF(A290="","",--(COUNTIF($A$2:A290,A290)=1))</x:f>
      </x:c>
      <x:c r="P290" s="15" t="str">
        <x:f>IF(A290="","",--(COUNTIFS($A$2:A290,A290,$F$2:F290,F290)=1))</x:f>
      </x:c>
    </x:row>
    <x:row r="291">
      <x:c r="A291" s="18"/>
      <x:c r="O291" s="15" t="str">
        <x:f>IF(A291="","",--(COUNTIF($A$2:A291,A291)=1))</x:f>
      </x:c>
      <x:c r="P291" s="15" t="str">
        <x:f>IF(A291="","",--(COUNTIFS($A$2:A291,A291,$F$2:F291,F291)=1))</x:f>
      </x:c>
    </x:row>
    <x:row r="292">
      <x:c r="A292" s="18"/>
      <x:c r="O292" s="15" t="str">
        <x:f>IF(A292="","",--(COUNTIF($A$2:A292,A292)=1))</x:f>
      </x:c>
      <x:c r="P292" s="15" t="str">
        <x:f>IF(A292="","",--(COUNTIFS($A$2:A292,A292,$F$2:F292,F292)=1))</x:f>
      </x:c>
    </x:row>
    <x:row r="293">
      <x:c r="A293" s="18"/>
      <x:c r="O293" s="15" t="str">
        <x:f>IF(A293="","",--(COUNTIF($A$2:A293,A293)=1))</x:f>
      </x:c>
      <x:c r="P293" s="15" t="str">
        <x:f>IF(A293="","",--(COUNTIFS($A$2:A293,A293,$F$2:F293,F293)=1))</x:f>
      </x:c>
    </x:row>
    <x:row r="294">
      <x:c r="A294" s="18"/>
      <x:c r="O294" s="15" t="str">
        <x:f>IF(A294="","",--(COUNTIF($A$2:A294,A294)=1))</x:f>
      </x:c>
      <x:c r="P294" s="15" t="str">
        <x:f>IF(A294="","",--(COUNTIFS($A$2:A294,A294,$F$2:F294,F294)=1))</x:f>
      </x:c>
    </x:row>
    <x:row r="295">
      <x:c r="A295" s="18"/>
      <x:c r="O295" s="15" t="str">
        <x:f>IF(A295="","",--(COUNTIF($A$2:A295,A295)=1))</x:f>
      </x:c>
      <x:c r="P295" s="15" t="str">
        <x:f>IF(A295="","",--(COUNTIFS($A$2:A295,A295,$F$2:F295,F295)=1))</x:f>
      </x:c>
    </x:row>
    <x:row r="296">
      <x:c r="A296" s="18"/>
      <x:c r="O296" s="15" t="str">
        <x:f>IF(A296="","",--(COUNTIF($A$2:A296,A296)=1))</x:f>
      </x:c>
      <x:c r="P296" s="15" t="str">
        <x:f>IF(A296="","",--(COUNTIFS($A$2:A296,A296,$F$2:F296,F296)=1))</x:f>
      </x:c>
    </x:row>
    <x:row r="297">
      <x:c r="A297" s="18"/>
      <x:c r="O297" s="15" t="str">
        <x:f>IF(A297="","",--(COUNTIF($A$2:A297,A297)=1))</x:f>
      </x:c>
      <x:c r="P297" s="15" t="str">
        <x:f>IF(A297="","",--(COUNTIFS($A$2:A297,A297,$F$2:F297,F297)=1))</x:f>
      </x:c>
    </x:row>
    <x:row r="298">
      <x:c r="A298" s="18"/>
      <x:c r="O298" s="15" t="str">
        <x:f>IF(A298="","",--(COUNTIF($A$2:A298,A298)=1))</x:f>
      </x:c>
      <x:c r="P298" s="15" t="str">
        <x:f>IF(A298="","",--(COUNTIFS($A$2:A298,A298,$F$2:F298,F298)=1))</x:f>
      </x:c>
    </x:row>
    <x:row r="299">
      <x:c r="A299" s="18"/>
      <x:c r="O299" s="15" t="str">
        <x:f>IF(A299="","",--(COUNTIF($A$2:A299,A299)=1))</x:f>
      </x:c>
      <x:c r="P299" s="15" t="str">
        <x:f>IF(A299="","",--(COUNTIFS($A$2:A299,A299,$F$2:F299,F299)=1))</x:f>
      </x:c>
    </x:row>
    <x:row r="300">
      <x:c r="A300" s="18"/>
      <x:c r="O300" s="15" t="str">
        <x:f>IF(A300="","",--(COUNTIF($A$2:A300,A300)=1))</x:f>
      </x:c>
      <x:c r="P300" s="15" t="str">
        <x:f>IF(A300="","",--(COUNTIFS($A$2:A300,A300,$F$2:F300,F300)=1))</x:f>
      </x:c>
    </x:row>
    <x:row r="301">
      <x:c r="A301" s="18"/>
      <x:c r="O301" s="15" t="str">
        <x:f>IF(A301="","",--(COUNTIF($A$2:A301,A301)=1))</x:f>
      </x:c>
      <x:c r="P301" s="15" t="str">
        <x:f>IF(A301="","",--(COUNTIFS($A$2:A301,A301,$F$2:F301,F301)=1))</x:f>
      </x:c>
    </x:row>
    <x:row r="302">
      <x:c r="A302" s="18"/>
      <x:c r="O302" s="15" t="str">
        <x:f>IF(A302="","",--(COUNTIF($A$2:A302,A302)=1))</x:f>
      </x:c>
      <x:c r="P302" s="15" t="str">
        <x:f>IF(A302="","",--(COUNTIFS($A$2:A302,A302,$F$2:F302,F302)=1))</x:f>
      </x:c>
    </x:row>
    <x:row r="303">
      <x:c r="A303" s="18"/>
      <x:c r="O303" s="15" t="str">
        <x:f>IF(A303="","",--(COUNTIF($A$2:A303,A303)=1))</x:f>
      </x:c>
      <x:c r="P303" s="15" t="str">
        <x:f>IF(A303="","",--(COUNTIFS($A$2:A303,A303,$F$2:F303,F303)=1))</x:f>
      </x:c>
    </x:row>
    <x:row r="304">
      <x:c r="A304" s="18"/>
      <x:c r="O304" s="15" t="str">
        <x:f>IF(A304="","",--(COUNTIF($A$2:A304,A304)=1))</x:f>
      </x:c>
      <x:c r="P304" s="15" t="str">
        <x:f>IF(A304="","",--(COUNTIFS($A$2:A304,A304,$F$2:F304,F304)=1))</x:f>
      </x:c>
    </x:row>
    <x:row r="305">
      <x:c r="A305" s="18"/>
      <x:c r="O305" s="15" t="str">
        <x:f>IF(A305="","",--(COUNTIF($A$2:A305,A305)=1))</x:f>
      </x:c>
      <x:c r="P305" s="15" t="str">
        <x:f>IF(A305="","",--(COUNTIFS($A$2:A305,A305,$F$2:F305,F305)=1))</x:f>
      </x:c>
    </x:row>
    <x:row r="306">
      <x:c r="A306" s="18"/>
      <x:c r="O306" s="15" t="str">
        <x:f>IF(A306="","",--(COUNTIF($A$2:A306,A306)=1))</x:f>
      </x:c>
      <x:c r="P306" s="15" t="str">
        <x:f>IF(A306="","",--(COUNTIFS($A$2:A306,A306,$F$2:F306,F306)=1))</x:f>
      </x:c>
    </x:row>
    <x:row r="307">
      <x:c r="A307" s="18"/>
      <x:c r="O307" s="15" t="str">
        <x:f>IF(A307="","",--(COUNTIF($A$2:A307,A307)=1))</x:f>
      </x:c>
      <x:c r="P307" s="15" t="str">
        <x:f>IF(A307="","",--(COUNTIFS($A$2:A307,A307,$F$2:F307,F307)=1))</x:f>
      </x:c>
    </x:row>
    <x:row r="308">
      <x:c r="A308" s="18"/>
      <x:c r="O308" s="15" t="str">
        <x:f>IF(A308="","",--(COUNTIF($A$2:A308,A308)=1))</x:f>
      </x:c>
      <x:c r="P308" s="15" t="str">
        <x:f>IF(A308="","",--(COUNTIFS($A$2:A308,A308,$F$2:F308,F308)=1))</x:f>
      </x:c>
    </x:row>
    <x:row r="309">
      <x:c r="A309" s="18"/>
      <x:c r="O309" s="15" t="str">
        <x:f>IF(A309="","",--(COUNTIF($A$2:A309,A309)=1))</x:f>
      </x:c>
      <x:c r="P309" s="15" t="str">
        <x:f>IF(A309="","",--(COUNTIFS($A$2:A309,A309,$F$2:F309,F309)=1))</x:f>
      </x:c>
    </x:row>
    <x:row r="310">
      <x:c r="A310" s="18"/>
      <x:c r="O310" s="15" t="str">
        <x:f>IF(A310="","",--(COUNTIF($A$2:A310,A310)=1))</x:f>
      </x:c>
      <x:c r="P310" s="15" t="str">
        <x:f>IF(A310="","",--(COUNTIFS($A$2:A310,A310,$F$2:F310,F310)=1))</x:f>
      </x:c>
    </x:row>
    <x:row r="311">
      <x:c r="A311" s="18"/>
      <x:c r="O311" s="15" t="str">
        <x:f>IF(A311="","",--(COUNTIF($A$2:A311,A311)=1))</x:f>
      </x:c>
      <x:c r="P311" s="15" t="str">
        <x:f>IF(A311="","",--(COUNTIFS($A$2:A311,A311,$F$2:F311,F311)=1))</x:f>
      </x:c>
    </x:row>
    <x:row r="312">
      <x:c r="A312" s="18"/>
      <x:c r="O312" s="15" t="str">
        <x:f>IF(A312="","",--(COUNTIF($A$2:A312,A312)=1))</x:f>
      </x:c>
      <x:c r="P312" s="15" t="str">
        <x:f>IF(A312="","",--(COUNTIFS($A$2:A312,A312,$F$2:F312,F312)=1))</x:f>
      </x:c>
    </x:row>
    <x:row r="313">
      <x:c r="A313" s="18"/>
      <x:c r="O313" s="15" t="str">
        <x:f>IF(A313="","",--(COUNTIF($A$2:A313,A313)=1))</x:f>
      </x:c>
      <x:c r="P313" s="15" t="str">
        <x:f>IF(A313="","",--(COUNTIFS($A$2:A313,A313,$F$2:F313,F313)=1))</x:f>
      </x:c>
    </x:row>
    <x:row r="314">
      <x:c r="A314" s="18"/>
      <x:c r="O314" s="15" t="str">
        <x:f>IF(A314="","",--(COUNTIF($A$2:A314,A314)=1))</x:f>
      </x:c>
      <x:c r="P314" s="15" t="str">
        <x:f>IF(A314="","",--(COUNTIFS($A$2:A314,A314,$F$2:F314,F314)=1))</x:f>
      </x:c>
    </x:row>
    <x:row r="315">
      <x:c r="A315" s="18"/>
      <x:c r="O315" s="15" t="str">
        <x:f>IF(A315="","",--(COUNTIF($A$2:A315,A315)=1))</x:f>
      </x:c>
      <x:c r="P315" s="15" t="str">
        <x:f>IF(A315="","",--(COUNTIFS($A$2:A315,A315,$F$2:F315,F315)=1))</x:f>
      </x:c>
    </x:row>
    <x:row r="316">
      <x:c r="A316" s="18"/>
      <x:c r="O316" s="15" t="str">
        <x:f>IF(A316="","",--(COUNTIF($A$2:A316,A316)=1))</x:f>
      </x:c>
      <x:c r="P316" s="15" t="str">
        <x:f>IF(A316="","",--(COUNTIFS($A$2:A316,A316,$F$2:F316,F316)=1))</x:f>
      </x:c>
    </x:row>
    <x:row r="317">
      <x:c r="A317" s="18"/>
      <x:c r="O317" s="15" t="str">
        <x:f>IF(A317="","",--(COUNTIF($A$2:A317,A317)=1))</x:f>
      </x:c>
      <x:c r="P317" s="15" t="str">
        <x:f>IF(A317="","",--(COUNTIFS($A$2:A317,A317,$F$2:F317,F317)=1))</x:f>
      </x:c>
    </x:row>
    <x:row r="318">
      <x:c r="A318" s="18"/>
      <x:c r="O318" s="15" t="str">
        <x:f>IF(A318="","",--(COUNTIF($A$2:A318,A318)=1))</x:f>
      </x:c>
      <x:c r="P318" s="15" t="str">
        <x:f>IF(A318="","",--(COUNTIFS($A$2:A318,A318,$F$2:F318,F318)=1))</x:f>
      </x:c>
    </x:row>
    <x:row r="319">
      <x:c r="A319" s="18"/>
      <x:c r="O319" s="15" t="str">
        <x:f>IF(A319="","",--(COUNTIF($A$2:A319,A319)=1))</x:f>
      </x:c>
      <x:c r="P319" s="15" t="str">
        <x:f>IF(A319="","",--(COUNTIFS($A$2:A319,A319,$F$2:F319,F319)=1))</x:f>
      </x:c>
    </x:row>
    <x:row r="320">
      <x:c r="A320" s="18"/>
      <x:c r="O320" s="15" t="str">
        <x:f>IF(A320="","",--(COUNTIF($A$2:A320,A320)=1))</x:f>
      </x:c>
      <x:c r="P320" s="15" t="str">
        <x:f>IF(A320="","",--(COUNTIFS($A$2:A320,A320,$F$2:F320,F320)=1))</x:f>
      </x:c>
    </x:row>
    <x:row r="321">
      <x:c r="A321" s="18"/>
      <x:c r="O321" s="15" t="str">
        <x:f>IF(A321="","",--(COUNTIF($A$2:A321,A321)=1))</x:f>
      </x:c>
      <x:c r="P321" s="15" t="str">
        <x:f>IF(A321="","",--(COUNTIFS($A$2:A321,A321,$F$2:F321,F321)=1))</x:f>
      </x:c>
    </x:row>
    <x:row r="322">
      <x:c r="A322" s="18"/>
      <x:c r="O322" s="15" t="str">
        <x:f>IF(A322="","",--(COUNTIF($A$2:A322,A322)=1))</x:f>
      </x:c>
      <x:c r="P322" s="15" t="str">
        <x:f>IF(A322="","",--(COUNTIFS($A$2:A322,A322,$F$2:F322,F322)=1))</x:f>
      </x:c>
    </x:row>
    <x:row r="323">
      <x:c r="A323" s="18"/>
      <x:c r="O323" s="15" t="str">
        <x:f>IF(A323="","",--(COUNTIF($A$2:A323,A323)=1))</x:f>
      </x:c>
      <x:c r="P323" s="15" t="str">
        <x:f>IF(A323="","",--(COUNTIFS($A$2:A323,A323,$F$2:F323,F323)=1))</x:f>
      </x:c>
    </x:row>
    <x:row r="324">
      <x:c r="A324" s="18"/>
      <x:c r="O324" s="15" t="str">
        <x:f>IF(A324="","",--(COUNTIF($A$2:A324,A324)=1))</x:f>
      </x:c>
      <x:c r="P324" s="15" t="str">
        <x:f>IF(A324="","",--(COUNTIFS($A$2:A324,A324,$F$2:F324,F324)=1))</x:f>
      </x:c>
    </x:row>
    <x:row r="325">
      <x:c r="A325" s="18"/>
      <x:c r="O325" s="15" t="str">
        <x:f>IF(A325="","",--(COUNTIF($A$2:A325,A325)=1))</x:f>
      </x:c>
      <x:c r="P325" s="15" t="str">
        <x:f>IF(A325="","",--(COUNTIFS($A$2:A325,A325,$F$2:F325,F325)=1))</x:f>
      </x:c>
    </x:row>
    <x:row r="326">
      <x:c r="A326" s="18"/>
      <x:c r="O326" s="15" t="str">
        <x:f>IF(A326="","",--(COUNTIF($A$2:A326,A326)=1))</x:f>
      </x:c>
      <x:c r="P326" s="15" t="str">
        <x:f>IF(A326="","",--(COUNTIFS($A$2:A326,A326,$F$2:F326,F326)=1))</x:f>
      </x:c>
    </x:row>
    <x:row r="327">
      <x:c r="A327" s="18"/>
      <x:c r="O327" s="15" t="str">
        <x:f>IF(A327="","",--(COUNTIF($A$2:A327,A327)=1))</x:f>
      </x:c>
      <x:c r="P327" s="15" t="str">
        <x:f>IF(A327="","",--(COUNTIFS($A$2:A327,A327,$F$2:F327,F327)=1))</x:f>
      </x:c>
    </x:row>
    <x:row r="328">
      <x:c r="A328" s="18"/>
      <x:c r="O328" s="15" t="str">
        <x:f>IF(A328="","",--(COUNTIF($A$2:A328,A328)=1))</x:f>
      </x:c>
      <x:c r="P328" s="15" t="str">
        <x:f>IF(A328="","",--(COUNTIFS($A$2:A328,A328,$F$2:F328,F328)=1))</x:f>
      </x:c>
    </x:row>
    <x:row r="329">
      <x:c r="A329" s="18"/>
      <x:c r="O329" s="15" t="str">
        <x:f>IF(A329="","",--(COUNTIF($A$2:A329,A329)=1))</x:f>
      </x:c>
      <x:c r="P329" s="15" t="str">
        <x:f>IF(A329="","",--(COUNTIFS($A$2:A329,A329,$F$2:F329,F329)=1))</x:f>
      </x:c>
    </x:row>
    <x:row r="330">
      <x:c r="A330" s="18"/>
      <x:c r="O330" s="15" t="str">
        <x:f>IF(A330="","",--(COUNTIF($A$2:A330,A330)=1))</x:f>
      </x:c>
      <x:c r="P330" s="15" t="str">
        <x:f>IF(A330="","",--(COUNTIFS($A$2:A330,A330,$F$2:F330,F330)=1))</x:f>
      </x:c>
    </x:row>
    <x:row r="331">
      <x:c r="A331" s="18"/>
      <x:c r="O331" s="15" t="str">
        <x:f>IF(A331="","",--(COUNTIF($A$2:A331,A331)=1))</x:f>
      </x:c>
      <x:c r="P331" s="15" t="str">
        <x:f>IF(A331="","",--(COUNTIFS($A$2:A331,A331,$F$2:F331,F331)=1))</x:f>
      </x:c>
    </x:row>
    <x:row r="332">
      <x:c r="A332" s="18"/>
      <x:c r="O332" s="15" t="str">
        <x:f>IF(A332="","",--(COUNTIF($A$2:A332,A332)=1))</x:f>
      </x:c>
      <x:c r="P332" s="15" t="str">
        <x:f>IF(A332="","",--(COUNTIFS($A$2:A332,A332,$F$2:F332,F332)=1))</x:f>
      </x:c>
    </x:row>
    <x:row r="333">
      <x:c r="A333" s="18"/>
      <x:c r="O333" s="15" t="str">
        <x:f>IF(A333="","",--(COUNTIF($A$2:A333,A333)=1))</x:f>
      </x:c>
      <x:c r="P333" s="15" t="str">
        <x:f>IF(A333="","",--(COUNTIFS($A$2:A333,A333,$F$2:F333,F333)=1))</x:f>
      </x:c>
    </x:row>
    <x:row r="334">
      <x:c r="A334" s="18"/>
      <x:c r="O334" s="15" t="str">
        <x:f>IF(A334="","",--(COUNTIF($A$2:A334,A334)=1))</x:f>
      </x:c>
      <x:c r="P334" s="15" t="str">
        <x:f>IF(A334="","",--(COUNTIFS($A$2:A334,A334,$F$2:F334,F334)=1))</x:f>
      </x:c>
    </x:row>
    <x:row r="335">
      <x:c r="A335" s="18"/>
      <x:c r="O335" s="15" t="str">
        <x:f>IF(A335="","",--(COUNTIF($A$2:A335,A335)=1))</x:f>
      </x:c>
      <x:c r="P335" s="15" t="str">
        <x:f>IF(A335="","",--(COUNTIFS($A$2:A335,A335,$F$2:F335,F335)=1))</x:f>
      </x:c>
    </x:row>
    <x:row r="336">
      <x:c r="A336" s="18"/>
      <x:c r="O336" s="15" t="str">
        <x:f>IF(A336="","",--(COUNTIF($A$2:A336,A336)=1))</x:f>
      </x:c>
      <x:c r="P336" s="15" t="str">
        <x:f>IF(A336="","",--(COUNTIFS($A$2:A336,A336,$F$2:F336,F336)=1))</x:f>
      </x:c>
    </x:row>
    <x:row r="337">
      <x:c r="A337" s="18"/>
      <x:c r="O337" s="15" t="str">
        <x:f>IF(A337="","",--(COUNTIF($A$2:A337,A337)=1))</x:f>
      </x:c>
      <x:c r="P337" s="15" t="str">
        <x:f>IF(A337="","",--(COUNTIFS($A$2:A337,A337,$F$2:F337,F337)=1))</x:f>
      </x:c>
    </x:row>
    <x:row r="338">
      <x:c r="A338" s="18"/>
      <x:c r="O338" s="15" t="str">
        <x:f>IF(A338="","",--(COUNTIF($A$2:A338,A338)=1))</x:f>
      </x:c>
      <x:c r="P338" s="15" t="str">
        <x:f>IF(A338="","",--(COUNTIFS($A$2:A338,A338,$F$2:F338,F338)=1))</x:f>
      </x:c>
    </x:row>
    <x:row r="339">
      <x:c r="A339" s="18"/>
      <x:c r="O339" s="15" t="str">
        <x:f>IF(A339="","",--(COUNTIF($A$2:A339,A339)=1))</x:f>
      </x:c>
      <x:c r="P339" s="15" t="str">
        <x:f>IF(A339="","",--(COUNTIFS($A$2:A339,A339,$F$2:F339,F339)=1))</x:f>
      </x:c>
    </x:row>
    <x:row r="340">
      <x:c r="A340" s="18"/>
      <x:c r="O340" s="15" t="str">
        <x:f>IF(A340="","",--(COUNTIF($A$2:A340,A340)=1))</x:f>
      </x:c>
      <x:c r="P340" s="15" t="str">
        <x:f>IF(A340="","",--(COUNTIFS($A$2:A340,A340,$F$2:F340,F340)=1))</x:f>
      </x:c>
    </x:row>
    <x:row r="341">
      <x:c r="A341" s="18"/>
      <x:c r="O341" s="15" t="str">
        <x:f>IF(A341="","",--(COUNTIF($A$2:A341,A341)=1))</x:f>
      </x:c>
      <x:c r="P341" s="15" t="str">
        <x:f>IF(A341="","",--(COUNTIFS($A$2:A341,A341,$F$2:F341,F341)=1))</x:f>
      </x:c>
    </x:row>
    <x:row r="342">
      <x:c r="A342" s="18"/>
      <x:c r="O342" s="15" t="str">
        <x:f>IF(A342="","",--(COUNTIF($A$2:A342,A342)=1))</x:f>
      </x:c>
      <x:c r="P342" s="15" t="str">
        <x:f>IF(A342="","",--(COUNTIFS($A$2:A342,A342,$F$2:F342,F342)=1))</x:f>
      </x:c>
    </x:row>
    <x:row r="343">
      <x:c r="A343" s="18"/>
      <x:c r="O343" s="15" t="str">
        <x:f>IF(A343="","",--(COUNTIF($A$2:A343,A343)=1))</x:f>
      </x:c>
      <x:c r="P343" s="15" t="str">
        <x:f>IF(A343="","",--(COUNTIFS($A$2:A343,A343,$F$2:F343,F343)=1))</x:f>
      </x:c>
    </x:row>
    <x:row r="344">
      <x:c r="A344" s="18"/>
      <x:c r="O344" s="15" t="str">
        <x:f>IF(A344="","",--(COUNTIF($A$2:A344,A344)=1))</x:f>
      </x:c>
      <x:c r="P344" s="15" t="str">
        <x:f>IF(A344="","",--(COUNTIFS($A$2:A344,A344,$F$2:F344,F344)=1))</x:f>
      </x:c>
    </x:row>
    <x:row r="345">
      <x:c r="A345" s="18"/>
      <x:c r="O345" s="15" t="str">
        <x:f>IF(A345="","",--(COUNTIF($A$2:A345,A345)=1))</x:f>
      </x:c>
      <x:c r="P345" s="15" t="str">
        <x:f>IF(A345="","",--(COUNTIFS($A$2:A345,A345,$F$2:F345,F345)=1))</x:f>
      </x:c>
    </x:row>
    <x:row r="346">
      <x:c r="A346" s="18"/>
      <x:c r="O346" s="15" t="str">
        <x:f>IF(A346="","",--(COUNTIF($A$2:A346,A346)=1))</x:f>
      </x:c>
      <x:c r="P346" s="15" t="str">
        <x:f>IF(A346="","",--(COUNTIFS($A$2:A346,A346,$F$2:F346,F346)=1))</x:f>
      </x:c>
    </x:row>
    <x:row r="347">
      <x:c r="A347" s="18"/>
      <x:c r="O347" s="15" t="str">
        <x:f>IF(A347="","",--(COUNTIF($A$2:A347,A347)=1))</x:f>
      </x:c>
      <x:c r="P347" s="15" t="str">
        <x:f>IF(A347="","",--(COUNTIFS($A$2:A347,A347,$F$2:F347,F347)=1))</x:f>
      </x:c>
    </x:row>
    <x:row r="348">
      <x:c r="A348" s="18"/>
      <x:c r="O348" s="15" t="str">
        <x:f>IF(A348="","",--(COUNTIF($A$2:A348,A348)=1))</x:f>
      </x:c>
      <x:c r="P348" s="15" t="str">
        <x:f>IF(A348="","",--(COUNTIFS($A$2:A348,A348,$F$2:F348,F348)=1))</x:f>
      </x:c>
    </x:row>
    <x:row r="349">
      <x:c r="A349" s="18"/>
      <x:c r="O349" s="15" t="str">
        <x:f>IF(A349="","",--(COUNTIF($A$2:A349,A349)=1))</x:f>
      </x:c>
      <x:c r="P349" s="15" t="str">
        <x:f>IF(A349="","",--(COUNTIFS($A$2:A349,A349,$F$2:F349,F349)=1))</x:f>
      </x:c>
    </x:row>
    <x:row r="350">
      <x:c r="A350" s="18"/>
      <x:c r="O350" s="15" t="str">
        <x:f>IF(A350="","",--(COUNTIF($A$2:A350,A350)=1))</x:f>
      </x:c>
      <x:c r="P350" s="15" t="str">
        <x:f>IF(A350="","",--(COUNTIFS($A$2:A350,A350,$F$2:F350,F350)=1))</x:f>
      </x:c>
    </x:row>
    <x:row r="351">
      <x:c r="A351" s="18"/>
      <x:c r="O351" s="15" t="str">
        <x:f>IF(A351="","",--(COUNTIF($A$2:A351,A351)=1))</x:f>
      </x:c>
      <x:c r="P351" s="15" t="str">
        <x:f>IF(A351="","",--(COUNTIFS($A$2:A351,A351,$F$2:F351,F351)=1))</x:f>
      </x:c>
    </x:row>
    <x:row r="352">
      <x:c r="A352" s="18"/>
      <x:c r="O352" s="15" t="str">
        <x:f>IF(A352="","",--(COUNTIF($A$2:A352,A352)=1))</x:f>
      </x:c>
      <x:c r="P352" s="15" t="str">
        <x:f>IF(A352="","",--(COUNTIFS($A$2:A352,A352,$F$2:F352,F352)=1))</x:f>
      </x:c>
    </x:row>
    <x:row r="353">
      <x:c r="A353" s="18"/>
      <x:c r="O353" s="15" t="str">
        <x:f>IF(A353="","",--(COUNTIF($A$2:A353,A353)=1))</x:f>
      </x:c>
      <x:c r="P353" s="15" t="str">
        <x:f>IF(A353="","",--(COUNTIFS($A$2:A353,A353,$F$2:F353,F353)=1))</x:f>
      </x:c>
    </x:row>
    <x:row r="354">
      <x:c r="A354" s="18"/>
      <x:c r="O354" s="15" t="str">
        <x:f>IF(A354="","",--(COUNTIF($A$2:A354,A354)=1))</x:f>
      </x:c>
      <x:c r="P354" s="15" t="str">
        <x:f>IF(A354="","",--(COUNTIFS($A$2:A354,A354,$F$2:F354,F354)=1))</x:f>
      </x:c>
    </x:row>
    <x:row r="355">
      <x:c r="A355" s="18"/>
      <x:c r="O355" s="15" t="str">
        <x:f>IF(A355="","",--(COUNTIF($A$2:A355,A355)=1))</x:f>
      </x:c>
      <x:c r="P355" s="15" t="str">
        <x:f>IF(A355="","",--(COUNTIFS($A$2:A355,A355,$F$2:F355,F355)=1))</x:f>
      </x:c>
    </x:row>
    <x:row r="356">
      <x:c r="A356" s="18"/>
      <x:c r="O356" s="15" t="str">
        <x:f>IF(A356="","",--(COUNTIF($A$2:A356,A356)=1))</x:f>
      </x:c>
      <x:c r="P356" s="15" t="str">
        <x:f>IF(A356="","",--(COUNTIFS($A$2:A356,A356,$F$2:F356,F356)=1))</x:f>
      </x:c>
    </x:row>
    <x:row r="357">
      <x:c r="A357" s="18"/>
      <x:c r="O357" s="15" t="str">
        <x:f>IF(A357="","",--(COUNTIF($A$2:A357,A357)=1))</x:f>
      </x:c>
      <x:c r="P357" s="15" t="str">
        <x:f>IF(A357="","",--(COUNTIFS($A$2:A357,A357,$F$2:F357,F357)=1))</x:f>
      </x:c>
    </x:row>
    <x:row r="358">
      <x:c r="A358" s="18"/>
      <x:c r="O358" s="15" t="str">
        <x:f>IF(A358="","",--(COUNTIF($A$2:A358,A358)=1))</x:f>
      </x:c>
      <x:c r="P358" s="15" t="str">
        <x:f>IF(A358="","",--(COUNTIFS($A$2:A358,A358,$F$2:F358,F358)=1))</x:f>
      </x:c>
    </x:row>
    <x:row r="359">
      <x:c r="A359" s="18"/>
      <x:c r="O359" s="15" t="str">
        <x:f>IF(A359="","",--(COUNTIF($A$2:A359,A359)=1))</x:f>
      </x:c>
      <x:c r="P359" s="15" t="str">
        <x:f>IF(A359="","",--(COUNTIFS($A$2:A359,A359,$F$2:F359,F359)=1))</x:f>
      </x:c>
    </x:row>
    <x:row r="360">
      <x:c r="A360" s="18"/>
      <x:c r="O360" s="15" t="str">
        <x:f>IF(A360="","",--(COUNTIF($A$2:A360,A360)=1))</x:f>
      </x:c>
      <x:c r="P360" s="15" t="str">
        <x:f>IF(A360="","",--(COUNTIFS($A$2:A360,A360,$F$2:F360,F360)=1))</x:f>
      </x:c>
    </x:row>
    <x:row r="361">
      <x:c r="A361" s="18"/>
      <x:c r="O361" s="15" t="str">
        <x:f>IF(A361="","",--(COUNTIF($A$2:A361,A361)=1))</x:f>
      </x:c>
      <x:c r="P361" s="15" t="str">
        <x:f>IF(A361="","",--(COUNTIFS($A$2:A361,A361,$F$2:F361,F361)=1))</x:f>
      </x:c>
    </x:row>
    <x:row r="362">
      <x:c r="A362" s="18"/>
      <x:c r="O362" s="15" t="str">
        <x:f>IF(A362="","",--(COUNTIF($A$2:A362,A362)=1))</x:f>
      </x:c>
      <x:c r="P362" s="15" t="str">
        <x:f>IF(A362="","",--(COUNTIFS($A$2:A362,A362,$F$2:F362,F362)=1))</x:f>
      </x:c>
    </x:row>
    <x:row r="363">
      <x:c r="A363" s="18"/>
      <x:c r="O363" s="15" t="str">
        <x:f>IF(A363="","",--(COUNTIF($A$2:A363,A363)=1))</x:f>
      </x:c>
      <x:c r="P363" s="15" t="str">
        <x:f>IF(A363="","",--(COUNTIFS($A$2:A363,A363,$F$2:F363,F363)=1))</x:f>
      </x:c>
    </x:row>
    <x:row r="364">
      <x:c r="A364" s="18"/>
      <x:c r="O364" s="15" t="str">
        <x:f>IF(A364="","",--(COUNTIF($A$2:A364,A364)=1))</x:f>
      </x:c>
      <x:c r="P364" s="15" t="str">
        <x:f>IF(A364="","",--(COUNTIFS($A$2:A364,A364,$F$2:F364,F364)=1))</x:f>
      </x:c>
    </x:row>
    <x:row r="365">
      <x:c r="A365" s="18"/>
      <x:c r="O365" s="15" t="str">
        <x:f>IF(A365="","",--(COUNTIF($A$2:A365,A365)=1))</x:f>
      </x:c>
      <x:c r="P365" s="15" t="str">
        <x:f>IF(A365="","",--(COUNTIFS($A$2:A365,A365,$F$2:F365,F365)=1))</x:f>
      </x:c>
    </x:row>
    <x:row r="366">
      <x:c r="A366" s="18"/>
      <x:c r="O366" s="15" t="str">
        <x:f>IF(A366="","",--(COUNTIF($A$2:A366,A366)=1))</x:f>
      </x:c>
      <x:c r="P366" s="15" t="str">
        <x:f>IF(A366="","",--(COUNTIFS($A$2:A366,A366,$F$2:F366,F366)=1))</x:f>
      </x:c>
    </x:row>
    <x:row r="367">
      <x:c r="A367" s="18"/>
      <x:c r="O367" s="15" t="str">
        <x:f>IF(A367="","",--(COUNTIF($A$2:A367,A367)=1))</x:f>
      </x:c>
      <x:c r="P367" s="15" t="str">
        <x:f>IF(A367="","",--(COUNTIFS($A$2:A367,A367,$F$2:F367,F367)=1))</x:f>
      </x:c>
    </x:row>
    <x:row r="368">
      <x:c r="A368" s="18"/>
      <x:c r="O368" s="15" t="str">
        <x:f>IF(A368="","",--(COUNTIF($A$2:A368,A368)=1))</x:f>
      </x:c>
      <x:c r="P368" s="15" t="str">
        <x:f>IF(A368="","",--(COUNTIFS($A$2:A368,A368,$F$2:F368,F368)=1))</x:f>
      </x:c>
    </x:row>
    <x:row r="369">
      <x:c r="A369" s="18"/>
      <x:c r="O369" s="15" t="str">
        <x:f>IF(A369="","",--(COUNTIF($A$2:A369,A369)=1))</x:f>
      </x:c>
      <x:c r="P369" s="15" t="str">
        <x:f>IF(A369="","",--(COUNTIFS($A$2:A369,A369,$F$2:F369,F369)=1))</x:f>
      </x:c>
    </x:row>
    <x:row r="370">
      <x:c r="A370" s="18"/>
      <x:c r="O370" s="15" t="str">
        <x:f>IF(A370="","",--(COUNTIF($A$2:A370,A370)=1))</x:f>
      </x:c>
      <x:c r="P370" s="15" t="str">
        <x:f>IF(A370="","",--(COUNTIFS($A$2:A370,A370,$F$2:F370,F370)=1))</x:f>
      </x:c>
    </x:row>
    <x:row r="371">
      <x:c r="A371" s="18"/>
      <x:c r="O371" s="15" t="str">
        <x:f>IF(A371="","",--(COUNTIF($A$2:A371,A371)=1))</x:f>
      </x:c>
      <x:c r="P371" s="15" t="str">
        <x:f>IF(A371="","",--(COUNTIFS($A$2:A371,A371,$F$2:F371,F371)=1))</x:f>
      </x:c>
    </x:row>
    <x:row r="372">
      <x:c r="A372" s="18"/>
      <x:c r="O372" s="15" t="str">
        <x:f>IF(A372="","",--(COUNTIF($A$2:A372,A372)=1))</x:f>
      </x:c>
      <x:c r="P372" s="15" t="str">
        <x:f>IF(A372="","",--(COUNTIFS($A$2:A372,A372,$F$2:F372,F372)=1))</x:f>
      </x:c>
    </x:row>
    <x:row r="373">
      <x:c r="A373" s="18"/>
      <x:c r="O373" s="15" t="str">
        <x:f>IF(A373="","",--(COUNTIF($A$2:A373,A373)=1))</x:f>
      </x:c>
      <x:c r="P373" s="15" t="str">
        <x:f>IF(A373="","",--(COUNTIFS($A$2:A373,A373,$F$2:F373,F373)=1))</x:f>
      </x:c>
    </x:row>
    <x:row r="374">
      <x:c r="A374" s="18"/>
      <x:c r="O374" s="15" t="str">
        <x:f>IF(A374="","",--(COUNTIF($A$2:A374,A374)=1))</x:f>
      </x:c>
      <x:c r="P374" s="15" t="str">
        <x:f>IF(A374="","",--(COUNTIFS($A$2:A374,A374,$F$2:F374,F374)=1))</x:f>
      </x:c>
    </x:row>
    <x:row r="375">
      <x:c r="A375" s="18"/>
      <x:c r="O375" s="15" t="str">
        <x:f>IF(A375="","",--(COUNTIF($A$2:A375,A375)=1))</x:f>
      </x:c>
      <x:c r="P375" s="15" t="str">
        <x:f>IF(A375="","",--(COUNTIFS($A$2:A375,A375,$F$2:F375,F375)=1))</x:f>
      </x:c>
    </x:row>
    <x:row r="376">
      <x:c r="A376" s="18"/>
      <x:c r="O376" s="15" t="str">
        <x:f>IF(A376="","",--(COUNTIF($A$2:A376,A376)=1))</x:f>
      </x:c>
      <x:c r="P376" s="15" t="str">
        <x:f>IF(A376="","",--(COUNTIFS($A$2:A376,A376,$F$2:F376,F376)=1))</x:f>
      </x:c>
    </x:row>
    <x:row r="377">
      <x:c r="A377" s="18"/>
      <x:c r="O377" s="15" t="str">
        <x:f>IF(A377="","",--(COUNTIF($A$2:A377,A377)=1))</x:f>
      </x:c>
      <x:c r="P377" s="15" t="str">
        <x:f>IF(A377="","",--(COUNTIFS($A$2:A377,A377,$F$2:F377,F377)=1))</x:f>
      </x:c>
    </x:row>
    <x:row r="378">
      <x:c r="A378" s="18"/>
      <x:c r="O378" s="15" t="str">
        <x:f>IF(A378="","",--(COUNTIF($A$2:A378,A378)=1))</x:f>
      </x:c>
      <x:c r="P378" s="15" t="str">
        <x:f>IF(A378="","",--(COUNTIFS($A$2:A378,A378,$F$2:F378,F378)=1))</x:f>
      </x:c>
    </x:row>
    <x:row r="379">
      <x:c r="A379" s="18"/>
      <x:c r="O379" s="15" t="str">
        <x:f>IF(A379="","",--(COUNTIF($A$2:A379,A379)=1))</x:f>
      </x:c>
      <x:c r="P379" s="15" t="str">
        <x:f>IF(A379="","",--(COUNTIFS($A$2:A379,A379,$F$2:F379,F379)=1))</x:f>
      </x:c>
    </x:row>
    <x:row r="380">
      <x:c r="A380" s="18"/>
      <x:c r="O380" s="15" t="str">
        <x:f>IF(A380="","",--(COUNTIF($A$2:A380,A380)=1))</x:f>
      </x:c>
      <x:c r="P380" s="15" t="str">
        <x:f>IF(A380="","",--(COUNTIFS($A$2:A380,A380,$F$2:F380,F380)=1))</x:f>
      </x:c>
    </x:row>
    <x:row r="381">
      <x:c r="A381" s="18"/>
      <x:c r="O381" s="15" t="str">
        <x:f>IF(A381="","",--(COUNTIF($A$2:A381,A381)=1))</x:f>
      </x:c>
      <x:c r="P381" s="15" t="str">
        <x:f>IF(A381="","",--(COUNTIFS($A$2:A381,A381,$F$2:F381,F381)=1))</x:f>
      </x:c>
    </x:row>
    <x:row r="382">
      <x:c r="A382" s="18"/>
      <x:c r="O382" s="15" t="str">
        <x:f>IF(A382="","",--(COUNTIF($A$2:A382,A382)=1))</x:f>
      </x:c>
      <x:c r="P382" s="15" t="str">
        <x:f>IF(A382="","",--(COUNTIFS($A$2:A382,A382,$F$2:F382,F382)=1))</x:f>
      </x:c>
    </x:row>
    <x:row r="383">
      <x:c r="A383" s="18"/>
      <x:c r="O383" s="15" t="str">
        <x:f>IF(A383="","",--(COUNTIF($A$2:A383,A383)=1))</x:f>
      </x:c>
      <x:c r="P383" s="15" t="str">
        <x:f>IF(A383="","",--(COUNTIFS($A$2:A383,A383,$F$2:F383,F383)=1))</x:f>
      </x:c>
    </x:row>
    <x:row r="384">
      <x:c r="A384" s="18"/>
      <x:c r="O384" s="15" t="str">
        <x:f>IF(A384="","",--(COUNTIF($A$2:A384,A384)=1))</x:f>
      </x:c>
      <x:c r="P384" s="15" t="str">
        <x:f>IF(A384="","",--(COUNTIFS($A$2:A384,A384,$F$2:F384,F384)=1))</x:f>
      </x:c>
    </x:row>
    <x:row r="385">
      <x:c r="A385" s="18"/>
      <x:c r="O385" s="15" t="str">
        <x:f>IF(A385="","",--(COUNTIF($A$2:A385,A385)=1))</x:f>
      </x:c>
      <x:c r="P385" s="15" t="str">
        <x:f>IF(A385="","",--(COUNTIFS($A$2:A385,A385,$F$2:F385,F385)=1))</x:f>
      </x:c>
    </x:row>
    <x:row r="386">
      <x:c r="A386" s="18"/>
      <x:c r="O386" s="15" t="str">
        <x:f>IF(A386="","",--(COUNTIF($A$2:A386,A386)=1))</x:f>
      </x:c>
      <x:c r="P386" s="15" t="str">
        <x:f>IF(A386="","",--(COUNTIFS($A$2:A386,A386,$F$2:F386,F386)=1))</x:f>
      </x:c>
    </x:row>
    <x:row r="387">
      <x:c r="A387" s="18"/>
      <x:c r="O387" s="15" t="str">
        <x:f>IF(A387="","",--(COUNTIF($A$2:A387,A387)=1))</x:f>
      </x:c>
      <x:c r="P387" s="15" t="str">
        <x:f>IF(A387="","",--(COUNTIFS($A$2:A387,A387,$F$2:F387,F387)=1))</x:f>
      </x:c>
    </x:row>
    <x:row r="388">
      <x:c r="A388" s="18"/>
      <x:c r="O388" s="15" t="str">
        <x:f>IF(A388="","",--(COUNTIF($A$2:A388,A388)=1))</x:f>
      </x:c>
      <x:c r="P388" s="15" t="str">
        <x:f>IF(A388="","",--(COUNTIFS($A$2:A388,A388,$F$2:F388,F388)=1))</x:f>
      </x:c>
    </x:row>
    <x:row r="389">
      <x:c r="A389" s="18"/>
      <x:c r="O389" s="15" t="str">
        <x:f>IF(A389="","",--(COUNTIF($A$2:A389,A389)=1))</x:f>
      </x:c>
      <x:c r="P389" s="15" t="str">
        <x:f>IF(A389="","",--(COUNTIFS($A$2:A389,A389,$F$2:F389,F389)=1))</x:f>
      </x:c>
    </x:row>
    <x:row r="390">
      <x:c r="A390" s="18"/>
      <x:c r="O390" s="15" t="str">
        <x:f>IF(A390="","",--(COUNTIF($A$2:A390,A390)=1))</x:f>
      </x:c>
      <x:c r="P390" s="15" t="str">
        <x:f>IF(A390="","",--(COUNTIFS($A$2:A390,A390,$F$2:F390,F390)=1))</x:f>
      </x:c>
    </x:row>
    <x:row r="391">
      <x:c r="A391" s="18"/>
      <x:c r="O391" s="15" t="str">
        <x:f>IF(A391="","",--(COUNTIF($A$2:A391,A391)=1))</x:f>
      </x:c>
      <x:c r="P391" s="15" t="str">
        <x:f>IF(A391="","",--(COUNTIFS($A$2:A391,A391,$F$2:F391,F391)=1))</x:f>
      </x:c>
    </x:row>
    <x:row r="392">
      <x:c r="A392" s="18"/>
      <x:c r="O392" s="15" t="str">
        <x:f>IF(A392="","",--(COUNTIF($A$2:A392,A392)=1))</x:f>
      </x:c>
      <x:c r="P392" s="15" t="str">
        <x:f>IF(A392="","",--(COUNTIFS($A$2:A392,A392,$F$2:F392,F392)=1))</x:f>
      </x:c>
    </x:row>
    <x:row r="393">
      <x:c r="A393" s="18"/>
      <x:c r="O393" s="15" t="str">
        <x:f>IF(A393="","",--(COUNTIF($A$2:A393,A393)=1))</x:f>
      </x:c>
      <x:c r="P393" s="15" t="str">
        <x:f>IF(A393="","",--(COUNTIFS($A$2:A393,A393,$F$2:F393,F393)=1))</x:f>
      </x:c>
    </x:row>
    <x:row r="394">
      <x:c r="A394" s="18"/>
      <x:c r="O394" s="15" t="str">
        <x:f>IF(A394="","",--(COUNTIF($A$2:A394,A394)=1))</x:f>
      </x:c>
      <x:c r="P394" s="15" t="str">
        <x:f>IF(A394="","",--(COUNTIFS($A$2:A394,A394,$F$2:F394,F394)=1))</x:f>
      </x:c>
    </x:row>
    <x:row r="395">
      <x:c r="A395" s="18"/>
      <x:c r="O395" s="15" t="str">
        <x:f>IF(A395="","",--(COUNTIF($A$2:A395,A395)=1))</x:f>
      </x:c>
      <x:c r="P395" s="15" t="str">
        <x:f>IF(A395="","",--(COUNTIFS($A$2:A395,A395,$F$2:F395,F395)=1))</x:f>
      </x:c>
    </x:row>
    <x:row r="396">
      <x:c r="A396" s="18"/>
      <x:c r="O396" s="15" t="str">
        <x:f>IF(A396="","",--(COUNTIF($A$2:A396,A396)=1))</x:f>
      </x:c>
      <x:c r="P396" s="15" t="str">
        <x:f>IF(A396="","",--(COUNTIFS($A$2:A396,A396,$F$2:F396,F396)=1))</x:f>
      </x:c>
    </x:row>
    <x:row r="397">
      <x:c r="A397" s="18"/>
      <x:c r="O397" s="15" t="str">
        <x:f>IF(A397="","",--(COUNTIF($A$2:A397,A397)=1))</x:f>
      </x:c>
      <x:c r="P397" s="15" t="str">
        <x:f>IF(A397="","",--(COUNTIFS($A$2:A397,A397,$F$2:F397,F397)=1))</x:f>
      </x:c>
    </x:row>
    <x:row r="398">
      <x:c r="A398" s="18"/>
      <x:c r="O398" s="15" t="str">
        <x:f>IF(A398="","",--(COUNTIF($A$2:A398,A398)=1))</x:f>
      </x:c>
      <x:c r="P398" s="15" t="str">
        <x:f>IF(A398="","",--(COUNTIFS($A$2:A398,A398,$F$2:F398,F398)=1))</x:f>
      </x:c>
    </x:row>
    <x:row r="399">
      <x:c r="A399" s="18"/>
      <x:c r="O399" s="15" t="str">
        <x:f>IF(A399="","",--(COUNTIF($A$2:A399,A399)=1))</x:f>
      </x:c>
      <x:c r="P399" s="15" t="str">
        <x:f>IF(A399="","",--(COUNTIFS($A$2:A399,A399,$F$2:F399,F399)=1))</x:f>
      </x:c>
    </x:row>
    <x:row r="400">
      <x:c r="A400" s="18"/>
      <x:c r="O400" s="15" t="str">
        <x:f>IF(A400="","",--(COUNTIF($A$2:A400,A400)=1))</x:f>
      </x:c>
      <x:c r="P400" s="15" t="str">
        <x:f>IF(A400="","",--(COUNTIFS($A$2:A400,A400,$F$2:F400,F400)=1))</x:f>
      </x:c>
    </x:row>
    <x:row r="401">
      <x:c r="A401" s="18"/>
      <x:c r="O401" s="15" t="str">
        <x:f>IF(A401="","",--(COUNTIF($A$2:A401,A401)=1))</x:f>
      </x:c>
      <x:c r="P401" s="15" t="str">
        <x:f>IF(A401="","",--(COUNTIFS($A$2:A401,A401,$F$2:F401,F401)=1))</x:f>
      </x:c>
    </x:row>
    <x:row r="402">
      <x:c r="A402" s="18"/>
      <x:c r="O402" s="15" t="str">
        <x:f>IF(A402="","",--(COUNTIF($A$2:A402,A402)=1))</x:f>
      </x:c>
      <x:c r="P402" s="15" t="str">
        <x:f>IF(A402="","",--(COUNTIFS($A$2:A402,A402,$F$2:F402,F402)=1))</x:f>
      </x:c>
    </x:row>
    <x:row r="403">
      <x:c r="A403" s="18"/>
      <x:c r="O403" s="15" t="str">
        <x:f>IF(A403="","",--(COUNTIF($A$2:A403,A403)=1))</x:f>
      </x:c>
      <x:c r="P403" s="15" t="str">
        <x:f>IF(A403="","",--(COUNTIFS($A$2:A403,A403,$F$2:F403,F403)=1))</x:f>
      </x:c>
    </x:row>
    <x:row r="404">
      <x:c r="A404" s="18"/>
      <x:c r="O404" s="15" t="str">
        <x:f>IF(A404="","",--(COUNTIF($A$2:A404,A404)=1))</x:f>
      </x:c>
      <x:c r="P404" s="15" t="str">
        <x:f>IF(A404="","",--(COUNTIFS($A$2:A404,A404,$F$2:F404,F404)=1))</x:f>
      </x:c>
    </x:row>
    <x:row r="405">
      <x:c r="A405" s="18"/>
      <x:c r="O405" s="15" t="str">
        <x:f>IF(A405="","",--(COUNTIF($A$2:A405,A405)=1))</x:f>
      </x:c>
      <x:c r="P405" s="15" t="str">
        <x:f>IF(A405="","",--(COUNTIFS($A$2:A405,A405,$F$2:F405,F405)=1))</x:f>
      </x:c>
    </x:row>
    <x:row r="406">
      <x:c r="A406" s="18"/>
      <x:c r="O406" s="15" t="str">
        <x:f>IF(A406="","",--(COUNTIF($A$2:A406,A406)=1))</x:f>
      </x:c>
      <x:c r="P406" s="15" t="str">
        <x:f>IF(A406="","",--(COUNTIFS($A$2:A406,A406,$F$2:F406,F406)=1))</x:f>
      </x:c>
    </x:row>
    <x:row r="407">
      <x:c r="A407" s="18"/>
      <x:c r="O407" s="15" t="str">
        <x:f>IF(A407="","",--(COUNTIF($A$2:A407,A407)=1))</x:f>
      </x:c>
      <x:c r="P407" s="15" t="str">
        <x:f>IF(A407="","",--(COUNTIFS($A$2:A407,A407,$F$2:F407,F407)=1))</x:f>
      </x:c>
    </x:row>
    <x:row r="408">
      <x:c r="A408" s="18"/>
      <x:c r="O408" s="15" t="str">
        <x:f>IF(A408="","",--(COUNTIF($A$2:A408,A408)=1))</x:f>
      </x:c>
      <x:c r="P408" s="15" t="str">
        <x:f>IF(A408="","",--(COUNTIFS($A$2:A408,A408,$F$2:F408,F408)=1))</x:f>
      </x:c>
    </x:row>
    <x:row r="409">
      <x:c r="A409" s="18"/>
      <x:c r="O409" s="15" t="str">
        <x:f>IF(A409="","",--(COUNTIF($A$2:A409,A409)=1))</x:f>
      </x:c>
      <x:c r="P409" s="15" t="str">
        <x:f>IF(A409="","",--(COUNTIFS($A$2:A409,A409,$F$2:F409,F409)=1))</x:f>
      </x:c>
    </x:row>
    <x:row r="410">
      <x:c r="A410" s="18"/>
      <x:c r="O410" s="15" t="str">
        <x:f>IF(A410="","",--(COUNTIF($A$2:A410,A410)=1))</x:f>
      </x:c>
      <x:c r="P410" s="15" t="str">
        <x:f>IF(A410="","",--(COUNTIFS($A$2:A410,A410,$F$2:F410,F410)=1))</x:f>
      </x:c>
    </x:row>
    <x:row r="411">
      <x:c r="A411" s="18"/>
      <x:c r="O411" s="15" t="str">
        <x:f>IF(A411="","",--(COUNTIF($A$2:A411,A411)=1))</x:f>
      </x:c>
      <x:c r="P411" s="15" t="str">
        <x:f>IF(A411="","",--(COUNTIFS($A$2:A411,A411,$F$2:F411,F411)=1))</x:f>
      </x:c>
    </x:row>
    <x:row r="412">
      <x:c r="A412" s="18"/>
      <x:c r="O412" s="15" t="str">
        <x:f>IF(A412="","",--(COUNTIF($A$2:A412,A412)=1))</x:f>
      </x:c>
      <x:c r="P412" s="15" t="str">
        <x:f>IF(A412="","",--(COUNTIFS($A$2:A412,A412,$F$2:F412,F412)=1))</x:f>
      </x:c>
    </x:row>
    <x:row r="413">
      <x:c r="A413" s="18"/>
      <x:c r="O413" s="15" t="str">
        <x:f>IF(A413="","",--(COUNTIF($A$2:A413,A413)=1))</x:f>
      </x:c>
      <x:c r="P413" s="15" t="str">
        <x:f>IF(A413="","",--(COUNTIFS($A$2:A413,A413,$F$2:F413,F413)=1))</x:f>
      </x:c>
    </x:row>
    <x:row r="414">
      <x:c r="A414" s="18"/>
      <x:c r="O414" s="15" t="str">
        <x:f>IF(A414="","",--(COUNTIF($A$2:A414,A414)=1))</x:f>
      </x:c>
      <x:c r="P414" s="15" t="str">
        <x:f>IF(A414="","",--(COUNTIFS($A$2:A414,A414,$F$2:F414,F414)=1))</x:f>
      </x:c>
    </x:row>
    <x:row r="415">
      <x:c r="A415" s="18"/>
      <x:c r="O415" s="15" t="str">
        <x:f>IF(A415="","",--(COUNTIF($A$2:A415,A415)=1))</x:f>
      </x:c>
      <x:c r="P415" s="15" t="str">
        <x:f>IF(A415="","",--(COUNTIFS($A$2:A415,A415,$F$2:F415,F415)=1))</x:f>
      </x:c>
    </x:row>
    <x:row r="416">
      <x:c r="A416" s="18"/>
      <x:c r="O416" s="15" t="str">
        <x:f>IF(A416="","",--(COUNTIF($A$2:A416,A416)=1))</x:f>
      </x:c>
      <x:c r="P416" s="15" t="str">
        <x:f>IF(A416="","",--(COUNTIFS($A$2:A416,A416,$F$2:F416,F416)=1))</x:f>
      </x:c>
    </x:row>
    <x:row r="417">
      <x:c r="A417" s="18"/>
      <x:c r="O417" s="15" t="str">
        <x:f>IF(A417="","",--(COUNTIF($A$2:A417,A417)=1))</x:f>
      </x:c>
      <x:c r="P417" s="15" t="str">
        <x:f>IF(A417="","",--(COUNTIFS($A$2:A417,A417,$F$2:F417,F417)=1))</x:f>
      </x:c>
    </x:row>
    <x:row r="418">
      <x:c r="A418" s="18"/>
      <x:c r="O418" s="15" t="str">
        <x:f>IF(A418="","",--(COUNTIF($A$2:A418,A418)=1))</x:f>
      </x:c>
      <x:c r="P418" s="15" t="str">
        <x:f>IF(A418="","",--(COUNTIFS($A$2:A418,A418,$F$2:F418,F418)=1))</x:f>
      </x:c>
    </x:row>
    <x:row r="419">
      <x:c r="A419" s="18"/>
      <x:c r="O419" s="15" t="str">
        <x:f>IF(A419="","",--(COUNTIF($A$2:A419,A419)=1))</x:f>
      </x:c>
      <x:c r="P419" s="15" t="str">
        <x:f>IF(A419="","",--(COUNTIFS($A$2:A419,A419,$F$2:F419,F419)=1))</x:f>
      </x:c>
    </x:row>
    <x:row r="420">
      <x:c r="A420" s="18"/>
      <x:c r="O420" s="15" t="str">
        <x:f>IF(A420="","",--(COUNTIF($A$2:A420,A420)=1))</x:f>
      </x:c>
      <x:c r="P420" s="15" t="str">
        <x:f>IF(A420="","",--(COUNTIFS($A$2:A420,A420,$F$2:F420,F420)=1))</x:f>
      </x:c>
    </x:row>
    <x:row r="421">
      <x:c r="A421" s="18"/>
      <x:c r="O421" s="15" t="str">
        <x:f>IF(A421="","",--(COUNTIF($A$2:A421,A421)=1))</x:f>
      </x:c>
      <x:c r="P421" s="15" t="str">
        <x:f>IF(A421="","",--(COUNTIFS($A$2:A421,A421,$F$2:F421,F421)=1))</x:f>
      </x:c>
    </x:row>
    <x:row r="422">
      <x:c r="A422" s="18"/>
      <x:c r="O422" s="15" t="str">
        <x:f>IF(A422="","",--(COUNTIF($A$2:A422,A422)=1))</x:f>
      </x:c>
      <x:c r="P422" s="15" t="str">
        <x:f>IF(A422="","",--(COUNTIFS($A$2:A422,A422,$F$2:F422,F422)=1))</x:f>
      </x:c>
    </x:row>
    <x:row r="423">
      <x:c r="A423" s="18"/>
      <x:c r="O423" s="15" t="str">
        <x:f>IF(A423="","",--(COUNTIF($A$2:A423,A423)=1))</x:f>
      </x:c>
      <x:c r="P423" s="15" t="str">
        <x:f>IF(A423="","",--(COUNTIFS($A$2:A423,A423,$F$2:F423,F423)=1))</x:f>
      </x:c>
    </x:row>
    <x:row r="424">
      <x:c r="A424" s="18"/>
      <x:c r="O424" s="15" t="str">
        <x:f>IF(A424="","",--(COUNTIF($A$2:A424,A424)=1))</x:f>
      </x:c>
      <x:c r="P424" s="15" t="str">
        <x:f>IF(A424="","",--(COUNTIFS($A$2:A424,A424,$F$2:F424,F424)=1))</x:f>
      </x:c>
    </x:row>
    <x:row r="425">
      <x:c r="A425" s="18"/>
      <x:c r="O425" s="15" t="str">
        <x:f>IF(A425="","",--(COUNTIF($A$2:A425,A425)=1))</x:f>
      </x:c>
      <x:c r="P425" s="15" t="str">
        <x:f>IF(A425="","",--(COUNTIFS($A$2:A425,A425,$F$2:F425,F425)=1))</x:f>
      </x:c>
    </x:row>
    <x:row r="426">
      <x:c r="A426" s="18"/>
      <x:c r="O426" s="15" t="str">
        <x:f>IF(A426="","",--(COUNTIF($A$2:A426,A426)=1))</x:f>
      </x:c>
      <x:c r="P426" s="15" t="str">
        <x:f>IF(A426="","",--(COUNTIFS($A$2:A426,A426,$F$2:F426,F426)=1))</x:f>
      </x:c>
    </x:row>
    <x:row r="427">
      <x:c r="A427" s="18"/>
      <x:c r="O427" s="15" t="str">
        <x:f>IF(A427="","",--(COUNTIF($A$2:A427,A427)=1))</x:f>
      </x:c>
      <x:c r="P427" s="15" t="str">
        <x:f>IF(A427="","",--(COUNTIFS($A$2:A427,A427,$F$2:F427,F427)=1))</x:f>
      </x:c>
    </x:row>
    <x:row r="428">
      <x:c r="A428" s="18"/>
      <x:c r="O428" s="15" t="str">
        <x:f>IF(A428="","",--(COUNTIF($A$2:A428,A428)=1))</x:f>
      </x:c>
      <x:c r="P428" s="15" t="str">
        <x:f>IF(A428="","",--(COUNTIFS($A$2:A428,A428,$F$2:F428,F428)=1))</x:f>
      </x:c>
    </x:row>
    <x:row r="429">
      <x:c r="A429" s="18"/>
      <x:c r="O429" s="15" t="str">
        <x:f>IF(A429="","",--(COUNTIF($A$2:A429,A429)=1))</x:f>
      </x:c>
      <x:c r="P429" s="15" t="str">
        <x:f>IF(A429="","",--(COUNTIFS($A$2:A429,A429,$F$2:F429,F429)=1))</x:f>
      </x:c>
    </x:row>
    <x:row r="430">
      <x:c r="A430" s="18"/>
      <x:c r="O430" s="15" t="str">
        <x:f>IF(A430="","",--(COUNTIF($A$2:A430,A430)=1))</x:f>
      </x:c>
      <x:c r="P430" s="15" t="str">
        <x:f>IF(A430="","",--(COUNTIFS($A$2:A430,A430,$F$2:F430,F430)=1))</x:f>
      </x:c>
    </x:row>
    <x:row r="431">
      <x:c r="A431" s="18"/>
      <x:c r="O431" s="15" t="str">
        <x:f>IF(A431="","",--(COUNTIF($A$2:A431,A431)=1))</x:f>
      </x:c>
      <x:c r="P431" s="15" t="str">
        <x:f>IF(A431="","",--(COUNTIFS($A$2:A431,A431,$F$2:F431,F431)=1))</x:f>
      </x:c>
    </x:row>
    <x:row r="432">
      <x:c r="A432" s="18"/>
      <x:c r="O432" s="15" t="str">
        <x:f>IF(A432="","",--(COUNTIF($A$2:A432,A432)=1))</x:f>
      </x:c>
      <x:c r="P432" s="15" t="str">
        <x:f>IF(A432="","",--(COUNTIFS($A$2:A432,A432,$F$2:F432,F432)=1))</x:f>
      </x:c>
    </x:row>
    <x:row r="433">
      <x:c r="A433" s="18"/>
      <x:c r="O433" s="15" t="str">
        <x:f>IF(A433="","",--(COUNTIF($A$2:A433,A433)=1))</x:f>
      </x:c>
      <x:c r="P433" s="15" t="str">
        <x:f>IF(A433="","",--(COUNTIFS($A$2:A433,A433,$F$2:F433,F433)=1))</x:f>
      </x:c>
    </x:row>
    <x:row r="434">
      <x:c r="A434" s="18"/>
      <x:c r="O434" s="15" t="str">
        <x:f>IF(A434="","",--(COUNTIF($A$2:A434,A434)=1))</x:f>
      </x:c>
      <x:c r="P434" s="15" t="str">
        <x:f>IF(A434="","",--(COUNTIFS($A$2:A434,A434,$F$2:F434,F434)=1))</x:f>
      </x:c>
    </x:row>
    <x:row r="435">
      <x:c r="A435" s="18"/>
      <x:c r="O435" s="15" t="str">
        <x:f>IF(A435="","",--(COUNTIF($A$2:A435,A435)=1))</x:f>
      </x:c>
      <x:c r="P435" s="15" t="str">
        <x:f>IF(A435="","",--(COUNTIFS($A$2:A435,A435,$F$2:F435,F435)=1))</x:f>
      </x:c>
    </x:row>
    <x:row r="436">
      <x:c r="A436" s="18"/>
      <x:c r="O436" s="15" t="str">
        <x:f>IF(A436="","",--(COUNTIF($A$2:A436,A436)=1))</x:f>
      </x:c>
      <x:c r="P436" s="15" t="str">
        <x:f>IF(A436="","",--(COUNTIFS($A$2:A436,A436,$F$2:F436,F436)=1))</x:f>
      </x:c>
    </x:row>
    <x:row r="437">
      <x:c r="A437" s="18"/>
      <x:c r="O437" s="15" t="str">
        <x:f>IF(A437="","",--(COUNTIF($A$2:A437,A437)=1))</x:f>
      </x:c>
      <x:c r="P437" s="15" t="str">
        <x:f>IF(A437="","",--(COUNTIFS($A$2:A437,A437,$F$2:F437,F437)=1))</x:f>
      </x:c>
    </x:row>
    <x:row r="438">
      <x:c r="A438" s="18"/>
      <x:c r="O438" s="15" t="str">
        <x:f>IF(A438="","",--(COUNTIF($A$2:A438,A438)=1))</x:f>
      </x:c>
      <x:c r="P438" s="15" t="str">
        <x:f>IF(A438="","",--(COUNTIFS($A$2:A438,A438,$F$2:F438,F438)=1))</x:f>
      </x:c>
    </x:row>
    <x:row r="439">
      <x:c r="A439" s="18"/>
      <x:c r="O439" s="15" t="str">
        <x:f>IF(A439="","",--(COUNTIF($A$2:A439,A439)=1))</x:f>
      </x:c>
      <x:c r="P439" s="15" t="str">
        <x:f>IF(A439="","",--(COUNTIFS($A$2:A439,A439,$F$2:F439,F439)=1))</x:f>
      </x:c>
    </x:row>
    <x:row r="440">
      <x:c r="A440" s="18"/>
      <x:c r="O440" s="15" t="str">
        <x:f>IF(A440="","",--(COUNTIF($A$2:A440,A440)=1))</x:f>
      </x:c>
      <x:c r="P440" s="15" t="str">
        <x:f>IF(A440="","",--(COUNTIFS($A$2:A440,A440,$F$2:F440,F440)=1))</x:f>
      </x:c>
    </x:row>
    <x:row r="441">
      <x:c r="A441" s="18"/>
      <x:c r="O441" s="15" t="str">
        <x:f>IF(A441="","",--(COUNTIF($A$2:A441,A441)=1))</x:f>
      </x:c>
      <x:c r="P441" s="15" t="str">
        <x:f>IF(A441="","",--(COUNTIFS($A$2:A441,A441,$F$2:F441,F441)=1))</x:f>
      </x:c>
    </x:row>
    <x:row r="442">
      <x:c r="A442" s="18"/>
      <x:c r="O442" s="15" t="str">
        <x:f>IF(A442="","",--(COUNTIF($A$2:A442,A442)=1))</x:f>
      </x:c>
      <x:c r="P442" s="15" t="str">
        <x:f>IF(A442="","",--(COUNTIFS($A$2:A442,A442,$F$2:F442,F442)=1))</x:f>
      </x:c>
    </x:row>
    <x:row r="443">
      <x:c r="A443" s="18"/>
      <x:c r="O443" s="15" t="str">
        <x:f>IF(A443="","",--(COUNTIF($A$2:A443,A443)=1))</x:f>
      </x:c>
      <x:c r="P443" s="15" t="str">
        <x:f>IF(A443="","",--(COUNTIFS($A$2:A443,A443,$F$2:F443,F443)=1))</x:f>
      </x:c>
    </x:row>
    <x:row r="444">
      <x:c r="A444" s="18"/>
      <x:c r="O444" s="15" t="str">
        <x:f>IF(A444="","",--(COUNTIF($A$2:A444,A444)=1))</x:f>
      </x:c>
      <x:c r="P444" s="15" t="str">
        <x:f>IF(A444="","",--(COUNTIFS($A$2:A444,A444,$F$2:F444,F444)=1))</x:f>
      </x:c>
    </x:row>
    <x:row r="445">
      <x:c r="A445" s="18"/>
      <x:c r="O445" s="15" t="str">
        <x:f>IF(A445="","",--(COUNTIF($A$2:A445,A445)=1))</x:f>
      </x:c>
      <x:c r="P445" s="15" t="str">
        <x:f>IF(A445="","",--(COUNTIFS($A$2:A445,A445,$F$2:F445,F445)=1))</x:f>
      </x:c>
    </x:row>
    <x:row r="446">
      <x:c r="A446" s="18"/>
      <x:c r="O446" s="15" t="str">
        <x:f>IF(A446="","",--(COUNTIF($A$2:A446,A446)=1))</x:f>
      </x:c>
      <x:c r="P446" s="15" t="str">
        <x:f>IF(A446="","",--(COUNTIFS($A$2:A446,A446,$F$2:F446,F446)=1))</x:f>
      </x:c>
    </x:row>
    <x:row r="447">
      <x:c r="A447" s="18"/>
      <x:c r="O447" s="15" t="str">
        <x:f>IF(A447="","",--(COUNTIF($A$2:A447,A447)=1))</x:f>
      </x:c>
      <x:c r="P447" s="15" t="str">
        <x:f>IF(A447="","",--(COUNTIFS($A$2:A447,A447,$F$2:F447,F447)=1))</x:f>
      </x:c>
    </x:row>
    <x:row r="448">
      <x:c r="A448" s="18"/>
      <x:c r="O448" s="15" t="str">
        <x:f>IF(A448="","",--(COUNTIF($A$2:A448,A448)=1))</x:f>
      </x:c>
      <x:c r="P448" s="15" t="str">
        <x:f>IF(A448="","",--(COUNTIFS($A$2:A448,A448,$F$2:F448,F448)=1))</x:f>
      </x:c>
    </x:row>
    <x:row r="449">
      <x:c r="A449" s="18"/>
      <x:c r="O449" s="15" t="str">
        <x:f>IF(A449="","",--(COUNTIF($A$2:A449,A449)=1))</x:f>
      </x:c>
      <x:c r="P449" s="15" t="str">
        <x:f>IF(A449="","",--(COUNTIFS($A$2:A449,A449,$F$2:F449,F449)=1))</x:f>
      </x:c>
    </x:row>
    <x:row r="450">
      <x:c r="A450" s="18"/>
      <x:c r="O450" s="15" t="str">
        <x:f>IF(A450="","",--(COUNTIF($A$2:A450,A450)=1))</x:f>
      </x:c>
      <x:c r="P450" s="15" t="str">
        <x:f>IF(A450="","",--(COUNTIFS($A$2:A450,A450,$F$2:F450,F450)=1))</x:f>
      </x:c>
    </x:row>
    <x:row r="451">
      <x:c r="A451" s="18"/>
      <x:c r="O451" s="15" t="str">
        <x:f>IF(A451="","",--(COUNTIF($A$2:A451,A451)=1))</x:f>
      </x:c>
      <x:c r="P451" s="15" t="str">
        <x:f>IF(A451="","",--(COUNTIFS($A$2:A451,A451,$F$2:F451,F451)=1))</x:f>
      </x:c>
    </x:row>
    <x:row r="452">
      <x:c r="A452" s="18"/>
      <x:c r="O452" s="15" t="str">
        <x:f>IF(A452="","",--(COUNTIF($A$2:A452,A452)=1))</x:f>
      </x:c>
      <x:c r="P452" s="15" t="str">
        <x:f>IF(A452="","",--(COUNTIFS($A$2:A452,A452,$F$2:F452,F452)=1))</x:f>
      </x:c>
    </x:row>
    <x:row r="453">
      <x:c r="A453" s="18"/>
      <x:c r="O453" s="15" t="str">
        <x:f>IF(A453="","",--(COUNTIF($A$2:A453,A453)=1))</x:f>
      </x:c>
      <x:c r="P453" s="15" t="str">
        <x:f>IF(A453="","",--(COUNTIFS($A$2:A453,A453,$F$2:F453,F453)=1))</x:f>
      </x:c>
    </x:row>
    <x:row r="454">
      <x:c r="A454" s="18"/>
      <x:c r="O454" s="15" t="str">
        <x:f>IF(A454="","",--(COUNTIF($A$2:A454,A454)=1))</x:f>
      </x:c>
      <x:c r="P454" s="15" t="str">
        <x:f>IF(A454="","",--(COUNTIFS($A$2:A454,A454,$F$2:F454,F454)=1))</x:f>
      </x:c>
    </x:row>
    <x:row r="455">
      <x:c r="A455" s="18"/>
      <x:c r="O455" s="15" t="str">
        <x:f>IF(A455="","",--(COUNTIF($A$2:A455,A455)=1))</x:f>
      </x:c>
      <x:c r="P455" s="15" t="str">
        <x:f>IF(A455="","",--(COUNTIFS($A$2:A455,A455,$F$2:F455,F455)=1))</x:f>
      </x:c>
    </x:row>
    <x:row r="456">
      <x:c r="A456" s="18"/>
      <x:c r="O456" s="15" t="str">
        <x:f>IF(A456="","",--(COUNTIF($A$2:A456,A456)=1))</x:f>
      </x:c>
      <x:c r="P456" s="15" t="str">
        <x:f>IF(A456="","",--(COUNTIFS($A$2:A456,A456,$F$2:F456,F456)=1))</x:f>
      </x:c>
    </x:row>
    <x:row r="457">
      <x:c r="A457" s="18"/>
      <x:c r="O457" s="15" t="str">
        <x:f>IF(A457="","",--(COUNTIF($A$2:A457,A457)=1))</x:f>
      </x:c>
      <x:c r="P457" s="15" t="str">
        <x:f>IF(A457="","",--(COUNTIFS($A$2:A457,A457,$F$2:F457,F457)=1))</x:f>
      </x:c>
    </x:row>
    <x:row r="458">
      <x:c r="A458" s="18"/>
      <x:c r="O458" s="15" t="str">
        <x:f>IF(A458="","",--(COUNTIF($A$2:A458,A458)=1))</x:f>
      </x:c>
      <x:c r="P458" s="15" t="str">
        <x:f>IF(A458="","",--(COUNTIFS($A$2:A458,A458,$F$2:F458,F458)=1))</x:f>
      </x:c>
    </x:row>
    <x:row r="459">
      <x:c r="A459" s="18"/>
      <x:c r="O459" s="15" t="str">
        <x:f>IF(A459="","",--(COUNTIF($A$2:A459,A459)=1))</x:f>
      </x:c>
      <x:c r="P459" s="15" t="str">
        <x:f>IF(A459="","",--(COUNTIFS($A$2:A459,A459,$F$2:F459,F459)=1))</x:f>
      </x:c>
    </x:row>
    <x:row r="460">
      <x:c r="A460" s="18"/>
      <x:c r="O460" s="15" t="str">
        <x:f>IF(A460="","",--(COUNTIF($A$2:A460,A460)=1))</x:f>
      </x:c>
      <x:c r="P460" s="15" t="str">
        <x:f>IF(A460="","",--(COUNTIFS($A$2:A460,A460,$F$2:F460,F460)=1))</x:f>
      </x:c>
    </x:row>
    <x:row r="461">
      <x:c r="A461" s="18"/>
      <x:c r="O461" s="15" t="str">
        <x:f>IF(A461="","",--(COUNTIF($A$2:A461,A461)=1))</x:f>
      </x:c>
      <x:c r="P461" s="15" t="str">
        <x:f>IF(A461="","",--(COUNTIFS($A$2:A461,A461,$F$2:F461,F461)=1))</x:f>
      </x:c>
    </x:row>
    <x:row r="462">
      <x:c r="A462" s="18"/>
      <x:c r="O462" s="15" t="str">
        <x:f>IF(A462="","",--(COUNTIF($A$2:A462,A462)=1))</x:f>
      </x:c>
      <x:c r="P462" s="15" t="str">
        <x:f>IF(A462="","",--(COUNTIFS($A$2:A462,A462,$F$2:F462,F462)=1))</x:f>
      </x:c>
    </x:row>
    <x:row r="463">
      <x:c r="A463" s="18"/>
      <x:c r="O463" s="15" t="str">
        <x:f>IF(A463="","",--(COUNTIF($A$2:A463,A463)=1))</x:f>
      </x:c>
      <x:c r="P463" s="15" t="str">
        <x:f>IF(A463="","",--(COUNTIFS($A$2:A463,A463,$F$2:F463,F463)=1))</x:f>
      </x:c>
    </x:row>
    <x:row r="464">
      <x:c r="A464" s="18"/>
      <x:c r="O464" s="15" t="str">
        <x:f>IF(A464="","",--(COUNTIF($A$2:A464,A464)=1))</x:f>
      </x:c>
      <x:c r="P464" s="15" t="str">
        <x:f>IF(A464="","",--(COUNTIFS($A$2:A464,A464,$F$2:F464,F464)=1))</x:f>
      </x:c>
    </x:row>
    <x:row r="465">
      <x:c r="A465" s="18"/>
      <x:c r="O465" s="15" t="str">
        <x:f>IF(A465="","",--(COUNTIF($A$2:A465,A465)=1))</x:f>
      </x:c>
      <x:c r="P465" s="15" t="str">
        <x:f>IF(A465="","",--(COUNTIFS($A$2:A465,A465,$F$2:F465,F465)=1))</x:f>
      </x:c>
    </x:row>
    <x:row r="466">
      <x:c r="A466" s="18"/>
      <x:c r="O466" s="15" t="str">
        <x:f>IF(A466="","",--(COUNTIF($A$2:A466,A466)=1))</x:f>
      </x:c>
      <x:c r="P466" s="15" t="str">
        <x:f>IF(A466="","",--(COUNTIFS($A$2:A466,A466,$F$2:F466,F466)=1))</x:f>
      </x:c>
    </x:row>
    <x:row r="467">
      <x:c r="A467" s="18"/>
      <x:c r="O467" s="15" t="str">
        <x:f>IF(A467="","",--(COUNTIF($A$2:A467,A467)=1))</x:f>
      </x:c>
      <x:c r="P467" s="15" t="str">
        <x:f>IF(A467="","",--(COUNTIFS($A$2:A467,A467,$F$2:F467,F467)=1))</x:f>
      </x:c>
    </x:row>
    <x:row r="468">
      <x:c r="A468" s="18"/>
      <x:c r="O468" s="15" t="str">
        <x:f>IF(A468="","",--(COUNTIF($A$2:A468,A468)=1))</x:f>
      </x:c>
      <x:c r="P468" s="15" t="str">
        <x:f>IF(A468="","",--(COUNTIFS($A$2:A468,A468,$F$2:F468,F468)=1))</x:f>
      </x:c>
    </x:row>
    <x:row r="469">
      <x:c r="A469" s="18"/>
      <x:c r="O469" s="15" t="str">
        <x:f>IF(A469="","",--(COUNTIF($A$2:A469,A469)=1))</x:f>
      </x:c>
      <x:c r="P469" s="15" t="str">
        <x:f>IF(A469="","",--(COUNTIFS($A$2:A469,A469,$F$2:F469,F469)=1))</x:f>
      </x:c>
    </x:row>
    <x:row r="470">
      <x:c r="A470" s="18"/>
      <x:c r="O470" s="15" t="str">
        <x:f>IF(A470="","",--(COUNTIF($A$2:A470,A470)=1))</x:f>
      </x:c>
      <x:c r="P470" s="15" t="str">
        <x:f>IF(A470="","",--(COUNTIFS($A$2:A470,A470,$F$2:F470,F470)=1))</x:f>
      </x:c>
    </x:row>
    <x:row r="471">
      <x:c r="A471" s="18"/>
      <x:c r="O471" s="15" t="str">
        <x:f>IF(A471="","",--(COUNTIF($A$2:A471,A471)=1))</x:f>
      </x:c>
      <x:c r="P471" s="15" t="str">
        <x:f>IF(A471="","",--(COUNTIFS($A$2:A471,A471,$F$2:F471,F471)=1))</x:f>
      </x:c>
    </x:row>
    <x:row r="472">
      <x:c r="A472" s="18"/>
      <x:c r="O472" s="15" t="str">
        <x:f>IF(A472="","",--(COUNTIF($A$2:A472,A472)=1))</x:f>
      </x:c>
      <x:c r="P472" s="15" t="str">
        <x:f>IF(A472="","",--(COUNTIFS($A$2:A472,A472,$F$2:F472,F472)=1))</x:f>
      </x:c>
    </x:row>
    <x:row r="473">
      <x:c r="A473" s="18"/>
      <x:c r="O473" s="15" t="str">
        <x:f>IF(A473="","",--(COUNTIF($A$2:A473,A473)=1))</x:f>
      </x:c>
      <x:c r="P473" s="15" t="str">
        <x:f>IF(A473="","",--(COUNTIFS($A$2:A473,A473,$F$2:F473,F473)=1))</x:f>
      </x:c>
    </x:row>
    <x:row r="474">
      <x:c r="A474" s="18"/>
      <x:c r="O474" s="15" t="str">
        <x:f>IF(A474="","",--(COUNTIF($A$2:A474,A474)=1))</x:f>
      </x:c>
      <x:c r="P474" s="15" t="str">
        <x:f>IF(A474="","",--(COUNTIFS($A$2:A474,A474,$F$2:F474,F474)=1))</x:f>
      </x:c>
    </x:row>
    <x:row r="475">
      <x:c r="A475" s="18"/>
      <x:c r="O475" s="15" t="str">
        <x:f>IF(A475="","",--(COUNTIF($A$2:A475,A475)=1))</x:f>
      </x:c>
      <x:c r="P475" s="15" t="str">
        <x:f>IF(A475="","",--(COUNTIFS($A$2:A475,A475,$F$2:F475,F475)=1))</x:f>
      </x:c>
    </x:row>
    <x:row r="476">
      <x:c r="A476" s="18"/>
      <x:c r="O476" s="15" t="str">
        <x:f>IF(A476="","",--(COUNTIF($A$2:A476,A476)=1))</x:f>
      </x:c>
      <x:c r="P476" s="15" t="str">
        <x:f>IF(A476="","",--(COUNTIFS($A$2:A476,A476,$F$2:F476,F476)=1))</x:f>
      </x:c>
    </x:row>
    <x:row r="477">
      <x:c r="A477" s="18"/>
      <x:c r="O477" s="15" t="str">
        <x:f>IF(A477="","",--(COUNTIF($A$2:A477,A477)=1))</x:f>
      </x:c>
      <x:c r="P477" s="15" t="str">
        <x:f>IF(A477="","",--(COUNTIFS($A$2:A477,A477,$F$2:F477,F477)=1))</x:f>
      </x:c>
    </x:row>
    <x:row r="478">
      <x:c r="A478" s="18"/>
      <x:c r="O478" s="15" t="str">
        <x:f>IF(A478="","",--(COUNTIF($A$2:A478,A478)=1))</x:f>
      </x:c>
      <x:c r="P478" s="15" t="str">
        <x:f>IF(A478="","",--(COUNTIFS($A$2:A478,A478,$F$2:F478,F478)=1))</x:f>
      </x:c>
    </x:row>
    <x:row r="479">
      <x:c r="A479" s="18"/>
      <x:c r="O479" s="15" t="str">
        <x:f>IF(A479="","",--(COUNTIF($A$2:A479,A479)=1))</x:f>
      </x:c>
      <x:c r="P479" s="15" t="str">
        <x:f>IF(A479="","",--(COUNTIFS($A$2:A479,A479,$F$2:F479,F479)=1))</x:f>
      </x:c>
    </x:row>
    <x:row r="480">
      <x:c r="A480" s="18"/>
      <x:c r="O480" s="15" t="str">
        <x:f>IF(A480="","",--(COUNTIF($A$2:A480,A480)=1))</x:f>
      </x:c>
      <x:c r="P480" s="15" t="str">
        <x:f>IF(A480="","",--(COUNTIFS($A$2:A480,A480,$F$2:F480,F480)=1))</x:f>
      </x:c>
    </x:row>
    <x:row r="481">
      <x:c r="A481" s="18"/>
      <x:c r="O481" s="15" t="str">
        <x:f>IF(A481="","",--(COUNTIF($A$2:A481,A481)=1))</x:f>
      </x:c>
      <x:c r="P481" s="15" t="str">
        <x:f>IF(A481="","",--(COUNTIFS($A$2:A481,A481,$F$2:F481,F481)=1))</x:f>
      </x:c>
    </x:row>
    <x:row r="482">
      <x:c r="A482" s="18"/>
      <x:c r="O482" s="15" t="str">
        <x:f>IF(A482="","",--(COUNTIF($A$2:A482,A482)=1))</x:f>
      </x:c>
      <x:c r="P482" s="15" t="str">
        <x:f>IF(A482="","",--(COUNTIFS($A$2:A482,A482,$F$2:F482,F482)=1))</x:f>
      </x:c>
    </x:row>
    <x:row r="483">
      <x:c r="A483" s="18"/>
      <x:c r="O483" s="15" t="str">
        <x:f>IF(A483="","",--(COUNTIF($A$2:A483,A483)=1))</x:f>
      </x:c>
      <x:c r="P483" s="15" t="str">
        <x:f>IF(A483="","",--(COUNTIFS($A$2:A483,A483,$F$2:F483,F483)=1))</x:f>
      </x:c>
    </x:row>
    <x:row r="484">
      <x:c r="A484" s="18"/>
      <x:c r="O484" s="15" t="str">
        <x:f>IF(A484="","",--(COUNTIF($A$2:A484,A484)=1))</x:f>
      </x:c>
      <x:c r="P484" s="15" t="str">
        <x:f>IF(A484="","",--(COUNTIFS($A$2:A484,A484,$F$2:F484,F484)=1))</x:f>
      </x:c>
    </x:row>
    <x:row r="485">
      <x:c r="A485" s="18"/>
      <x:c r="O485" s="15" t="str">
        <x:f>IF(A485="","",--(COUNTIF($A$2:A485,A485)=1))</x:f>
      </x:c>
      <x:c r="P485" s="15" t="str">
        <x:f>IF(A485="","",--(COUNTIFS($A$2:A485,A485,$F$2:F485,F485)=1))</x:f>
      </x:c>
    </x:row>
    <x:row r="486">
      <x:c r="A486" s="18"/>
      <x:c r="O486" s="15" t="str">
        <x:f>IF(A486="","",--(COUNTIF($A$2:A486,A486)=1))</x:f>
      </x:c>
      <x:c r="P486" s="15" t="str">
        <x:f>IF(A486="","",--(COUNTIFS($A$2:A486,A486,$F$2:F486,F486)=1))</x:f>
      </x:c>
    </x:row>
    <x:row r="487">
      <x:c r="A487" s="18"/>
      <x:c r="O487" s="15" t="str">
        <x:f>IF(A487="","",--(COUNTIF($A$2:A487,A487)=1))</x:f>
      </x:c>
      <x:c r="P487" s="15" t="str">
        <x:f>IF(A487="","",--(COUNTIFS($A$2:A487,A487,$F$2:F487,F487)=1))</x:f>
      </x:c>
    </x:row>
    <x:row r="488">
      <x:c r="A488" s="18"/>
      <x:c r="O488" s="15" t="str">
        <x:f>IF(A488="","",--(COUNTIF($A$2:A488,A488)=1))</x:f>
      </x:c>
      <x:c r="P488" s="15" t="str">
        <x:f>IF(A488="","",--(COUNTIFS($A$2:A488,A488,$F$2:F488,F488)=1))</x:f>
      </x:c>
    </x:row>
    <x:row r="489">
      <x:c r="A489" s="18"/>
      <x:c r="O489" s="15" t="str">
        <x:f>IF(A489="","",--(COUNTIF($A$2:A489,A489)=1))</x:f>
      </x:c>
      <x:c r="P489" s="15" t="str">
        <x:f>IF(A489="","",--(COUNTIFS($A$2:A489,A489,$F$2:F489,F489)=1))</x:f>
      </x:c>
    </x:row>
    <x:row r="490">
      <x:c r="A490" s="18"/>
      <x:c r="O490" s="15" t="str">
        <x:f>IF(A490="","",--(COUNTIF($A$2:A490,A490)=1))</x:f>
      </x:c>
      <x:c r="P490" s="15" t="str">
        <x:f>IF(A490="","",--(COUNTIFS($A$2:A490,A490,$F$2:F490,F490)=1))</x:f>
      </x:c>
    </x:row>
    <x:row r="491">
      <x:c r="A491" s="18"/>
      <x:c r="O491" s="15" t="str">
        <x:f>IF(A491="","",--(COUNTIF($A$2:A491,A491)=1))</x:f>
      </x:c>
      <x:c r="P491" s="15" t="str">
        <x:f>IF(A491="","",--(COUNTIFS($A$2:A491,A491,$F$2:F491,F491)=1))</x:f>
      </x:c>
    </x:row>
    <x:row r="492">
      <x:c r="A492" s="18"/>
      <x:c r="O492" s="15" t="str">
        <x:f>IF(A492="","",--(COUNTIF($A$2:A492,A492)=1))</x:f>
      </x:c>
      <x:c r="P492" s="15" t="str">
        <x:f>IF(A492="","",--(COUNTIFS($A$2:A492,A492,$F$2:F492,F492)=1))</x:f>
      </x:c>
    </x:row>
    <x:row r="493">
      <x:c r="A493" s="18"/>
      <x:c r="O493" s="15" t="str">
        <x:f>IF(A493="","",--(COUNTIF($A$2:A493,A493)=1))</x:f>
      </x:c>
      <x:c r="P493" s="15" t="str">
        <x:f>IF(A493="","",--(COUNTIFS($A$2:A493,A493,$F$2:F493,F493)=1))</x:f>
      </x:c>
    </x:row>
    <x:row r="494">
      <x:c r="A494" s="18"/>
      <x:c r="O494" s="15" t="str">
        <x:f>IF(A494="","",--(COUNTIF($A$2:A494,A494)=1))</x:f>
      </x:c>
      <x:c r="P494" s="15" t="str">
        <x:f>IF(A494="","",--(COUNTIFS($A$2:A494,A494,$F$2:F494,F494)=1))</x:f>
      </x:c>
    </x:row>
    <x:row r="495">
      <x:c r="A495" s="18"/>
      <x:c r="O495" s="15" t="str">
        <x:f>IF(A495="","",--(COUNTIF($A$2:A495,A495)=1))</x:f>
      </x:c>
      <x:c r="P495" s="15" t="str">
        <x:f>IF(A495="","",--(COUNTIFS($A$2:A495,A495,$F$2:F495,F495)=1))</x:f>
      </x:c>
    </x:row>
    <x:row r="496">
      <x:c r="A496" s="18"/>
      <x:c r="O496" s="15" t="str">
        <x:f>IF(A496="","",--(COUNTIF($A$2:A496,A496)=1))</x:f>
      </x:c>
      <x:c r="P496" s="15" t="str">
        <x:f>IF(A496="","",--(COUNTIFS($A$2:A496,A496,$F$2:F496,F496)=1))</x:f>
      </x:c>
    </x:row>
    <x:row r="497">
      <x:c r="A497" s="18"/>
      <x:c r="O497" s="15" t="str">
        <x:f>IF(A497="","",--(COUNTIF($A$2:A497,A497)=1))</x:f>
      </x:c>
      <x:c r="P497" s="15" t="str">
        <x:f>IF(A497="","",--(COUNTIFS($A$2:A497,A497,$F$2:F497,F497)=1))</x:f>
      </x:c>
    </x:row>
    <x:row r="498">
      <x:c r="A498" s="18"/>
      <x:c r="O498" s="15" t="str">
        <x:f>IF(A498="","",--(COUNTIF($A$2:A498,A498)=1))</x:f>
      </x:c>
      <x:c r="P498" s="15" t="str">
        <x:f>IF(A498="","",--(COUNTIFS($A$2:A498,A498,$F$2:F498,F498)=1))</x:f>
      </x:c>
    </x:row>
    <x:row r="499">
      <x:c r="A499" s="18"/>
      <x:c r="O499" s="15" t="str">
        <x:f>IF(A499="","",--(COUNTIF($A$2:A499,A499)=1))</x:f>
      </x:c>
      <x:c r="P499" s="15" t="str">
        <x:f>IF(A499="","",--(COUNTIFS($A$2:A499,A499,$F$2:F499,F499)=1))</x:f>
      </x:c>
    </x:row>
    <x:row r="500">
      <x:c r="A500" s="18"/>
      <x:c r="O500" s="15" t="str">
        <x:f>IF(A500="","",--(COUNTIF($A$2:A500,A500)=1))</x:f>
      </x:c>
      <x:c r="P500" s="15" t="str">
        <x:f>IF(A500="","",--(COUNTIFS($A$2:A500,A500,$F$2:F500,F500)=1))</x:f>
      </x:c>
    </x:row>
    <x:row r="501">
      <x:c r="A501" s="18"/>
      <x:c r="O501" s="15" t="str">
        <x:f>IF(A501="","",--(COUNTIF($A$2:A501,A501)=1))</x:f>
      </x:c>
      <x:c r="P501" s="15" t="str">
        <x:f>IF(A501="","",--(COUNTIFS($A$2:A501,A501,$F$2:F501,F501)=1))</x:f>
      </x:c>
    </x:row>
    <x:row r="502">
      <x:c r="A502" s="18"/>
      <x:c r="O502" s="15" t="str">
        <x:f>IF(A502="","",--(COUNTIF($A$2:A502,A502)=1))</x:f>
      </x:c>
      <x:c r="P502" s="15" t="str">
        <x:f>IF(A502="","",--(COUNTIFS($A$2:A502,A502,$F$2:F502,F502)=1))</x:f>
      </x:c>
    </x:row>
    <x:row r="503">
      <x:c r="A503" s="18"/>
      <x:c r="O503" s="15" t="str">
        <x:f>IF(A503="","",--(COUNTIF($A$2:A503,A503)=1))</x:f>
      </x:c>
      <x:c r="P503" s="15" t="str">
        <x:f>IF(A503="","",--(COUNTIFS($A$2:A503,A503,$F$2:F503,F503)=1))</x:f>
      </x:c>
    </x:row>
    <x:row r="504">
      <x:c r="A504" s="18"/>
      <x:c r="O504" s="15" t="str">
        <x:f>IF(A504="","",--(COUNTIF($A$2:A504,A504)=1))</x:f>
      </x:c>
      <x:c r="P504" s="15" t="str">
        <x:f>IF(A504="","",--(COUNTIFS($A$2:A504,A504,$F$2:F504,F504)=1))</x:f>
      </x:c>
    </x:row>
    <x:row r="505">
      <x:c r="A505" s="18"/>
      <x:c r="O505" s="15" t="str">
        <x:f>IF(A505="","",--(COUNTIF($A$2:A505,A505)=1))</x:f>
      </x:c>
      <x:c r="P505" s="15" t="str">
        <x:f>IF(A505="","",--(COUNTIFS($A$2:A505,A505,$F$2:F505,F505)=1))</x:f>
      </x:c>
    </x:row>
    <x:row r="506">
      <x:c r="A506" s="18"/>
      <x:c r="O506" s="15" t="str">
        <x:f>IF(A506="","",--(COUNTIF($A$2:A506,A506)=1))</x:f>
      </x:c>
      <x:c r="P506" s="15" t="str">
        <x:f>IF(A506="","",--(COUNTIFS($A$2:A506,A506,$F$2:F506,F506)=1))</x:f>
      </x:c>
    </x:row>
    <x:row r="507">
      <x:c r="A507" s="18"/>
      <x:c r="O507" s="15" t="str">
        <x:f>IF(A507="","",--(COUNTIF($A$2:A507,A507)=1))</x:f>
      </x:c>
      <x:c r="P507" s="15" t="str">
        <x:f>IF(A507="","",--(COUNTIFS($A$2:A507,A507,$F$2:F507,F507)=1))</x:f>
      </x:c>
    </x:row>
    <x:row r="508">
      <x:c r="A508" s="18"/>
      <x:c r="O508" s="15" t="str">
        <x:f>IF(A508="","",--(COUNTIF($A$2:A508,A508)=1))</x:f>
      </x:c>
      <x:c r="P508" s="15" t="str">
        <x:f>IF(A508="","",--(COUNTIFS($A$2:A508,A508,$F$2:F508,F508)=1))</x:f>
      </x:c>
    </x:row>
    <x:row r="509">
      <x:c r="A509" s="18"/>
      <x:c r="O509" s="15" t="str">
        <x:f>IF(A509="","",--(COUNTIF($A$2:A509,A509)=1))</x:f>
      </x:c>
      <x:c r="P509" s="15" t="str">
        <x:f>IF(A509="","",--(COUNTIFS($A$2:A509,A509,$F$2:F509,F509)=1))</x:f>
      </x:c>
    </x:row>
    <x:row r="510">
      <x:c r="A510" s="18"/>
      <x:c r="O510" s="15" t="str">
        <x:f>IF(A510="","",--(COUNTIF($A$2:A510,A510)=1))</x:f>
      </x:c>
      <x:c r="P510" s="15" t="str">
        <x:f>IF(A510="","",--(COUNTIFS($A$2:A510,A510,$F$2:F510,F510)=1))</x:f>
      </x:c>
    </x:row>
    <x:row r="511">
      <x:c r="A511" s="18"/>
      <x:c r="O511" s="15" t="str">
        <x:f>IF(A511="","",--(COUNTIF($A$2:A511,A511)=1))</x:f>
      </x:c>
      <x:c r="P511" s="15" t="str">
        <x:f>IF(A511="","",--(COUNTIFS($A$2:A511,A511,$F$2:F511,F511)=1))</x:f>
      </x:c>
    </x:row>
    <x:row r="512">
      <x:c r="A512" s="18"/>
      <x:c r="O512" s="15" t="str">
        <x:f>IF(A512="","",--(COUNTIF($A$2:A512,A512)=1))</x:f>
      </x:c>
      <x:c r="P512" s="15" t="str">
        <x:f>IF(A512="","",--(COUNTIFS($A$2:A512,A512,$F$2:F512,F512)=1))</x:f>
      </x:c>
    </x:row>
    <x:row r="513">
      <x:c r="A513" s="18"/>
      <x:c r="O513" s="15" t="str">
        <x:f>IF(A513="","",--(COUNTIF($A$2:A513,A513)=1))</x:f>
      </x:c>
      <x:c r="P513" s="15" t="str">
        <x:f>IF(A513="","",--(COUNTIFS($A$2:A513,A513,$F$2:F513,F513)=1))</x:f>
      </x:c>
    </x:row>
    <x:row r="514">
      <x:c r="A514" s="18"/>
      <x:c r="O514" s="15" t="str">
        <x:f>IF(A514="","",--(COUNTIF($A$2:A514,A514)=1))</x:f>
      </x:c>
      <x:c r="P514" s="15" t="str">
        <x:f>IF(A514="","",--(COUNTIFS($A$2:A514,A514,$F$2:F514,F514)=1))</x:f>
      </x:c>
    </x:row>
    <x:row r="515">
      <x:c r="A515" s="18"/>
      <x:c r="O515" s="15" t="str">
        <x:f>IF(A515="","",--(COUNTIF($A$2:A515,A515)=1))</x:f>
      </x:c>
      <x:c r="P515" s="15" t="str">
        <x:f>IF(A515="","",--(COUNTIFS($A$2:A515,A515,$F$2:F515,F515)=1))</x:f>
      </x:c>
    </x:row>
    <x:row r="516">
      <x:c r="A516" s="18"/>
      <x:c r="O516" s="15" t="str">
        <x:f>IF(A516="","",--(COUNTIF($A$2:A516,A516)=1))</x:f>
      </x:c>
      <x:c r="P516" s="15" t="str">
        <x:f>IF(A516="","",--(COUNTIFS($A$2:A516,A516,$F$2:F516,F516)=1))</x:f>
      </x:c>
    </x:row>
    <x:row r="517">
      <x:c r="A517" s="18"/>
      <x:c r="O517" s="15" t="str">
        <x:f>IF(A517="","",--(COUNTIF($A$2:A517,A517)=1))</x:f>
      </x:c>
      <x:c r="P517" s="15" t="str">
        <x:f>IF(A517="","",--(COUNTIFS($A$2:A517,A517,$F$2:F517,F517)=1))</x:f>
      </x:c>
    </x:row>
    <x:row r="518">
      <x:c r="A518" s="18"/>
      <x:c r="O518" s="15" t="str">
        <x:f>IF(A518="","",--(COUNTIF($A$2:A518,A518)=1))</x:f>
      </x:c>
      <x:c r="P518" s="15" t="str">
        <x:f>IF(A518="","",--(COUNTIFS($A$2:A518,A518,$F$2:F518,F518)=1))</x:f>
      </x:c>
    </x:row>
    <x:row r="519">
      <x:c r="A519" s="18"/>
      <x:c r="O519" s="15" t="str">
        <x:f>IF(A519="","",--(COUNTIF($A$2:A519,A519)=1))</x:f>
      </x:c>
      <x:c r="P519" s="15" t="str">
        <x:f>IF(A519="","",--(COUNTIFS($A$2:A519,A519,$F$2:F519,F519)=1))</x:f>
      </x:c>
    </x:row>
    <x:row r="520">
      <x:c r="A520" s="18"/>
      <x:c r="O520" s="15" t="str">
        <x:f>IF(A520="","",--(COUNTIF($A$2:A520,A520)=1))</x:f>
      </x:c>
      <x:c r="P520" s="15" t="str">
        <x:f>IF(A520="","",--(COUNTIFS($A$2:A520,A520,$F$2:F520,F520)=1))</x:f>
      </x:c>
    </x:row>
    <x:row r="521">
      <x:c r="A521" s="18"/>
      <x:c r="O521" s="15" t="str">
        <x:f>IF(A521="","",--(COUNTIF($A$2:A521,A521)=1))</x:f>
      </x:c>
      <x:c r="P521" s="15" t="str">
        <x:f>IF(A521="","",--(COUNTIFS($A$2:A521,A521,$F$2:F521,F521)=1))</x:f>
      </x:c>
    </x:row>
    <x:row r="522">
      <x:c r="A522" s="18"/>
      <x:c r="O522" s="15" t="str">
        <x:f>IF(A522="","",--(COUNTIF($A$2:A522,A522)=1))</x:f>
      </x:c>
      <x:c r="P522" s="15" t="str">
        <x:f>IF(A522="","",--(COUNTIFS($A$2:A522,A522,$F$2:F522,F522)=1))</x:f>
      </x:c>
    </x:row>
    <x:row r="523">
      <x:c r="A523" s="18"/>
      <x:c r="O523" s="15" t="str">
        <x:f>IF(A523="","",--(COUNTIF($A$2:A523,A523)=1))</x:f>
      </x:c>
      <x:c r="P523" s="15" t="str">
        <x:f>IF(A523="","",--(COUNTIFS($A$2:A523,A523,$F$2:F523,F523)=1))</x:f>
      </x:c>
    </x:row>
    <x:row r="524">
      <x:c r="A524" s="18"/>
      <x:c r="O524" s="15" t="str">
        <x:f>IF(A524="","",--(COUNTIF($A$2:A524,A524)=1))</x:f>
      </x:c>
      <x:c r="P524" s="15" t="str">
        <x:f>IF(A524="","",--(COUNTIFS($A$2:A524,A524,$F$2:F524,F524)=1))</x:f>
      </x:c>
    </x:row>
    <x:row r="525">
      <x:c r="A525" s="18"/>
      <x:c r="O525" s="15" t="str">
        <x:f>IF(A525="","",--(COUNTIF($A$2:A525,A525)=1))</x:f>
      </x:c>
      <x:c r="P525" s="15" t="str">
        <x:f>IF(A525="","",--(COUNTIFS($A$2:A525,A525,$F$2:F525,F525)=1))</x:f>
      </x:c>
    </x:row>
    <x:row r="526">
      <x:c r="A526" s="18"/>
      <x:c r="O526" s="15" t="str">
        <x:f>IF(A526="","",--(COUNTIF($A$2:A526,A526)=1))</x:f>
      </x:c>
      <x:c r="P526" s="15" t="str">
        <x:f>IF(A526="","",--(COUNTIFS($A$2:A526,A526,$F$2:F526,F526)=1))</x:f>
      </x:c>
    </x:row>
    <x:row r="527">
      <x:c r="A527" s="18"/>
      <x:c r="O527" s="15" t="str">
        <x:f>IF(A527="","",--(COUNTIF($A$2:A527,A527)=1))</x:f>
      </x:c>
      <x:c r="P527" s="15" t="str">
        <x:f>IF(A527="","",--(COUNTIFS($A$2:A527,A527,$F$2:F527,F527)=1))</x:f>
      </x:c>
    </x:row>
    <x:row r="528">
      <x:c r="A528" s="18"/>
      <x:c r="O528" s="15" t="str">
        <x:f>IF(A528="","",--(COUNTIF($A$2:A528,A528)=1))</x:f>
      </x:c>
      <x:c r="P528" s="15" t="str">
        <x:f>IF(A528="","",--(COUNTIFS($A$2:A528,A528,$F$2:F528,F528)=1))</x:f>
      </x:c>
    </x:row>
    <x:row r="529">
      <x:c r="A529" s="18"/>
      <x:c r="O529" s="15" t="str">
        <x:f>IF(A529="","",--(COUNTIF($A$2:A529,A529)=1))</x:f>
      </x:c>
      <x:c r="P529" s="15" t="str">
        <x:f>IF(A529="","",--(COUNTIFS($A$2:A529,A529,$F$2:F529,F529)=1))</x:f>
      </x:c>
    </x:row>
    <x:row r="530">
      <x:c r="A530" s="18"/>
      <x:c r="O530" s="15" t="str">
        <x:f>IF(A530="","",--(COUNTIF($A$2:A530,A530)=1))</x:f>
      </x:c>
      <x:c r="P530" s="15" t="str">
        <x:f>IF(A530="","",--(COUNTIFS($A$2:A530,A530,$F$2:F530,F530)=1))</x:f>
      </x:c>
    </x:row>
    <x:row r="531">
      <x:c r="A531" s="18"/>
      <x:c r="O531" s="15" t="str">
        <x:f>IF(A531="","",--(COUNTIF($A$2:A531,A531)=1))</x:f>
      </x:c>
      <x:c r="P531" s="15" t="str">
        <x:f>IF(A531="","",--(COUNTIFS($A$2:A531,A531,$F$2:F531,F531)=1))</x:f>
      </x:c>
    </x:row>
    <x:row r="532">
      <x:c r="A532" s="18"/>
      <x:c r="O532" s="15" t="str">
        <x:f>IF(A532="","",--(COUNTIF($A$2:A532,A532)=1))</x:f>
      </x:c>
      <x:c r="P532" s="15" t="str">
        <x:f>IF(A532="","",--(COUNTIFS($A$2:A532,A532,$F$2:F532,F532)=1))</x:f>
      </x:c>
    </x:row>
    <x:row r="533">
      <x:c r="A533" s="18"/>
      <x:c r="O533" s="15" t="str">
        <x:f>IF(A533="","",--(COUNTIF($A$2:A533,A533)=1))</x:f>
      </x:c>
      <x:c r="P533" s="15" t="str">
        <x:f>IF(A533="","",--(COUNTIFS($A$2:A533,A533,$F$2:F533,F533)=1))</x:f>
      </x:c>
    </x:row>
    <x:row r="534">
      <x:c r="A534" s="18"/>
      <x:c r="O534" s="15" t="str">
        <x:f>IF(A534="","",--(COUNTIF($A$2:A534,A534)=1))</x:f>
      </x:c>
      <x:c r="P534" s="15" t="str">
        <x:f>IF(A534="","",--(COUNTIFS($A$2:A534,A534,$F$2:F534,F534)=1))</x:f>
      </x:c>
    </x:row>
    <x:row r="535">
      <x:c r="A535" s="18"/>
      <x:c r="O535" s="15" t="str">
        <x:f>IF(A535="","",--(COUNTIF($A$2:A535,A535)=1))</x:f>
      </x:c>
      <x:c r="P535" s="15" t="str">
        <x:f>IF(A535="","",--(COUNTIFS($A$2:A535,A535,$F$2:F535,F535)=1))</x:f>
      </x:c>
    </x:row>
    <x:row r="536">
      <x:c r="A536" s="18"/>
      <x:c r="O536" s="15" t="str">
        <x:f>IF(A536="","",--(COUNTIF($A$2:A536,A536)=1))</x:f>
      </x:c>
      <x:c r="P536" s="15" t="str">
        <x:f>IF(A536="","",--(COUNTIFS($A$2:A536,A536,$F$2:F536,F536)=1))</x:f>
      </x:c>
    </x:row>
    <x:row r="537">
      <x:c r="A537" s="18"/>
      <x:c r="O537" s="15" t="str">
        <x:f>IF(A537="","",--(COUNTIF($A$2:A537,A537)=1))</x:f>
      </x:c>
      <x:c r="P537" s="15" t="str">
        <x:f>IF(A537="","",--(COUNTIFS($A$2:A537,A537,$F$2:F537,F537)=1))</x:f>
      </x:c>
    </x:row>
    <x:row r="538">
      <x:c r="A538" s="18"/>
      <x:c r="O538" s="15" t="str">
        <x:f>IF(A538="","",--(COUNTIF($A$2:A538,A538)=1))</x:f>
      </x:c>
      <x:c r="P538" s="15" t="str">
        <x:f>IF(A538="","",--(COUNTIFS($A$2:A538,A538,$F$2:F538,F538)=1))</x:f>
      </x:c>
    </x:row>
    <x:row r="539">
      <x:c r="A539" s="18"/>
      <x:c r="O539" s="15" t="str">
        <x:f>IF(A539="","",--(COUNTIF($A$2:A539,A539)=1))</x:f>
      </x:c>
      <x:c r="P539" s="15" t="str">
        <x:f>IF(A539="","",--(COUNTIFS($A$2:A539,A539,$F$2:F539,F539)=1))</x:f>
      </x:c>
    </x:row>
    <x:row r="540">
      <x:c r="A540" s="18"/>
      <x:c r="O540" s="15" t="str">
        <x:f>IF(A540="","",--(COUNTIF($A$2:A540,A540)=1))</x:f>
      </x:c>
      <x:c r="P540" s="15" t="str">
        <x:f>IF(A540="","",--(COUNTIFS($A$2:A540,A540,$F$2:F540,F540)=1))</x:f>
      </x:c>
    </x:row>
    <x:row r="541">
      <x:c r="A541" s="18"/>
      <x:c r="O541" s="15" t="str">
        <x:f>IF(A541="","",--(COUNTIF($A$2:A541,A541)=1))</x:f>
      </x:c>
      <x:c r="P541" s="15" t="str">
        <x:f>IF(A541="","",--(COUNTIFS($A$2:A541,A541,$F$2:F541,F541)=1))</x:f>
      </x:c>
    </x:row>
    <x:row r="542">
      <x:c r="A542" s="18"/>
      <x:c r="O542" s="15" t="str">
        <x:f>IF(A542="","",--(COUNTIF($A$2:A542,A542)=1))</x:f>
      </x:c>
      <x:c r="P542" s="15" t="str">
        <x:f>IF(A542="","",--(COUNTIFS($A$2:A542,A542,$F$2:F542,F542)=1))</x:f>
      </x:c>
    </x:row>
    <x:row r="543">
      <x:c r="A543" s="18"/>
      <x:c r="O543" s="15" t="str">
        <x:f>IF(A543="","",--(COUNTIF($A$2:A543,A543)=1))</x:f>
      </x:c>
      <x:c r="P543" s="15" t="str">
        <x:f>IF(A543="","",--(COUNTIFS($A$2:A543,A543,$F$2:F543,F543)=1))</x:f>
      </x:c>
    </x:row>
    <x:row r="544">
      <x:c r="A544" s="18"/>
      <x:c r="O544" s="15" t="str">
        <x:f>IF(A544="","",--(COUNTIF($A$2:A544,A544)=1))</x:f>
      </x:c>
      <x:c r="P544" s="15" t="str">
        <x:f>IF(A544="","",--(COUNTIFS($A$2:A544,A544,$F$2:F544,F544)=1))</x:f>
      </x:c>
    </x:row>
    <x:row r="545">
      <x:c r="A545" s="18"/>
      <x:c r="O545" s="15" t="str">
        <x:f>IF(A545="","",--(COUNTIF($A$2:A545,A545)=1))</x:f>
      </x:c>
      <x:c r="P545" s="15" t="str">
        <x:f>IF(A545="","",--(COUNTIFS($A$2:A545,A545,$F$2:F545,F545)=1))</x:f>
      </x:c>
    </x:row>
    <x:row r="546">
      <x:c r="A546" s="18"/>
      <x:c r="O546" s="15" t="str">
        <x:f>IF(A546="","",--(COUNTIF($A$2:A546,A546)=1))</x:f>
      </x:c>
      <x:c r="P546" s="15" t="str">
        <x:f>IF(A546="","",--(COUNTIFS($A$2:A546,A546,$F$2:F546,F546)=1))</x:f>
      </x:c>
    </x:row>
    <x:row r="547">
      <x:c r="A547" s="18"/>
      <x:c r="O547" s="15" t="str">
        <x:f>IF(A547="","",--(COUNTIF($A$2:A547,A547)=1))</x:f>
      </x:c>
      <x:c r="P547" s="15" t="str">
        <x:f>IF(A547="","",--(COUNTIFS($A$2:A547,A547,$F$2:F547,F547)=1))</x:f>
      </x:c>
    </x:row>
    <x:row r="548">
      <x:c r="A548" s="18"/>
      <x:c r="O548" s="15" t="str">
        <x:f>IF(A548="","",--(COUNTIF($A$2:A548,A548)=1))</x:f>
      </x:c>
      <x:c r="P548" s="15" t="str">
        <x:f>IF(A548="","",--(COUNTIFS($A$2:A548,A548,$F$2:F548,F548)=1))</x:f>
      </x:c>
    </x:row>
    <x:row r="549">
      <x:c r="A549" s="18"/>
      <x:c r="O549" s="15" t="str">
        <x:f>IF(A549="","",--(COUNTIF($A$2:A549,A549)=1))</x:f>
      </x:c>
      <x:c r="P549" s="15" t="str">
        <x:f>IF(A549="","",--(COUNTIFS($A$2:A549,A549,$F$2:F549,F549)=1))</x:f>
      </x:c>
    </x:row>
    <x:row r="550">
      <x:c r="A550" s="18"/>
      <x:c r="O550" s="15" t="str">
        <x:f>IF(A550="","",--(COUNTIF($A$2:A550,A550)=1))</x:f>
      </x:c>
      <x:c r="P550" s="15" t="str">
        <x:f>IF(A550="","",--(COUNTIFS($A$2:A550,A550,$F$2:F550,F550)=1))</x:f>
      </x:c>
    </x:row>
    <x:row r="551">
      <x:c r="A551" s="18"/>
      <x:c r="O551" s="15" t="str">
        <x:f>IF(A551="","",--(COUNTIF($A$2:A551,A551)=1))</x:f>
      </x:c>
      <x:c r="P551" s="15" t="str">
        <x:f>IF(A551="","",--(COUNTIFS($A$2:A551,A551,$F$2:F551,F551)=1))</x:f>
      </x:c>
    </x:row>
    <x:row r="552">
      <x:c r="A552" s="18"/>
      <x:c r="O552" s="15" t="str">
        <x:f>IF(A552="","",--(COUNTIF($A$2:A552,A552)=1))</x:f>
      </x:c>
      <x:c r="P552" s="15" t="str">
        <x:f>IF(A552="","",--(COUNTIFS($A$2:A552,A552,$F$2:F552,F552)=1))</x:f>
      </x:c>
    </x:row>
    <x:row r="553">
      <x:c r="A553" s="18"/>
      <x:c r="O553" s="15" t="str">
        <x:f>IF(A553="","",--(COUNTIF($A$2:A553,A553)=1))</x:f>
      </x:c>
      <x:c r="P553" s="15" t="str">
        <x:f>IF(A553="","",--(COUNTIFS($A$2:A553,A553,$F$2:F553,F553)=1))</x:f>
      </x:c>
    </x:row>
    <x:row r="554">
      <x:c r="A554" s="18"/>
      <x:c r="O554" s="15" t="str">
        <x:f>IF(A554="","",--(COUNTIF($A$2:A554,A554)=1))</x:f>
      </x:c>
      <x:c r="P554" s="15" t="str">
        <x:f>IF(A554="","",--(COUNTIFS($A$2:A554,A554,$F$2:F554,F554)=1))</x:f>
      </x:c>
    </x:row>
    <x:row r="555">
      <x:c r="A555" s="18"/>
      <x:c r="O555" s="15" t="str">
        <x:f>IF(A555="","",--(COUNTIF($A$2:A555,A555)=1))</x:f>
      </x:c>
      <x:c r="P555" s="15" t="str">
        <x:f>IF(A555="","",--(COUNTIFS($A$2:A555,A555,$F$2:F555,F555)=1))</x:f>
      </x:c>
    </x:row>
    <x:row r="556">
      <x:c r="A556" s="18"/>
      <x:c r="O556" s="15" t="str">
        <x:f>IF(A556="","",--(COUNTIF($A$2:A556,A556)=1))</x:f>
      </x:c>
      <x:c r="P556" s="15" t="str">
        <x:f>IF(A556="","",--(COUNTIFS($A$2:A556,A556,$F$2:F556,F556)=1))</x:f>
      </x:c>
    </x:row>
    <x:row r="557">
      <x:c r="A557" s="18"/>
      <x:c r="O557" s="15" t="str">
        <x:f>IF(A557="","",--(COUNTIF($A$2:A557,A557)=1))</x:f>
      </x:c>
      <x:c r="P557" s="15" t="str">
        <x:f>IF(A557="","",--(COUNTIFS($A$2:A557,A557,$F$2:F557,F557)=1))</x:f>
      </x:c>
    </x:row>
    <x:row r="558">
      <x:c r="A558" s="18"/>
      <x:c r="O558" s="15" t="str">
        <x:f>IF(A558="","",--(COUNTIF($A$2:A558,A558)=1))</x:f>
      </x:c>
      <x:c r="P558" s="15" t="str">
        <x:f>IF(A558="","",--(COUNTIFS($A$2:A558,A558,$F$2:F558,F558)=1))</x:f>
      </x:c>
    </x:row>
    <x:row r="559">
      <x:c r="A559" s="18"/>
      <x:c r="O559" s="15" t="str">
        <x:f>IF(A559="","",--(COUNTIF($A$2:A559,A559)=1))</x:f>
      </x:c>
      <x:c r="P559" s="15" t="str">
        <x:f>IF(A559="","",--(COUNTIFS($A$2:A559,A559,$F$2:F559,F559)=1))</x:f>
      </x:c>
    </x:row>
    <x:row r="560">
      <x:c r="A560" s="18"/>
      <x:c r="O560" s="15" t="str">
        <x:f>IF(A560="","",--(COUNTIF($A$2:A560,A560)=1))</x:f>
      </x:c>
      <x:c r="P560" s="15" t="str">
        <x:f>IF(A560="","",--(COUNTIFS($A$2:A560,A560,$F$2:F560,F560)=1))</x:f>
      </x:c>
    </x:row>
    <x:row r="561">
      <x:c r="A561" s="18"/>
      <x:c r="O561" s="15" t="str">
        <x:f>IF(A561="","",--(COUNTIF($A$2:A561,A561)=1))</x:f>
      </x:c>
      <x:c r="P561" s="15" t="str">
        <x:f>IF(A561="","",--(COUNTIFS($A$2:A561,A561,$F$2:F561,F561)=1))</x:f>
      </x:c>
    </x:row>
    <x:row r="562">
      <x:c r="A562" s="18"/>
      <x:c r="O562" s="15" t="str">
        <x:f>IF(A562="","",--(COUNTIF($A$2:A562,A562)=1))</x:f>
      </x:c>
      <x:c r="P562" s="15" t="str">
        <x:f>IF(A562="","",--(COUNTIFS($A$2:A562,A562,$F$2:F562,F562)=1))</x:f>
      </x:c>
    </x:row>
    <x:row r="563">
      <x:c r="A563" s="18"/>
      <x:c r="O563" s="15" t="str">
        <x:f>IF(A563="","",--(COUNTIF($A$2:A563,A563)=1))</x:f>
      </x:c>
      <x:c r="P563" s="15" t="str">
        <x:f>IF(A563="","",--(COUNTIFS($A$2:A563,A563,$F$2:F563,F563)=1))</x:f>
      </x:c>
    </x:row>
    <x:row r="564">
      <x:c r="A564" s="18"/>
      <x:c r="O564" s="15" t="str">
        <x:f>IF(A564="","",--(COUNTIF($A$2:A564,A564)=1))</x:f>
      </x:c>
      <x:c r="P564" s="15" t="str">
        <x:f>IF(A564="","",--(COUNTIFS($A$2:A564,A564,$F$2:F564,F564)=1))</x:f>
      </x:c>
    </x:row>
    <x:row r="565">
      <x:c r="A565" s="18"/>
      <x:c r="O565" s="15" t="str">
        <x:f>IF(A565="","",--(COUNTIF($A$2:A565,A565)=1))</x:f>
      </x:c>
      <x:c r="P565" s="15" t="str">
        <x:f>IF(A565="","",--(COUNTIFS($A$2:A565,A565,$F$2:F565,F565)=1))</x:f>
      </x:c>
    </x:row>
    <x:row r="566">
      <x:c r="A566" s="18"/>
      <x:c r="O566" s="15" t="str">
        <x:f>IF(A566="","",--(COUNTIF($A$2:A566,A566)=1))</x:f>
      </x:c>
      <x:c r="P566" s="15" t="str">
        <x:f>IF(A566="","",--(COUNTIFS($A$2:A566,A566,$F$2:F566,F566)=1))</x:f>
      </x:c>
    </x:row>
    <x:row r="567">
      <x:c r="A567" s="18"/>
      <x:c r="O567" s="15" t="str">
        <x:f>IF(A567="","",--(COUNTIF($A$2:A567,A567)=1))</x:f>
      </x:c>
      <x:c r="P567" s="15" t="str">
        <x:f>IF(A567="","",--(COUNTIFS($A$2:A567,A567,$F$2:F567,F567)=1))</x:f>
      </x:c>
    </x:row>
    <x:row r="568">
      <x:c r="A568" s="18"/>
      <x:c r="O568" s="15" t="str">
        <x:f>IF(A568="","",--(COUNTIF($A$2:A568,A568)=1))</x:f>
      </x:c>
      <x:c r="P568" s="15" t="str">
        <x:f>IF(A568="","",--(COUNTIFS($A$2:A568,A568,$F$2:F568,F568)=1))</x:f>
      </x:c>
    </x:row>
    <x:row r="569">
      <x:c r="A569" s="18"/>
      <x:c r="O569" s="15" t="str">
        <x:f>IF(A569="","",--(COUNTIF($A$2:A569,A569)=1))</x:f>
      </x:c>
      <x:c r="P569" s="15" t="str">
        <x:f>IF(A569="","",--(COUNTIFS($A$2:A569,A569,$F$2:F569,F569)=1))</x:f>
      </x:c>
    </x:row>
    <x:row r="570">
      <x:c r="A570" s="18"/>
      <x:c r="O570" s="15" t="str">
        <x:f>IF(A570="","",--(COUNTIF($A$2:A570,A570)=1))</x:f>
      </x:c>
      <x:c r="P570" s="15" t="str">
        <x:f>IF(A570="","",--(COUNTIFS($A$2:A570,A570,$F$2:F570,F570)=1))</x:f>
      </x:c>
    </x:row>
    <x:row r="571">
      <x:c r="A571" s="18"/>
      <x:c r="O571" s="15" t="str">
        <x:f>IF(A571="","",--(COUNTIF($A$2:A571,A571)=1))</x:f>
      </x:c>
      <x:c r="P571" s="15" t="str">
        <x:f>IF(A571="","",--(COUNTIFS($A$2:A571,A571,$F$2:F571,F571)=1))</x:f>
      </x:c>
    </x:row>
    <x:row r="572">
      <x:c r="A572" s="18"/>
      <x:c r="O572" s="15" t="str">
        <x:f>IF(A572="","",--(COUNTIF($A$2:A572,A572)=1))</x:f>
      </x:c>
      <x:c r="P572" s="15" t="str">
        <x:f>IF(A572="","",--(COUNTIFS($A$2:A572,A572,$F$2:F572,F572)=1))</x:f>
      </x:c>
    </x:row>
    <x:row r="573">
      <x:c r="A573" s="18"/>
      <x:c r="O573" s="15" t="str">
        <x:f>IF(A573="","",--(COUNTIF($A$2:A573,A573)=1))</x:f>
      </x:c>
      <x:c r="P573" s="15" t="str">
        <x:f>IF(A573="","",--(COUNTIFS($A$2:A573,A573,$F$2:F573,F573)=1))</x:f>
      </x:c>
    </x:row>
    <x:row r="574">
      <x:c r="A574" s="18"/>
      <x:c r="O574" s="15" t="str">
        <x:f>IF(A574="","",--(COUNTIF($A$2:A574,A574)=1))</x:f>
      </x:c>
      <x:c r="P574" s="15" t="str">
        <x:f>IF(A574="","",--(COUNTIFS($A$2:A574,A574,$F$2:F574,F574)=1))</x:f>
      </x:c>
    </x:row>
    <x:row r="575">
      <x:c r="A575" s="18"/>
      <x:c r="O575" s="15" t="str">
        <x:f>IF(A575="","",--(COUNTIF($A$2:A575,A575)=1))</x:f>
      </x:c>
      <x:c r="P575" s="15" t="str">
        <x:f>IF(A575="","",--(COUNTIFS($A$2:A575,A575,$F$2:F575,F575)=1))</x:f>
      </x:c>
    </x:row>
    <x:row r="576">
      <x:c r="A576" s="18"/>
      <x:c r="O576" s="15" t="str">
        <x:f>IF(A576="","",--(COUNTIF($A$2:A576,A576)=1))</x:f>
      </x:c>
      <x:c r="P576" s="15" t="str">
        <x:f>IF(A576="","",--(COUNTIFS($A$2:A576,A576,$F$2:F576,F576)=1))</x:f>
      </x:c>
    </x:row>
    <x:row r="577">
      <x:c r="A577" s="18"/>
      <x:c r="O577" s="15" t="str">
        <x:f>IF(A577="","",--(COUNTIF($A$2:A577,A577)=1))</x:f>
      </x:c>
      <x:c r="P577" s="15" t="str">
        <x:f>IF(A577="","",--(COUNTIFS($A$2:A577,A577,$F$2:F577,F577)=1))</x:f>
      </x:c>
    </x:row>
    <x:row r="578">
      <x:c r="A578" s="18"/>
      <x:c r="O578" s="15" t="str">
        <x:f>IF(A578="","",--(COUNTIF($A$2:A578,A578)=1))</x:f>
      </x:c>
      <x:c r="P578" s="15" t="str">
        <x:f>IF(A578="","",--(COUNTIFS($A$2:A578,A578,$F$2:F578,F578)=1))</x:f>
      </x:c>
    </x:row>
    <x:row r="579">
      <x:c r="A579" s="18"/>
      <x:c r="O579" s="15" t="str">
        <x:f>IF(A579="","",--(COUNTIF($A$2:A579,A579)=1))</x:f>
      </x:c>
      <x:c r="P579" s="15" t="str">
        <x:f>IF(A579="","",--(COUNTIFS($A$2:A579,A579,$F$2:F579,F579)=1))</x:f>
      </x:c>
    </x:row>
    <x:row r="580">
      <x:c r="A580" s="18"/>
      <x:c r="O580" s="15" t="str">
        <x:f>IF(A580="","",--(COUNTIF($A$2:A580,A580)=1))</x:f>
      </x:c>
      <x:c r="P580" s="15" t="str">
        <x:f>IF(A580="","",--(COUNTIFS($A$2:A580,A580,$F$2:F580,F580)=1))</x:f>
      </x:c>
    </x:row>
    <x:row r="581">
      <x:c r="A581" s="18"/>
      <x:c r="O581" s="15" t="str">
        <x:f>IF(A581="","",--(COUNTIF($A$2:A581,A581)=1))</x:f>
      </x:c>
      <x:c r="P581" s="15" t="str">
        <x:f>IF(A581="","",--(COUNTIFS($A$2:A581,A581,$F$2:F581,F581)=1))</x:f>
      </x:c>
    </x:row>
    <x:row r="582">
      <x:c r="A582" s="18"/>
      <x:c r="O582" s="15" t="str">
        <x:f>IF(A582="","",--(COUNTIF($A$2:A582,A582)=1))</x:f>
      </x:c>
      <x:c r="P582" s="15" t="str">
        <x:f>IF(A582="","",--(COUNTIFS($A$2:A582,A582,$F$2:F582,F582)=1))</x:f>
      </x:c>
    </x:row>
    <x:row r="583">
      <x:c r="A583" s="18"/>
      <x:c r="O583" s="15" t="str">
        <x:f>IF(A583="","",--(COUNTIF($A$2:A583,A583)=1))</x:f>
      </x:c>
      <x:c r="P583" s="15" t="str">
        <x:f>IF(A583="","",--(COUNTIFS($A$2:A583,A583,$F$2:F583,F583)=1))</x:f>
      </x:c>
    </x:row>
    <x:row r="584">
      <x:c r="A584" s="18"/>
      <x:c r="O584" s="15" t="str">
        <x:f>IF(A584="","",--(COUNTIF($A$2:A584,A584)=1))</x:f>
      </x:c>
      <x:c r="P584" s="15" t="str">
        <x:f>IF(A584="","",--(COUNTIFS($A$2:A584,A584,$F$2:F584,F584)=1))</x:f>
      </x:c>
    </x:row>
    <x:row r="585">
      <x:c r="A585" s="18"/>
      <x:c r="O585" s="15" t="str">
        <x:f>IF(A585="","",--(COUNTIF($A$2:A585,A585)=1))</x:f>
      </x:c>
      <x:c r="P585" s="15" t="str">
        <x:f>IF(A585="","",--(COUNTIFS($A$2:A585,A585,$F$2:F585,F585)=1))</x:f>
      </x:c>
    </x:row>
    <x:row r="586">
      <x:c r="A586" s="18"/>
      <x:c r="O586" s="15" t="str">
        <x:f>IF(A586="","",--(COUNTIF($A$2:A586,A586)=1))</x:f>
      </x:c>
      <x:c r="P586" s="15" t="str">
        <x:f>IF(A586="","",--(COUNTIFS($A$2:A586,A586,$F$2:F586,F586)=1))</x:f>
      </x:c>
    </x:row>
    <x:row r="587">
      <x:c r="A587" s="18"/>
      <x:c r="O587" s="15" t="str">
        <x:f>IF(A587="","",--(COUNTIF($A$2:A587,A587)=1))</x:f>
      </x:c>
      <x:c r="P587" s="15" t="str">
        <x:f>IF(A587="","",--(COUNTIFS($A$2:A587,A587,$F$2:F587,F587)=1))</x:f>
      </x:c>
    </x:row>
    <x:row r="588">
      <x:c r="A588" s="18"/>
      <x:c r="O588" s="15" t="str">
        <x:f>IF(A588="","",--(COUNTIF($A$2:A588,A588)=1))</x:f>
      </x:c>
      <x:c r="P588" s="15" t="str">
        <x:f>IF(A588="","",--(COUNTIFS($A$2:A588,A588,$F$2:F588,F588)=1))</x:f>
      </x:c>
    </x:row>
    <x:row r="589">
      <x:c r="A589" s="18"/>
      <x:c r="O589" s="15" t="str">
        <x:f>IF(A589="","",--(COUNTIF($A$2:A589,A589)=1))</x:f>
      </x:c>
      <x:c r="P589" s="15" t="str">
        <x:f>IF(A589="","",--(COUNTIFS($A$2:A589,A589,$F$2:F589,F589)=1))</x:f>
      </x:c>
    </x:row>
    <x:row r="590">
      <x:c r="A590" s="18"/>
      <x:c r="O590" s="15" t="str">
        <x:f>IF(A590="","",--(COUNTIF($A$2:A590,A590)=1))</x:f>
      </x:c>
      <x:c r="P590" s="15" t="str">
        <x:f>IF(A590="","",--(COUNTIFS($A$2:A590,A590,$F$2:F590,F590)=1))</x:f>
      </x:c>
    </x:row>
    <x:row r="591">
      <x:c r="A591" s="18"/>
      <x:c r="O591" s="15" t="str">
        <x:f>IF(A591="","",--(COUNTIF($A$2:A591,A591)=1))</x:f>
      </x:c>
      <x:c r="P591" s="15" t="str">
        <x:f>IF(A591="","",--(COUNTIFS($A$2:A591,A591,$F$2:F591,F591)=1))</x:f>
      </x:c>
    </x:row>
    <x:row r="592">
      <x:c r="A592" s="18"/>
      <x:c r="O592" s="15" t="str">
        <x:f>IF(A592="","",--(COUNTIF($A$2:A592,A592)=1))</x:f>
      </x:c>
      <x:c r="P592" s="15" t="str">
        <x:f>IF(A592="","",--(COUNTIFS($A$2:A592,A592,$F$2:F592,F592)=1))</x:f>
      </x:c>
    </x:row>
    <x:row r="593">
      <x:c r="A593" s="18"/>
      <x:c r="O593" s="15" t="str">
        <x:f>IF(A593="","",--(COUNTIF($A$2:A593,A593)=1))</x:f>
      </x:c>
      <x:c r="P593" s="15" t="str">
        <x:f>IF(A593="","",--(COUNTIFS($A$2:A593,A593,$F$2:F593,F593)=1))</x:f>
      </x:c>
    </x:row>
    <x:row r="594">
      <x:c r="A594" s="18"/>
      <x:c r="O594" s="15" t="str">
        <x:f>IF(A594="","",--(COUNTIF($A$2:A594,A594)=1))</x:f>
      </x:c>
      <x:c r="P594" s="15" t="str">
        <x:f>IF(A594="","",--(COUNTIFS($A$2:A594,A594,$F$2:F594,F594)=1))</x:f>
      </x:c>
    </x:row>
    <x:row r="595">
      <x:c r="A595" s="18"/>
      <x:c r="O595" s="15" t="str">
        <x:f>IF(A595="","",--(COUNTIF($A$2:A595,A595)=1))</x:f>
      </x:c>
      <x:c r="P595" s="15" t="str">
        <x:f>IF(A595="","",--(COUNTIFS($A$2:A595,A595,$F$2:F595,F595)=1))</x:f>
      </x:c>
    </x:row>
    <x:row r="596">
      <x:c r="A596" s="18"/>
      <x:c r="O596" s="15" t="str">
        <x:f>IF(A596="","",--(COUNTIF($A$2:A596,A596)=1))</x:f>
      </x:c>
      <x:c r="P596" s="15" t="str">
        <x:f>IF(A596="","",--(COUNTIFS($A$2:A596,A596,$F$2:F596,F596)=1))</x:f>
      </x:c>
    </x:row>
    <x:row r="597">
      <x:c r="A597" s="18"/>
      <x:c r="O597" s="15" t="str">
        <x:f>IF(A597="","",--(COUNTIF($A$2:A597,A597)=1))</x:f>
      </x:c>
      <x:c r="P597" s="15" t="str">
        <x:f>IF(A597="","",--(COUNTIFS($A$2:A597,A597,$F$2:F597,F597)=1))</x:f>
      </x:c>
    </x:row>
    <x:row r="598">
      <x:c r="A598" s="18"/>
      <x:c r="O598" s="15" t="str">
        <x:f>IF(A598="","",--(COUNTIF($A$2:A598,A598)=1))</x:f>
      </x:c>
      <x:c r="P598" s="15" t="str">
        <x:f>IF(A598="","",--(COUNTIFS($A$2:A598,A598,$F$2:F598,F598)=1))</x:f>
      </x:c>
    </x:row>
    <x:row r="599">
      <x:c r="A599" s="18"/>
      <x:c r="O599" s="15" t="str">
        <x:f>IF(A599="","",--(COUNTIF($A$2:A599,A599)=1))</x:f>
      </x:c>
      <x:c r="P599" s="15" t="str">
        <x:f>IF(A599="","",--(COUNTIFS($A$2:A599,A599,$F$2:F599,F599)=1))</x:f>
      </x:c>
    </x:row>
    <x:row r="600">
      <x:c r="A600" s="18"/>
      <x:c r="O600" s="15" t="str">
        <x:f>IF(A600="","",--(COUNTIF($A$2:A600,A600)=1))</x:f>
      </x:c>
      <x:c r="P600" s="15" t="str">
        <x:f>IF(A600="","",--(COUNTIFS($A$2:A600,A600,$F$2:F600,F600)=1))</x:f>
      </x:c>
    </x:row>
  </x:sheetData>
  <x:dataValidations count="4">
    <x:dataValidation type="list" sqref="F2:F600">
      <x:formula1>LISTAS!$B$3:$B$11</x:formula1>
    </x:dataValidation>
    <x:dataValidation type="list" sqref="I2:I600">
      <x:formula1>LISTAS!$D$2:$D$3</x:formula1>
    </x:dataValidation>
    <x:dataValidation type="list" sqref="K2:K600">
      <x:formula1>LISTAS!$C$2:$C$5</x:formula1>
    </x:dataValidation>
    <x:dataValidation type="list" sqref="M2:M600">
      <x:formula1>LISTAS!$E$2:$E$3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2" hidden="0" customWidth="1"/>
    <x:col min="5" max="5" width="23" hidden="0" customWidth="1"/>
    <x:col min="6" max="6" width="24" hidden="0" customWidth="1"/>
    <x:col min="7" max="7" width="12" hidden="0" customWidth="1"/>
    <x:col min="8" max="8" width="27" hidden="0" customWidth="1"/>
    <x:col min="9" max="9" width="18" hidden="0" customWidth="1"/>
    <x:col min="10" max="10" width="34" hidden="0" customWidth="1"/>
    <x:col min="11" max="11" width="19" hidden="0" customWidth="1"/>
    <x:col min="12" max="12" width="18" hidden="0" customWidth="1"/>
    <x:col min="13" max="13" width="17" hidden="0" customWidth="1"/>
    <x:col min="14" max="14" width="42" hidden="0" customWidth="1"/>
    <x:col min="15" max="15" width="14" hidden="0" customWidth="1"/>
    <x:col min="16" max="16" width="14" hidden="0" customWidth="1"/>
  </x:cols>
  <x:sheetData>
    <x:row r="1">
      <x:c r="A1" s="9" t="str">
        <x:v>ID Único Equipe / Agente</x:v>
      </x:c>
      <x:c r="B1" s="9" t="str">
        <x:v>Nome da Equipe</x:v>
      </x:c>
      <x:c r="C1" s="9" t="str">
        <x:v>Nome do Colaborador Líder</x:v>
      </x:c>
      <x:c r="D1" s="9" t="str">
        <x:v>Base de Apoio Enorsul</x:v>
      </x:c>
      <x:c r="E1" s="9" t="str">
        <x:v>Município de Origem</x:v>
      </x:c>
      <x:c r="F1" s="9" t="str">
        <x:v>Polo</x:v>
      </x:c>
      <x:c r="G1" s="9" t="str">
        <x:v>Microrrota</x:v>
      </x:c>
      <x:c r="H1" s="9" t="str">
        <x:v>Município de Atendimento</x:v>
      </x:c>
      <x:c r="I1" s="9" t="str">
        <x:v>Tipo de Equipe</x:v>
      </x:c>
      <x:c r="J1" s="9" t="str">
        <x:v>Habilidades / Serviços Aptos</x:v>
      </x:c>
      <x:c r="K1" s="9" t="str">
        <x:v>Status da Equipe</x:v>
      </x:c>
      <x:c r="L1" s="9" t="str">
        <x:v>Frente Principal</x:v>
      </x:c>
      <x:c r="M1" s="9" t="str">
        <x:v>Veículo Disponível</x:v>
      </x:c>
      <x:c r="N1" s="9" t="str">
        <x:v>Observação</x:v>
      </x:c>
      <x:c r="O1" s="14" t="str">
        <x:v>Conta ID Frente</x:v>
      </x:c>
      <x:c r="P1" s="14" t="str">
        <x:v>Conta ID Polo</x:v>
      </x:c>
    </x:row>
    <x:row r="2">
      <x:c r="A2" s="18" t="str">
        <x:v>HID-01-01-01</x:v>
      </x:c>
      <x:c r="B2" t="str">
        <x:v>Equipe HID-001</x:v>
      </x:c>
      <x:c r="C2" t="str">
        <x:v>Daniel Gomes</x:v>
      </x:c>
      <x:c r="D2" t="str">
        <x:v>Base Recife/RMR</x:v>
      </x:c>
      <x:c r="E2" t="str">
        <x:v>Itapissuma</x:v>
      </x:c>
      <x:c r="F2" t="str">
        <x:v>Recife/RMR</x:v>
      </x:c>
      <x:c r="G2" t="str">
        <x:v>MR01</x:v>
      </x:c>
      <x:c r="H2" t="str">
        <x:v>Itapissuma</x:v>
      </x:c>
      <x:c r="I2" t="str">
        <x:v>Equipe Dupla</x:v>
      </x:c>
      <x:c r="J2" t="str">
        <x:v>Instalação / Substituição de Hidrômetro</x:v>
      </x:c>
      <x:c r="K2" t="str">
        <x:v>Em recrutamento</x:v>
      </x:c>
      <x:c r="L2" t="str">
        <x:v>Hidrometria</x:v>
      </x:c>
      <x:c r="M2" t="str">
        <x:v>Sim</x:v>
      </x:c>
      <x:c r="N2" t="str">
        <x:v>DADO FICTÍCIO – teste do painel; ID repetido em outra microrrota</x:v>
      </x:c>
      <x:c r="O2" s="15" t="n">
        <x:f>IF(A2="","",--(COUNTIF($A$2:A2,A2)=1))</x:f>
        <x:v>1</x:v>
      </x:c>
      <x:c r="P2" s="15" t="n">
        <x:f>IF(A2="","",--(COUNTIFS($A$2:A2,A2,$F$2:F2,F2)=1))</x:f>
        <x:v>1</x:v>
      </x:c>
    </x:row>
    <x:row r="3">
      <x:c r="A3" s="18" t="str">
        <x:v>HID-01-01-01</x:v>
      </x:c>
      <x:c r="B3" t="str">
        <x:v>Equipe HID-001</x:v>
      </x:c>
      <x:c r="C3" t="str">
        <x:v>Daniel Gomes</x:v>
      </x:c>
      <x:c r="D3" t="str">
        <x:v>Base Recife/RMR</x:v>
      </x:c>
      <x:c r="E3" t="str">
        <x:v>Paulista</x:v>
      </x:c>
      <x:c r="F3" t="str">
        <x:v>Recife/RMR</x:v>
      </x:c>
      <x:c r="G3" t="str">
        <x:v>MR02</x:v>
      </x:c>
      <x:c r="H3" t="str">
        <x:v>Paulista</x:v>
      </x:c>
      <x:c r="I3" t="str">
        <x:v>Equipe Dupla</x:v>
      </x:c>
      <x:c r="J3" t="str">
        <x:v>Instalação / Substituição de Hidrômetro</x:v>
      </x:c>
      <x:c r="K3" t="str">
        <x:v>Em recrutamento</x:v>
      </x:c>
      <x:c r="L3" t="str">
        <x:v>Hidrometria</x:v>
      </x:c>
      <x:c r="M3" t="str">
        <x:v>Sim</x:v>
      </x:c>
      <x:c r="N3" t="str">
        <x:v>DADO FICTÍCIO – teste do painel; ID repetido em outra microrrota</x:v>
      </x:c>
      <x:c r="O3" s="15" t="n">
        <x:f>IF(A3="","",--(COUNTIF($A$2:A3,A3)=1))</x:f>
        <x:v>0</x:v>
      </x:c>
      <x:c r="P3" s="15" t="n">
        <x:f>IF(A3="","",--(COUNTIFS($A$2:A3,A3,$F$2:F3,F3)=1))</x:f>
        <x:v>0</x:v>
      </x:c>
    </x:row>
    <x:row r="4">
      <x:c r="A4" s="18" t="str">
        <x:v>HID-01-01-02</x:v>
      </x:c>
      <x:c r="B4" t="str">
        <x:v>Equipe HID-002</x:v>
      </x:c>
      <x:c r="C4" t="str">
        <x:v>Gabriel Pereira</x:v>
      </x:c>
      <x:c r="D4" t="str">
        <x:v>Base Recife/RMR</x:v>
      </x:c>
      <x:c r="E4" t="str">
        <x:v>Paulista</x:v>
      </x:c>
      <x:c r="F4" t="str">
        <x:v>Recife/RMR</x:v>
      </x:c>
      <x:c r="G4" t="str">
        <x:v>MR02</x:v>
      </x:c>
      <x:c r="H4" t="str">
        <x:v>Paulista</x:v>
      </x:c>
      <x:c r="I4" t="str">
        <x:v>Equipe Simples</x:v>
      </x:c>
      <x:c r="J4" t="str">
        <x:v>Instalação / Substituição de Hidrômetro</x:v>
      </x:c>
      <x:c r="K4" t="str">
        <x:v>Em recrutamento</x:v>
      </x:c>
      <x:c r="L4" t="str">
        <x:v>Hidrometria</x:v>
      </x:c>
      <x:c r="M4" t="str">
        <x:v>Não</x:v>
      </x:c>
      <x:c r="N4" t="str">
        <x:v>DADO FICTÍCIO – teste do painel; ID repetido em outra microrrota</x:v>
      </x:c>
      <x:c r="O4" s="15" t="n">
        <x:f>IF(A4="","",--(COUNTIF($A$2:A4,A4)=1))</x:f>
        <x:v>1</x:v>
      </x:c>
      <x:c r="P4" s="15" t="n">
        <x:f>IF(A4="","",--(COUNTIFS($A$2:A4,A4,$F$2:F4,F4)=1))</x:f>
        <x:v>1</x:v>
      </x:c>
    </x:row>
    <x:row r="5">
      <x:c r="A5" s="18" t="str">
        <x:v>HID-01-01-02</x:v>
      </x:c>
      <x:c r="B5" t="str">
        <x:v>Equipe HID-002</x:v>
      </x:c>
      <x:c r="C5" t="str">
        <x:v>Gabriel Pereira</x:v>
      </x:c>
      <x:c r="D5" t="str">
        <x:v>Base Recife/RMR</x:v>
      </x:c>
      <x:c r="E5" t="str">
        <x:v>Camaragibe</x:v>
      </x:c>
      <x:c r="F5" t="str">
        <x:v>Recife/RMR</x:v>
      </x:c>
      <x:c r="G5" t="str">
        <x:v>MR03</x:v>
      </x:c>
      <x:c r="H5" t="str">
        <x:v>Camaragibe</x:v>
      </x:c>
      <x:c r="I5" t="str">
        <x:v>Equipe Simples</x:v>
      </x:c>
      <x:c r="J5" t="str">
        <x:v>Instalação / Substituição de Hidrômetro</x:v>
      </x:c>
      <x:c r="K5" t="str">
        <x:v>Em recrutamento</x:v>
      </x:c>
      <x:c r="L5" t="str">
        <x:v>Hidrometria</x:v>
      </x:c>
      <x:c r="M5" t="str">
        <x:v>Não</x:v>
      </x:c>
      <x:c r="N5" t="str">
        <x:v>DADO FICTÍCIO – teste do painel; ID repetido em outra microrrota</x:v>
      </x:c>
      <x:c r="O5" s="15" t="n">
        <x:f>IF(A5="","",--(COUNTIF($A$2:A5,A5)=1))</x:f>
        <x:v>0</x:v>
      </x:c>
      <x:c r="P5" s="15" t="n">
        <x:f>IF(A5="","",--(COUNTIFS($A$2:A5,A5,$F$2:F5,F5)=1))</x:f>
        <x:v>0</x:v>
      </x:c>
    </x:row>
    <x:row r="6">
      <x:c r="A6" s="18" t="str">
        <x:v>HID-01-02-01</x:v>
      </x:c>
      <x:c r="B6" t="str">
        <x:v>Equipe HID-003</x:v>
      </x:c>
      <x:c r="C6" t="str">
        <x:v>João Teixeira</x:v>
      </x:c>
      <x:c r="D6" t="str">
        <x:v>Base Recife/RMR</x:v>
      </x:c>
      <x:c r="E6" t="str">
        <x:v>Camaragibe</x:v>
      </x:c>
      <x:c r="F6" t="str">
        <x:v>Recife/RMR</x:v>
      </x:c>
      <x:c r="G6" t="str">
        <x:v>MR03</x:v>
      </x:c>
      <x:c r="H6" t="str">
        <x:v>Camaragibe</x:v>
      </x:c>
      <x:c r="I6" t="str">
        <x:v>Equipe Simples</x:v>
      </x:c>
      <x:c r="J6" t="str">
        <x:v>Instalação / Substituição de Hidrômetro</x:v>
      </x:c>
      <x:c r="K6" t="str">
        <x:v>Em contratação</x:v>
      </x:c>
      <x:c r="L6" t="str">
        <x:v>Hidrometria</x:v>
      </x:c>
      <x:c r="M6" t="str">
        <x:v>Sim</x:v>
      </x:c>
      <x:c r="N6" t="str">
        <x:v>DADO FICTÍCIO – teste do painel; ID repetido em outra microrrota</x:v>
      </x:c>
      <x:c r="O6" s="15" t="n">
        <x:f>IF(A6="","",--(COUNTIF($A$2:A6,A6)=1))</x:f>
        <x:v>1</x:v>
      </x:c>
      <x:c r="P6" s="15" t="n">
        <x:f>IF(A6="","",--(COUNTIFS($A$2:A6,A6,$F$2:F6,F6)=1))</x:f>
        <x:v>1</x:v>
      </x:c>
    </x:row>
    <x:row r="7">
      <x:c r="A7" s="18" t="str">
        <x:v>HID-01-02-01</x:v>
      </x:c>
      <x:c r="B7" t="str">
        <x:v>Equipe HID-003</x:v>
      </x:c>
      <x:c r="C7" t="str">
        <x:v>João Teixeira</x:v>
      </x:c>
      <x:c r="D7" t="str">
        <x:v>Base Recife/RMR</x:v>
      </x:c>
      <x:c r="E7" t="str">
        <x:v>Cabo de Santo Agostinho</x:v>
      </x:c>
      <x:c r="F7" t="str">
        <x:v>Recife/RMR</x:v>
      </x:c>
      <x:c r="G7" t="str">
        <x:v>MR04</x:v>
      </x:c>
      <x:c r="H7" t="str">
        <x:v>Cabo de Santo Agostinho</x:v>
      </x:c>
      <x:c r="I7" t="str">
        <x:v>Equipe Simples</x:v>
      </x:c>
      <x:c r="J7" t="str">
        <x:v>Instalação / Substituição de Hidrômetro</x:v>
      </x:c>
      <x:c r="K7" t="str">
        <x:v>Em contratação</x:v>
      </x:c>
      <x:c r="L7" t="str">
        <x:v>Hidrometria</x:v>
      </x:c>
      <x:c r="M7" t="str">
        <x:v>Sim</x:v>
      </x:c>
      <x:c r="N7" t="str">
        <x:v>DADO FICTÍCIO – teste do painel; ID repetido em outra microrrota</x:v>
      </x:c>
      <x:c r="O7" s="15" t="n">
        <x:f>IF(A7="","",--(COUNTIF($A$2:A7,A7)=1))</x:f>
        <x:v>0</x:v>
      </x:c>
      <x:c r="P7" s="15" t="n">
        <x:f>IF(A7="","",--(COUNTIFS($A$2:A7,A7,$F$2:F7,F7)=1))</x:f>
        <x:v>0</x:v>
      </x:c>
    </x:row>
    <x:row r="8">
      <x:c r="A8" s="18" t="str">
        <x:v>HID-01-02-02</x:v>
      </x:c>
      <x:c r="B8" t="str">
        <x:v>Equipe HID-004</x:v>
      </x:c>
      <x:c r="C8" t="str">
        <x:v>Paulo Almeida</x:v>
      </x:c>
      <x:c r="D8" t="str">
        <x:v>Base Recife/RMR</x:v>
      </x:c>
      <x:c r="E8" t="str">
        <x:v>Cabo de Santo Agostinho</x:v>
      </x:c>
      <x:c r="F8" t="str">
        <x:v>Recife/RMR</x:v>
      </x:c>
      <x:c r="G8" t="str">
        <x:v>MR04</x:v>
      </x:c>
      <x:c r="H8" t="str">
        <x:v>Cabo de Santo Agostinho</x:v>
      </x:c>
      <x:c r="I8" t="str">
        <x:v>Equipe Dupla</x:v>
      </x:c>
      <x:c r="J8" t="str">
        <x:v>Instalação / Substituição de Hidrômetro</x:v>
      </x:c>
      <x:c r="K8" t="str">
        <x:v>Em contratação</x:v>
      </x:c>
      <x:c r="L8" t="str">
        <x:v>Hidrometria</x:v>
      </x:c>
      <x:c r="M8" t="str">
        <x:v>Não</x:v>
      </x:c>
      <x:c r="N8" t="str">
        <x:v>DADO FICTÍCIO – teste do painel; ID repetido em outra microrrota</x:v>
      </x:c>
      <x:c r="O8" s="15" t="n">
        <x:f>IF(A8="","",--(COUNTIF($A$2:A8,A8)=1))</x:f>
        <x:v>1</x:v>
      </x:c>
      <x:c r="P8" s="15" t="n">
        <x:f>IF(A8="","",--(COUNTIFS($A$2:A8,A8,$F$2:F8,F8)=1))</x:f>
        <x:v>1</x:v>
      </x:c>
    </x:row>
    <x:row r="9">
      <x:c r="A9" s="18" t="str">
        <x:v>HID-01-02-02</x:v>
      </x:c>
      <x:c r="B9" t="str">
        <x:v>Equipe HID-004</x:v>
      </x:c>
      <x:c r="C9" t="str">
        <x:v>Paulo Almeida</x:v>
      </x:c>
      <x:c r="D9" t="str">
        <x:v>Base Recife/RMR</x:v>
      </x:c>
      <x:c r="E9" t="str">
        <x:v>Itapissuma</x:v>
      </x:c>
      <x:c r="F9" t="str">
        <x:v>Recife/RMR</x:v>
      </x:c>
      <x:c r="G9" t="str">
        <x:v>MR01</x:v>
      </x:c>
      <x:c r="H9" t="str">
        <x:v>Itapissuma</x:v>
      </x:c>
      <x:c r="I9" t="str">
        <x:v>Equipe Dupla</x:v>
      </x:c>
      <x:c r="J9" t="str">
        <x:v>Instalação / Substituição de Hidrômetro</x:v>
      </x:c>
      <x:c r="K9" t="str">
        <x:v>Em contratação</x:v>
      </x:c>
      <x:c r="L9" t="str">
        <x:v>Hidrometria</x:v>
      </x:c>
      <x:c r="M9" t="str">
        <x:v>Não</x:v>
      </x:c>
      <x:c r="N9" t="str">
        <x:v>DADO FICTÍCIO – teste do painel; ID repetido em outra microrrota</x:v>
      </x:c>
      <x:c r="O9" s="15" t="n">
        <x:f>IF(A9="","",--(COUNTIF($A$2:A9,A9)=1))</x:f>
        <x:v>0</x:v>
      </x:c>
      <x:c r="P9" s="15" t="n">
        <x:f>IF(A9="","",--(COUNTIFS($A$2:A9,A9,$F$2:F9,F9)=1))</x:f>
        <x:v>0</x:v>
      </x:c>
    </x:row>
    <x:row r="10">
      <x:c r="A10" s="18" t="str">
        <x:v>HID-01-03-01</x:v>
      </x:c>
      <x:c r="B10" t="str">
        <x:v>Equipe HID-005</x:v>
      </x:c>
      <x:c r="C10" t="str">
        <x:v>Thiago Gomes</x:v>
      </x:c>
      <x:c r="D10" t="str">
        <x:v>Base Recife/RMR</x:v>
      </x:c>
      <x:c r="E10" t="str">
        <x:v>Itapissuma</x:v>
      </x:c>
      <x:c r="F10" t="str">
        <x:v>Recife/RMR</x:v>
      </x:c>
      <x:c r="G10" t="str">
        <x:v>MR01</x:v>
      </x:c>
      <x:c r="H10" t="str">
        <x:v>Itapissuma</x:v>
      </x:c>
      <x:c r="I10" t="str">
        <x:v>Equipe Dupla</x:v>
      </x:c>
      <x:c r="J10" t="str">
        <x:v>Instalação / Substituição de Hidrômetro</x:v>
      </x:c>
      <x:c r="K10" t="str">
        <x:v>Contratada</x:v>
      </x:c>
      <x:c r="L10" t="str">
        <x:v>Hidrometria</x:v>
      </x:c>
      <x:c r="M10" t="str">
        <x:v>Sim</x:v>
      </x:c>
      <x:c r="N10" t="str">
        <x:v>DADO FICTÍCIO – teste do painel; ID repetido em outra microrrota</x:v>
      </x:c>
      <x:c r="O10" s="15" t="n">
        <x:f>IF(A10="","",--(COUNTIF($A$2:A10,A10)=1))</x:f>
        <x:v>1</x:v>
      </x:c>
      <x:c r="P10" s="15" t="n">
        <x:f>IF(A10="","",--(COUNTIFS($A$2:A10,A10,$F$2:F10,F10)=1))</x:f>
        <x:v>1</x:v>
      </x:c>
    </x:row>
    <x:row r="11">
      <x:c r="A11" s="18" t="str">
        <x:v>HID-01-03-01</x:v>
      </x:c>
      <x:c r="B11" t="str">
        <x:v>Equipe HID-005</x:v>
      </x:c>
      <x:c r="C11" t="str">
        <x:v>Thiago Gomes</x:v>
      </x:c>
      <x:c r="D11" t="str">
        <x:v>Base Recife/RMR</x:v>
      </x:c>
      <x:c r="E11" t="str">
        <x:v>Paulista</x:v>
      </x:c>
      <x:c r="F11" t="str">
        <x:v>Recife/RMR</x:v>
      </x:c>
      <x:c r="G11" t="str">
        <x:v>MR02</x:v>
      </x:c>
      <x:c r="H11" t="str">
        <x:v>Paulista</x:v>
      </x:c>
      <x:c r="I11" t="str">
        <x:v>Equipe Dupla</x:v>
      </x:c>
      <x:c r="J11" t="str">
        <x:v>Instalação / Substituição de Hidrômetro</x:v>
      </x:c>
      <x:c r="K11" t="str">
        <x:v>Contratada</x:v>
      </x:c>
      <x:c r="L11" t="str">
        <x:v>Hidrometria</x:v>
      </x:c>
      <x:c r="M11" t="str">
        <x:v>Sim</x:v>
      </x:c>
      <x:c r="N11" t="str">
        <x:v>DADO FICTÍCIO – teste do painel; ID repetido em outra microrrota</x:v>
      </x:c>
      <x:c r="O11" s="15" t="n">
        <x:f>IF(A11="","",--(COUNTIF($A$2:A11,A11)=1))</x:f>
        <x:v>0</x:v>
      </x:c>
      <x:c r="P11" s="15" t="n">
        <x:f>IF(A11="","",--(COUNTIFS($A$2:A11,A11,$F$2:F11,F11)=1))</x:f>
        <x:v>0</x:v>
      </x:c>
    </x:row>
    <x:row r="12">
      <x:c r="A12" s="18" t="str">
        <x:v>HID-01-03-02</x:v>
      </x:c>
      <x:c r="B12" t="str">
        <x:v>Equipe HID-006</x:v>
      </x:c>
      <x:c r="C12" t="str">
        <x:v>Alex Pereira</x:v>
      </x:c>
      <x:c r="D12" t="str">
        <x:v>Base Recife/RMR</x:v>
      </x:c>
      <x:c r="E12" t="str">
        <x:v>Paulista</x:v>
      </x:c>
      <x:c r="F12" t="str">
        <x:v>Recife/RMR</x:v>
      </x:c>
      <x:c r="G12" t="str">
        <x:v>MR02</x:v>
      </x:c>
      <x:c r="H12" t="str">
        <x:v>Paulista</x:v>
      </x:c>
      <x:c r="I12" t="str">
        <x:v>Equipe Simples</x:v>
      </x:c>
      <x:c r="J12" t="str">
        <x:v>Instalação / Substituição de Hidrômetro</x:v>
      </x:c>
      <x:c r="K12" t="str">
        <x:v>Contratada</x:v>
      </x:c>
      <x:c r="L12" t="str">
        <x:v>Hidrometria</x:v>
      </x:c>
      <x:c r="M12" t="str">
        <x:v>Sim</x:v>
      </x:c>
      <x:c r="N12" t="str">
        <x:v>DADO FICTÍCIO – teste do painel; ID repetido em outra microrrota</x:v>
      </x:c>
      <x:c r="O12" s="15" t="n">
        <x:f>IF(A12="","",--(COUNTIF($A$2:A12,A12)=1))</x:f>
        <x:v>1</x:v>
      </x:c>
      <x:c r="P12" s="15" t="n">
        <x:f>IF(A12="","",--(COUNTIFS($A$2:A12,A12,$F$2:F12,F12)=1))</x:f>
        <x:v>1</x:v>
      </x:c>
    </x:row>
    <x:row r="13">
      <x:c r="A13" s="18" t="str">
        <x:v>HID-01-03-02</x:v>
      </x:c>
      <x:c r="B13" t="str">
        <x:v>Equipe HID-006</x:v>
      </x:c>
      <x:c r="C13" t="str">
        <x:v>Alex Pereira</x:v>
      </x:c>
      <x:c r="D13" t="str">
        <x:v>Base Recife/RMR</x:v>
      </x:c>
      <x:c r="E13" t="str">
        <x:v>Camaragibe</x:v>
      </x:c>
      <x:c r="F13" t="str">
        <x:v>Recife/RMR</x:v>
      </x:c>
      <x:c r="G13" t="str">
        <x:v>MR03</x:v>
      </x:c>
      <x:c r="H13" t="str">
        <x:v>Camaragibe</x:v>
      </x:c>
      <x:c r="I13" t="str">
        <x:v>Equipe Simples</x:v>
      </x:c>
      <x:c r="J13" t="str">
        <x:v>Instalação / Substituição de Hidrômetro</x:v>
      </x:c>
      <x:c r="K13" t="str">
        <x:v>Contratada</x:v>
      </x:c>
      <x:c r="L13" t="str">
        <x:v>Hidrometria</x:v>
      </x:c>
      <x:c r="M13" t="str">
        <x:v>Sim</x:v>
      </x:c>
      <x:c r="N13" t="str">
        <x:v>DADO FICTÍCIO – teste do painel; ID repetido em outra microrrota</x:v>
      </x:c>
      <x:c r="O13" s="15" t="n">
        <x:f>IF(A13="","",--(COUNTIF($A$2:A13,A13)=1))</x:f>
        <x:v>0</x:v>
      </x:c>
      <x:c r="P13" s="15" t="n">
        <x:f>IF(A13="","",--(COUNTIFS($A$2:A13,A13,$F$2:F13,F13)=1))</x:f>
        <x:v>0</x:v>
      </x:c>
    </x:row>
    <x:row r="14">
      <x:c r="A14" s="18" t="str">
        <x:v>HID-01-04-01</x:v>
      </x:c>
      <x:c r="B14" t="str">
        <x:v>Equipe HID-007</x:v>
      </x:c>
      <x:c r="C14" t="str">
        <x:v>Bruno Teixeira</x:v>
      </x:c>
      <x:c r="D14" t="str">
        <x:v>Base Recife/RMR</x:v>
      </x:c>
      <x:c r="E14" t="str">
        <x:v>Camaragibe</x:v>
      </x:c>
      <x:c r="F14" t="str">
        <x:v>Recife/RMR</x:v>
      </x:c>
      <x:c r="G14" t="str">
        <x:v>MR03</x:v>
      </x:c>
      <x:c r="H14" t="str">
        <x:v>Camaragibe</x:v>
      </x:c>
      <x:c r="I14" t="str">
        <x:v>Equipe Simples</x:v>
      </x:c>
      <x:c r="J14" t="str">
        <x:v>Instalação / Substituição de Hidrômetro</x:v>
      </x:c>
      <x:c r="K14" t="str">
        <x:v>Mobilizada</x:v>
      </x:c>
      <x:c r="L14" t="str">
        <x:v>Hidrometria</x:v>
      </x:c>
      <x:c r="M14" t="str">
        <x:v>Sim</x:v>
      </x:c>
      <x:c r="N14" t="str">
        <x:v>DADO FICTÍCIO – teste do painel; ID repetido em outra microrrota</x:v>
      </x:c>
      <x:c r="O14" s="15" t="n">
        <x:f>IF(A14="","",--(COUNTIF($A$2:A14,A14)=1))</x:f>
        <x:v>1</x:v>
      </x:c>
      <x:c r="P14" s="15" t="n">
        <x:f>IF(A14="","",--(COUNTIFS($A$2:A14,A14,$F$2:F14,F14)=1))</x:f>
        <x:v>1</x:v>
      </x:c>
    </x:row>
    <x:row r="15">
      <x:c r="A15" s="18" t="str">
        <x:v>HID-01-04-01</x:v>
      </x:c>
      <x:c r="B15" t="str">
        <x:v>Equipe HID-007</x:v>
      </x:c>
      <x:c r="C15" t="str">
        <x:v>Bruno Teixeira</x:v>
      </x:c>
      <x:c r="D15" t="str">
        <x:v>Base Recife/RMR</x:v>
      </x:c>
      <x:c r="E15" t="str">
        <x:v>Cabo de Santo Agostinho</x:v>
      </x:c>
      <x:c r="F15" t="str">
        <x:v>Recife/RMR</x:v>
      </x:c>
      <x:c r="G15" t="str">
        <x:v>MR04</x:v>
      </x:c>
      <x:c r="H15" t="str">
        <x:v>Cabo de Santo Agostinho</x:v>
      </x:c>
      <x:c r="I15" t="str">
        <x:v>Equipe Simples</x:v>
      </x:c>
      <x:c r="J15" t="str">
        <x:v>Instalação / Substituição de Hidrômetro</x:v>
      </x:c>
      <x:c r="K15" t="str">
        <x:v>Mobilizada</x:v>
      </x:c>
      <x:c r="L15" t="str">
        <x:v>Hidrometria</x:v>
      </x:c>
      <x:c r="M15" t="str">
        <x:v>Sim</x:v>
      </x:c>
      <x:c r="N15" t="str">
        <x:v>DADO FICTÍCIO – teste do painel; ID repetido em outra microrrota</x:v>
      </x:c>
      <x:c r="O15" s="15" t="n">
        <x:f>IF(A15="","",--(COUNTIF($A$2:A15,A15)=1))</x:f>
        <x:v>0</x:v>
      </x:c>
      <x:c r="P15" s="15" t="n">
        <x:f>IF(A15="","",--(COUNTIFS($A$2:A15,A15,$F$2:F15,F15)=1))</x:f>
        <x:v>0</x:v>
      </x:c>
    </x:row>
    <x:row r="16">
      <x:c r="A16" s="18" t="str">
        <x:v>HID-01-04-02</x:v>
      </x:c>
      <x:c r="B16" t="str">
        <x:v>Equipe HID-008</x:v>
      </x:c>
      <x:c r="C16" t="str">
        <x:v>Eduardo Almeida</x:v>
      </x:c>
      <x:c r="D16" t="str">
        <x:v>Base Recife/RMR</x:v>
      </x:c>
      <x:c r="E16" t="str">
        <x:v>Cabo de Santo Agostinho</x:v>
      </x:c>
      <x:c r="F16" t="str">
        <x:v>Recife/RMR</x:v>
      </x:c>
      <x:c r="G16" t="str">
        <x:v>MR04</x:v>
      </x:c>
      <x:c r="H16" t="str">
        <x:v>Cabo de Santo Agostinho</x:v>
      </x:c>
      <x:c r="I16" t="str">
        <x:v>Equipe Dupla</x:v>
      </x:c>
      <x:c r="J16" t="str">
        <x:v>Instalação / Substituição de Hidrômetro</x:v>
      </x:c>
      <x:c r="K16" t="str">
        <x:v>Mobilizada</x:v>
      </x:c>
      <x:c r="L16" t="str">
        <x:v>Hidrometria</x:v>
      </x:c>
      <x:c r="M16" t="str">
        <x:v>Sim</x:v>
      </x:c>
      <x:c r="N16" t="str">
        <x:v>DADO FICTÍCIO – teste do painel; ID repetido em outra microrrota</x:v>
      </x:c>
      <x:c r="O16" s="15" t="n">
        <x:f>IF(A16="","",--(COUNTIF($A$2:A16,A16)=1))</x:f>
        <x:v>1</x:v>
      </x:c>
      <x:c r="P16" s="15" t="n">
        <x:f>IF(A16="","",--(COUNTIFS($A$2:A16,A16,$F$2:F16,F16)=1))</x:f>
        <x:v>1</x:v>
      </x:c>
    </x:row>
    <x:row r="17">
      <x:c r="A17" s="18" t="str">
        <x:v>HID-01-04-02</x:v>
      </x:c>
      <x:c r="B17" t="str">
        <x:v>Equipe HID-008</x:v>
      </x:c>
      <x:c r="C17" t="str">
        <x:v>Eduardo Almeida</x:v>
      </x:c>
      <x:c r="D17" t="str">
        <x:v>Base Recife/RMR</x:v>
      </x:c>
      <x:c r="E17" t="str">
        <x:v>Itapissuma</x:v>
      </x:c>
      <x:c r="F17" t="str">
        <x:v>Recife/RMR</x:v>
      </x:c>
      <x:c r="G17" t="str">
        <x:v>MR01</x:v>
      </x:c>
      <x:c r="H17" t="str">
        <x:v>Itapissuma</x:v>
      </x:c>
      <x:c r="I17" t="str">
        <x:v>Equipe Dupla</x:v>
      </x:c>
      <x:c r="J17" t="str">
        <x:v>Instalação / Substituição de Hidrômetro</x:v>
      </x:c>
      <x:c r="K17" t="str">
        <x:v>Mobilizada</x:v>
      </x:c>
      <x:c r="L17" t="str">
        <x:v>Hidrometria</x:v>
      </x:c>
      <x:c r="M17" t="str">
        <x:v>Sim</x:v>
      </x:c>
      <x:c r="N17" t="str">
        <x:v>DADO FICTÍCIO – teste do painel; ID repetido em outra microrrota</x:v>
      </x:c>
      <x:c r="O17" s="15" t="n">
        <x:f>IF(A17="","",--(COUNTIF($A$2:A17,A17)=1))</x:f>
        <x:v>0</x:v>
      </x:c>
      <x:c r="P17" s="15" t="n">
        <x:f>IF(A17="","",--(COUNTIFS($A$2:A17,A17,$F$2:F17,F17)=1))</x:f>
        <x:v>0</x:v>
      </x:c>
    </x:row>
    <x:row r="18">
      <x:c r="A18" s="18" t="str">
        <x:v>HID-02-01-01</x:v>
      </x:c>
      <x:c r="B18" t="str">
        <x:v>Equipe HID-009</x:v>
      </x:c>
      <x:c r="C18" t="str">
        <x:v>Henrique Gomes</x:v>
      </x:c>
      <x:c r="D18" t="str">
        <x:v>Base Carpina</x:v>
      </x:c>
      <x:c r="E18" t="str">
        <x:v>João Alfredo</x:v>
      </x:c>
      <x:c r="F18" t="str">
        <x:v>Carpina</x:v>
      </x:c>
      <x:c r="G18" t="str">
        <x:v>MR03</x:v>
      </x:c>
      <x:c r="H18" t="str">
        <x:v>João Alfredo</x:v>
      </x:c>
      <x:c r="I18" t="str">
        <x:v>Equipe Dupla</x:v>
      </x:c>
      <x:c r="J18" t="str">
        <x:v>Instalação / Substituição de Hidrômetro</x:v>
      </x:c>
      <x:c r="K18" t="str">
        <x:v>Em recrutamento</x:v>
      </x:c>
      <x:c r="L18" t="str">
        <x:v>Hidrometria</x:v>
      </x:c>
      <x:c r="M18" t="str">
        <x:v>Sim</x:v>
      </x:c>
      <x:c r="N18" t="str">
        <x:v>DADO FICTÍCIO – teste do painel; ID repetido em outra microrrota</x:v>
      </x:c>
      <x:c r="O18" s="15" t="n">
        <x:f>IF(A18="","",--(COUNTIF($A$2:A18,A18)=1))</x:f>
        <x:v>1</x:v>
      </x:c>
      <x:c r="P18" s="15" t="n">
        <x:f>IF(A18="","",--(COUNTIFS($A$2:A18,A18,$F$2:F18,F18)=1))</x:f>
        <x:v>1</x:v>
      </x:c>
    </x:row>
    <x:row r="19">
      <x:c r="A19" s="18" t="str">
        <x:v>HID-02-01-01</x:v>
      </x:c>
      <x:c r="B19" t="str">
        <x:v>Equipe HID-009</x:v>
      </x:c>
      <x:c r="C19" t="str">
        <x:v>Henrique Gomes</x:v>
      </x:c>
      <x:c r="D19" t="str">
        <x:v>Base Carpina</x:v>
      </x:c>
      <x:c r="E19" t="str">
        <x:v>Buenos Aires</x:v>
      </x:c>
      <x:c r="F19" t="str">
        <x:v>Carpina</x:v>
      </x:c>
      <x:c r="G19" t="str">
        <x:v>MR04</x:v>
      </x:c>
      <x:c r="H19" t="str">
        <x:v>Buenos Aires</x:v>
      </x:c>
      <x:c r="I19" t="str">
        <x:v>Equipe Dupla</x:v>
      </x:c>
      <x:c r="J19" t="str">
        <x:v>Instalação / Substituição de Hidrômetro</x:v>
      </x:c>
      <x:c r="K19" t="str">
        <x:v>Em recrutamento</x:v>
      </x:c>
      <x:c r="L19" t="str">
        <x:v>Hidrometria</x:v>
      </x:c>
      <x:c r="M19" t="str">
        <x:v>Sim</x:v>
      </x:c>
      <x:c r="N19" t="str">
        <x:v>DADO FICTÍCIO – teste do painel; ID repetido em outra microrrota</x:v>
      </x:c>
      <x:c r="O19" s="15" t="n">
        <x:f>IF(A19="","",--(COUNTIF($A$2:A19,A19)=1))</x:f>
        <x:v>0</x:v>
      </x:c>
      <x:c r="P19" s="15" t="n">
        <x:f>IF(A19="","",--(COUNTIFS($A$2:A19,A19,$F$2:F19,F19)=1))</x:f>
        <x:v>0</x:v>
      </x:c>
    </x:row>
    <x:row r="20">
      <x:c r="A20" s="18" t="str">
        <x:v>HID-02-01-02</x:v>
      </x:c>
      <x:c r="B20" t="str">
        <x:v>Equipe HID-010</x:v>
      </x:c>
      <x:c r="C20" t="str">
        <x:v>Lucas Pereira</x:v>
      </x:c>
      <x:c r="D20" t="str">
        <x:v>Base Carpina</x:v>
      </x:c>
      <x:c r="E20" t="str">
        <x:v>Buenos Aires</x:v>
      </x:c>
      <x:c r="F20" t="str">
        <x:v>Carpina</x:v>
      </x:c>
      <x:c r="G20" t="str">
        <x:v>MR04</x:v>
      </x:c>
      <x:c r="H20" t="str">
        <x:v>Buenos Aires</x:v>
      </x:c>
      <x:c r="I20" t="str">
        <x:v>Equipe Simples</x:v>
      </x:c>
      <x:c r="J20" t="str">
        <x:v>Instalação / Substituição de Hidrômetro</x:v>
      </x:c>
      <x:c r="K20" t="str">
        <x:v>Em recrutamento</x:v>
      </x:c>
      <x:c r="L20" t="str">
        <x:v>Hidrometria</x:v>
      </x:c>
      <x:c r="M20" t="str">
        <x:v>Não</x:v>
      </x:c>
      <x:c r="N20" t="str">
        <x:v>DADO FICTÍCIO – teste do painel; ID repetido em outra microrrota</x:v>
      </x:c>
      <x:c r="O20" s="15" t="n">
        <x:f>IF(A20="","",--(COUNTIF($A$2:A20,A20)=1))</x:f>
        <x:v>1</x:v>
      </x:c>
      <x:c r="P20" s="15" t="n">
        <x:f>IF(A20="","",--(COUNTIFS($A$2:A20,A20,$F$2:F20,F20)=1))</x:f>
        <x:v>1</x:v>
      </x:c>
    </x:row>
    <x:row r="21">
      <x:c r="A21" s="18" t="str">
        <x:v>HID-02-01-02</x:v>
      </x:c>
      <x:c r="B21" t="str">
        <x:v>Equipe HID-010</x:v>
      </x:c>
      <x:c r="C21" t="str">
        <x:v>Lucas Pereira</x:v>
      </x:c>
      <x:c r="D21" t="str">
        <x:v>Base Carpina</x:v>
      </x:c>
      <x:c r="E21" t="str">
        <x:v>Condado</x:v>
      </x:c>
      <x:c r="F21" t="str">
        <x:v>Carpina</x:v>
      </x:c>
      <x:c r="G21" t="str">
        <x:v>MR05</x:v>
      </x:c>
      <x:c r="H21" t="str">
        <x:v>Condado</x:v>
      </x:c>
      <x:c r="I21" t="str">
        <x:v>Equipe Simples</x:v>
      </x:c>
      <x:c r="J21" t="str">
        <x:v>Instalação / Substituição de Hidrômetro</x:v>
      </x:c>
      <x:c r="K21" t="str">
        <x:v>Em recrutamento</x:v>
      </x:c>
      <x:c r="L21" t="str">
        <x:v>Hidrometria</x:v>
      </x:c>
      <x:c r="M21" t="str">
        <x:v>Não</x:v>
      </x:c>
      <x:c r="N21" t="str">
        <x:v>DADO FICTÍCIO – teste do painel; ID repetido em outra microrrota</x:v>
      </x:c>
      <x:c r="O21" s="15" t="n">
        <x:f>IF(A21="","",--(COUNTIF($A$2:A21,A21)=1))</x:f>
        <x:v>0</x:v>
      </x:c>
      <x:c r="P21" s="15" t="n">
        <x:f>IF(A21="","",--(COUNTIFS($A$2:A21,A21,$F$2:F21,F21)=1))</x:f>
        <x:v>0</x:v>
      </x:c>
    </x:row>
    <x:row r="22">
      <x:c r="A22" s="18" t="str">
        <x:v>HID-02-02-01</x:v>
      </x:c>
      <x:c r="B22" t="str">
        <x:v>Equipe HID-011</x:v>
      </x:c>
      <x:c r="C22" t="str">
        <x:v>Rafael Teixeira</x:v>
      </x:c>
      <x:c r="D22" t="str">
        <x:v>Base Carpina</x:v>
      </x:c>
      <x:c r="E22" t="str">
        <x:v>Condado</x:v>
      </x:c>
      <x:c r="F22" t="str">
        <x:v>Carpina</x:v>
      </x:c>
      <x:c r="G22" t="str">
        <x:v>MR05</x:v>
      </x:c>
      <x:c r="H22" t="str">
        <x:v>Condado</x:v>
      </x:c>
      <x:c r="I22" t="str">
        <x:v>Equipe Simples</x:v>
      </x:c>
      <x:c r="J22" t="str">
        <x:v>Instalação / Substituição de Hidrômetro</x:v>
      </x:c>
      <x:c r="K22" t="str">
        <x:v>Em contratação</x:v>
      </x:c>
      <x:c r="L22" t="str">
        <x:v>Hidrometria</x:v>
      </x:c>
      <x:c r="M22" t="str">
        <x:v>Sim</x:v>
      </x:c>
      <x:c r="N22" t="str">
        <x:v>DADO FICTÍCIO – teste do painel; ID repetido em outra microrrota</x:v>
      </x:c>
      <x:c r="O22" s="15" t="n">
        <x:f>IF(A22="","",--(COUNTIF($A$2:A22,A22)=1))</x:f>
        <x:v>1</x:v>
      </x:c>
      <x:c r="P22" s="15" t="n">
        <x:f>IF(A22="","",--(COUNTIFS($A$2:A22,A22,$F$2:F22,F22)=1))</x:f>
        <x:v>1</x:v>
      </x:c>
    </x:row>
    <x:row r="23">
      <x:c r="A23" s="18" t="str">
        <x:v>HID-02-02-01</x:v>
      </x:c>
      <x:c r="B23" t="str">
        <x:v>Equipe HID-011</x:v>
      </x:c>
      <x:c r="C23" t="str">
        <x:v>Rafael Teixeira</x:v>
      </x:c>
      <x:c r="D23" t="str">
        <x:v>Base Carpina</x:v>
      </x:c>
      <x:c r="E23" t="str">
        <x:v>Timbaúba</x:v>
      </x:c>
      <x:c r="F23" t="str">
        <x:v>Carpina</x:v>
      </x:c>
      <x:c r="G23" t="str">
        <x:v>MR06</x:v>
      </x:c>
      <x:c r="H23" t="str">
        <x:v>Timbaúba</x:v>
      </x:c>
      <x:c r="I23" t="str">
        <x:v>Equipe Simples</x:v>
      </x:c>
      <x:c r="J23" t="str">
        <x:v>Instalação / Substituição de Hidrômetro</x:v>
      </x:c>
      <x:c r="K23" t="str">
        <x:v>Em contratação</x:v>
      </x:c>
      <x:c r="L23" t="str">
        <x:v>Hidrometria</x:v>
      </x:c>
      <x:c r="M23" t="str">
        <x:v>Sim</x:v>
      </x:c>
      <x:c r="N23" t="str">
        <x:v>DADO FICTÍCIO – teste do painel; ID repetido em outra microrrota</x:v>
      </x:c>
      <x:c r="O23" s="15" t="n">
        <x:f>IF(A23="","",--(COUNTIF($A$2:A23,A23)=1))</x:f>
        <x:v>0</x:v>
      </x:c>
      <x:c r="P23" s="15" t="n">
        <x:f>IF(A23="","",--(COUNTIFS($A$2:A23,A23,$F$2:F23,F23)=1))</x:f>
        <x:v>0</x:v>
      </x:c>
    </x:row>
    <x:row r="24">
      <x:c r="A24" s="18" t="str">
        <x:v>HID-02-02-02</x:v>
      </x:c>
      <x:c r="B24" t="str">
        <x:v>Equipe HID-012</x:v>
      </x:c>
      <x:c r="C24" t="str">
        <x:v>Vinícius Almeida</x:v>
      </x:c>
      <x:c r="D24" t="str">
        <x:v>Base Carpina</x:v>
      </x:c>
      <x:c r="E24" t="str">
        <x:v>Timbaúba</x:v>
      </x:c>
      <x:c r="F24" t="str">
        <x:v>Carpina</x:v>
      </x:c>
      <x:c r="G24" t="str">
        <x:v>MR06</x:v>
      </x:c>
      <x:c r="H24" t="str">
        <x:v>Timbaúba</x:v>
      </x:c>
      <x:c r="I24" t="str">
        <x:v>Equipe Dupla</x:v>
      </x:c>
      <x:c r="J24" t="str">
        <x:v>Instalação / Substituição de Hidrômetro</x:v>
      </x:c>
      <x:c r="K24" t="str">
        <x:v>Em contratação</x:v>
      </x:c>
      <x:c r="L24" t="str">
        <x:v>Hidrometria</x:v>
      </x:c>
      <x:c r="M24" t="str">
        <x:v>Não</x:v>
      </x:c>
      <x:c r="N24" t="str">
        <x:v>DADO FICTÍCIO – teste do painel; ID repetido em outra microrrota</x:v>
      </x:c>
      <x:c r="O24" s="15" t="n">
        <x:f>IF(A24="","",--(COUNTIF($A$2:A24,A24)=1))</x:f>
        <x:v>1</x:v>
      </x:c>
      <x:c r="P24" s="15" t="n">
        <x:f>IF(A24="","",--(COUNTIFS($A$2:A24,A24,$F$2:F24,F24)=1))</x:f>
        <x:v>1</x:v>
      </x:c>
    </x:row>
    <x:row r="25">
      <x:c r="A25" s="18" t="str">
        <x:v>HID-02-02-02</x:v>
      </x:c>
      <x:c r="B25" t="str">
        <x:v>Equipe HID-012</x:v>
      </x:c>
      <x:c r="C25" t="str">
        <x:v>Vinícius Almeida</x:v>
      </x:c>
      <x:c r="D25" t="str">
        <x:v>Base Carpina</x:v>
      </x:c>
      <x:c r="E25" t="str">
        <x:v>Carpina</x:v>
      </x:c>
      <x:c r="F25" t="str">
        <x:v>Carpina</x:v>
      </x:c>
      <x:c r="G25" t="str">
        <x:v>MR01</x:v>
      </x:c>
      <x:c r="H25" t="str">
        <x:v>Carpina</x:v>
      </x:c>
      <x:c r="I25" t="str">
        <x:v>Equipe Dupla</x:v>
      </x:c>
      <x:c r="J25" t="str">
        <x:v>Instalação / Substituição de Hidrômetro</x:v>
      </x:c>
      <x:c r="K25" t="str">
        <x:v>Em contratação</x:v>
      </x:c>
      <x:c r="L25" t="str">
        <x:v>Hidrometria</x:v>
      </x:c>
      <x:c r="M25" t="str">
        <x:v>Não</x:v>
      </x:c>
      <x:c r="N25" t="str">
        <x:v>DADO FICTÍCIO – teste do painel; ID repetido em outra microrrota</x:v>
      </x:c>
      <x:c r="O25" s="15" t="n">
        <x:f>IF(A25="","",--(COUNTIF($A$2:A25,A25)=1))</x:f>
        <x:v>0</x:v>
      </x:c>
      <x:c r="P25" s="15" t="n">
        <x:f>IF(A25="","",--(COUNTIFS($A$2:A25,A25,$F$2:F25,F25)=1))</x:f>
        <x:v>0</x:v>
      </x:c>
    </x:row>
    <x:row r="26">
      <x:c r="A26" s="18" t="str">
        <x:v>HID-02-03-01</x:v>
      </x:c>
      <x:c r="B26" t="str">
        <x:v>Equipe HID-013</x:v>
      </x:c>
      <x:c r="C26" t="str">
        <x:v>Diego Gomes</x:v>
      </x:c>
      <x:c r="D26" t="str">
        <x:v>Base Carpina</x:v>
      </x:c>
      <x:c r="E26" t="str">
        <x:v>Carpina</x:v>
      </x:c>
      <x:c r="F26" t="str">
        <x:v>Carpina</x:v>
      </x:c>
      <x:c r="G26" t="str">
        <x:v>MR01</x:v>
      </x:c>
      <x:c r="H26" t="str">
        <x:v>Carpina</x:v>
      </x:c>
      <x:c r="I26" t="str">
        <x:v>Equipe Dupla</x:v>
      </x:c>
      <x:c r="J26" t="str">
        <x:v>Instalação / Substituição de Hidrômetro</x:v>
      </x:c>
      <x:c r="K26" t="str">
        <x:v>Contratada</x:v>
      </x:c>
      <x:c r="L26" t="str">
        <x:v>Hidrometria</x:v>
      </x:c>
      <x:c r="M26" t="str">
        <x:v>Sim</x:v>
      </x:c>
      <x:c r="N26" t="str">
        <x:v>DADO FICTÍCIO – teste do painel; ID repetido em outra microrrota</x:v>
      </x:c>
      <x:c r="O26" s="15" t="n">
        <x:f>IF(A26="","",--(COUNTIF($A$2:A26,A26)=1))</x:f>
        <x:v>1</x:v>
      </x:c>
      <x:c r="P26" s="15" t="n">
        <x:f>IF(A26="","",--(COUNTIFS($A$2:A26,A26,$F$2:F26,F26)=1))</x:f>
        <x:v>1</x:v>
      </x:c>
    </x:row>
    <x:row r="27">
      <x:c r="A27" s="18" t="str">
        <x:v>HID-02-03-01</x:v>
      </x:c>
      <x:c r="B27" t="str">
        <x:v>Equipe HID-013</x:v>
      </x:c>
      <x:c r="C27" t="str">
        <x:v>Diego Gomes</x:v>
      </x:c>
      <x:c r="D27" t="str">
        <x:v>Base Carpina</x:v>
      </x:c>
      <x:c r="E27" t="str">
        <x:v>Chã de Alegria</x:v>
      </x:c>
      <x:c r="F27" t="str">
        <x:v>Carpina</x:v>
      </x:c>
      <x:c r="G27" t="str">
        <x:v>MR02</x:v>
      </x:c>
      <x:c r="H27" t="str">
        <x:v>Chã de Alegria</x:v>
      </x:c>
      <x:c r="I27" t="str">
        <x:v>Equipe Dupla</x:v>
      </x:c>
      <x:c r="J27" t="str">
        <x:v>Instalação / Substituição de Hidrômetro</x:v>
      </x:c>
      <x:c r="K27" t="str">
        <x:v>Contratada</x:v>
      </x:c>
      <x:c r="L27" t="str">
        <x:v>Hidrometria</x:v>
      </x:c>
      <x:c r="M27" t="str">
        <x:v>Sim</x:v>
      </x:c>
      <x:c r="N27" t="str">
        <x:v>DADO FICTÍCIO – teste do painel; ID repetido em outra microrrota</x:v>
      </x:c>
      <x:c r="O27" s="15" t="n">
        <x:f>IF(A27="","",--(COUNTIF($A$2:A27,A27)=1))</x:f>
        <x:v>0</x:v>
      </x:c>
      <x:c r="P27" s="15" t="n">
        <x:f>IF(A27="","",--(COUNTIFS($A$2:A27,A27,$F$2:F27,F27)=1))</x:f>
        <x:v>0</x:v>
      </x:c>
    </x:row>
    <x:row r="28">
      <x:c r="A28" s="18" t="str">
        <x:v>HID-02-03-02</x:v>
      </x:c>
      <x:c r="B28" t="str">
        <x:v>Equipe HID-014</x:v>
      </x:c>
      <x:c r="C28" t="str">
        <x:v>Carlos Pereira</x:v>
      </x:c>
      <x:c r="D28" t="str">
        <x:v>Base Carpina</x:v>
      </x:c>
      <x:c r="E28" t="str">
        <x:v>Chã de Alegria</x:v>
      </x:c>
      <x:c r="F28" t="str">
        <x:v>Carpina</x:v>
      </x:c>
      <x:c r="G28" t="str">
        <x:v>MR02</x:v>
      </x:c>
      <x:c r="H28" t="str">
        <x:v>Chã de Alegria</x:v>
      </x:c>
      <x:c r="I28" t="str">
        <x:v>Equipe Simples</x:v>
      </x:c>
      <x:c r="J28" t="str">
        <x:v>Instalação / Substituição de Hidrômetro</x:v>
      </x:c>
      <x:c r="K28" t="str">
        <x:v>Contratada</x:v>
      </x:c>
      <x:c r="L28" t="str">
        <x:v>Hidrometria</x:v>
      </x:c>
      <x:c r="M28" t="str">
        <x:v>Sim</x:v>
      </x:c>
      <x:c r="N28" t="str">
        <x:v>DADO FICTÍCIO – teste do painel; ID repetido em outra microrrota</x:v>
      </x:c>
      <x:c r="O28" s="15" t="n">
        <x:f>IF(A28="","",--(COUNTIF($A$2:A28,A28)=1))</x:f>
        <x:v>1</x:v>
      </x:c>
      <x:c r="P28" s="15" t="n">
        <x:f>IF(A28="","",--(COUNTIFS($A$2:A28,A28,$F$2:F28,F28)=1))</x:f>
        <x:v>1</x:v>
      </x:c>
    </x:row>
    <x:row r="29">
      <x:c r="A29" s="18" t="str">
        <x:v>HID-02-03-02</x:v>
      </x:c>
      <x:c r="B29" t="str">
        <x:v>Equipe HID-014</x:v>
      </x:c>
      <x:c r="C29" t="str">
        <x:v>Carlos Pereira</x:v>
      </x:c>
      <x:c r="D29" t="str">
        <x:v>Base Carpina</x:v>
      </x:c>
      <x:c r="E29" t="str">
        <x:v>João Alfredo</x:v>
      </x:c>
      <x:c r="F29" t="str">
        <x:v>Carpina</x:v>
      </x:c>
      <x:c r="G29" t="str">
        <x:v>MR03</x:v>
      </x:c>
      <x:c r="H29" t="str">
        <x:v>João Alfredo</x:v>
      </x:c>
      <x:c r="I29" t="str">
        <x:v>Equipe Simples</x:v>
      </x:c>
      <x:c r="J29" t="str">
        <x:v>Instalação / Substituição de Hidrômetro</x:v>
      </x:c>
      <x:c r="K29" t="str">
        <x:v>Contratada</x:v>
      </x:c>
      <x:c r="L29" t="str">
        <x:v>Hidrometria</x:v>
      </x:c>
      <x:c r="M29" t="str">
        <x:v>Sim</x:v>
      </x:c>
      <x:c r="N29" t="str">
        <x:v>DADO FICTÍCIO – teste do painel; ID repetido em outra microrrota</x:v>
      </x:c>
      <x:c r="O29" s="15" t="n">
        <x:f>IF(A29="","",--(COUNTIF($A$2:A29,A29)=1))</x:f>
        <x:v>0</x:v>
      </x:c>
      <x:c r="P29" s="15" t="n">
        <x:f>IF(A29="","",--(COUNTIFS($A$2:A29,A29,$F$2:F29,F29)=1))</x:f>
        <x:v>0</x:v>
      </x:c>
    </x:row>
    <x:row r="30">
      <x:c r="A30" s="18" t="str">
        <x:v>HID-02-04-01</x:v>
      </x:c>
      <x:c r="B30" t="str">
        <x:v>Equipe HID-015</x:v>
      </x:c>
      <x:c r="C30" t="str">
        <x:v>Felipe Teixeira</x:v>
      </x:c>
      <x:c r="D30" t="str">
        <x:v>Base Carpina</x:v>
      </x:c>
      <x:c r="E30" t="str">
        <x:v>João Alfredo</x:v>
      </x:c>
      <x:c r="F30" t="str">
        <x:v>Carpina</x:v>
      </x:c>
      <x:c r="G30" t="str">
        <x:v>MR03</x:v>
      </x:c>
      <x:c r="H30" t="str">
        <x:v>João Alfredo</x:v>
      </x:c>
      <x:c r="I30" t="str">
        <x:v>Equipe Simples</x:v>
      </x:c>
      <x:c r="J30" t="str">
        <x:v>Instalação / Substituição de Hidrômetro</x:v>
      </x:c>
      <x:c r="K30" t="str">
        <x:v>Mobilizada</x:v>
      </x:c>
      <x:c r="L30" t="str">
        <x:v>Hidrometria</x:v>
      </x:c>
      <x:c r="M30" t="str">
        <x:v>Sim</x:v>
      </x:c>
      <x:c r="N30" t="str">
        <x:v>DADO FICTÍCIO – teste do painel; ID repetido em outra microrrota</x:v>
      </x:c>
      <x:c r="O30" s="15" t="n">
        <x:f>IF(A30="","",--(COUNTIF($A$2:A30,A30)=1))</x:f>
        <x:v>1</x:v>
      </x:c>
      <x:c r="P30" s="15" t="n">
        <x:f>IF(A30="","",--(COUNTIFS($A$2:A30,A30,$F$2:F30,F30)=1))</x:f>
        <x:v>1</x:v>
      </x:c>
    </x:row>
    <x:row r="31">
      <x:c r="A31" s="18" t="str">
        <x:v>HID-02-04-01</x:v>
      </x:c>
      <x:c r="B31" t="str">
        <x:v>Equipe HID-015</x:v>
      </x:c>
      <x:c r="C31" t="str">
        <x:v>Felipe Teixeira</x:v>
      </x:c>
      <x:c r="D31" t="str">
        <x:v>Base Carpina</x:v>
      </x:c>
      <x:c r="E31" t="str">
        <x:v>Buenos Aires</x:v>
      </x:c>
      <x:c r="F31" t="str">
        <x:v>Carpina</x:v>
      </x:c>
      <x:c r="G31" t="str">
        <x:v>MR04</x:v>
      </x:c>
      <x:c r="H31" t="str">
        <x:v>Buenos Aires</x:v>
      </x:c>
      <x:c r="I31" t="str">
        <x:v>Equipe Simples</x:v>
      </x:c>
      <x:c r="J31" t="str">
        <x:v>Instalação / Substituição de Hidrômetro</x:v>
      </x:c>
      <x:c r="K31" t="str">
        <x:v>Mobilizada</x:v>
      </x:c>
      <x:c r="L31" t="str">
        <x:v>Hidrometria</x:v>
      </x:c>
      <x:c r="M31" t="str">
        <x:v>Sim</x:v>
      </x:c>
      <x:c r="N31" t="str">
        <x:v>DADO FICTÍCIO – teste do painel; ID repetido em outra microrrota</x:v>
      </x:c>
      <x:c r="O31" s="15" t="n">
        <x:f>IF(A31="","",--(COUNTIF($A$2:A31,A31)=1))</x:f>
        <x:v>0</x:v>
      </x:c>
      <x:c r="P31" s="15" t="n">
        <x:f>IF(A31="","",--(COUNTIFS($A$2:A31,A31,$F$2:F31,F31)=1))</x:f>
        <x:v>0</x:v>
      </x:c>
    </x:row>
    <x:row r="32">
      <x:c r="A32" s="18" t="str">
        <x:v>HID-02-04-02</x:v>
      </x:c>
      <x:c r="B32" t="str">
        <x:v>Equipe HID-016</x:v>
      </x:c>
      <x:c r="C32" t="str">
        <x:v>Igor Almeida</x:v>
      </x:c>
      <x:c r="D32" t="str">
        <x:v>Base Carpina</x:v>
      </x:c>
      <x:c r="E32" t="str">
        <x:v>Buenos Aires</x:v>
      </x:c>
      <x:c r="F32" t="str">
        <x:v>Carpina</x:v>
      </x:c>
      <x:c r="G32" t="str">
        <x:v>MR04</x:v>
      </x:c>
      <x:c r="H32" t="str">
        <x:v>Buenos Aires</x:v>
      </x:c>
      <x:c r="I32" t="str">
        <x:v>Equipe Dupla</x:v>
      </x:c>
      <x:c r="J32" t="str">
        <x:v>Instalação / Substituição de Hidrômetro</x:v>
      </x:c>
      <x:c r="K32" t="str">
        <x:v>Mobilizada</x:v>
      </x:c>
      <x:c r="L32" t="str">
        <x:v>Hidrometria</x:v>
      </x:c>
      <x:c r="M32" t="str">
        <x:v>Sim</x:v>
      </x:c>
      <x:c r="N32" t="str">
        <x:v>DADO FICTÍCIO – teste do painel; ID repetido em outra microrrota</x:v>
      </x:c>
      <x:c r="O32" s="15" t="n">
        <x:f>IF(A32="","",--(COUNTIF($A$2:A32,A32)=1))</x:f>
        <x:v>1</x:v>
      </x:c>
      <x:c r="P32" s="15" t="n">
        <x:f>IF(A32="","",--(COUNTIFS($A$2:A32,A32,$F$2:F32,F32)=1))</x:f>
        <x:v>1</x:v>
      </x:c>
    </x:row>
    <x:row r="33">
      <x:c r="A33" s="18" t="str">
        <x:v>HID-02-04-02</x:v>
      </x:c>
      <x:c r="B33" t="str">
        <x:v>Equipe HID-016</x:v>
      </x:c>
      <x:c r="C33" t="str">
        <x:v>Igor Almeida</x:v>
      </x:c>
      <x:c r="D33" t="str">
        <x:v>Base Carpina</x:v>
      </x:c>
      <x:c r="E33" t="str">
        <x:v>Condado</x:v>
      </x:c>
      <x:c r="F33" t="str">
        <x:v>Carpina</x:v>
      </x:c>
      <x:c r="G33" t="str">
        <x:v>MR05</x:v>
      </x:c>
      <x:c r="H33" t="str">
        <x:v>Condado</x:v>
      </x:c>
      <x:c r="I33" t="str">
        <x:v>Equipe Dupla</x:v>
      </x:c>
      <x:c r="J33" t="str">
        <x:v>Instalação / Substituição de Hidrômetro</x:v>
      </x:c>
      <x:c r="K33" t="str">
        <x:v>Mobilizada</x:v>
      </x:c>
      <x:c r="L33" t="str">
        <x:v>Hidrometria</x:v>
      </x:c>
      <x:c r="M33" t="str">
        <x:v>Sim</x:v>
      </x:c>
      <x:c r="N33" t="str">
        <x:v>DADO FICTÍCIO – teste do painel; ID repetido em outra microrrota</x:v>
      </x:c>
      <x:c r="O33" s="15" t="n">
        <x:f>IF(A33="","",--(COUNTIF($A$2:A33,A33)=1))</x:f>
        <x:v>0</x:v>
      </x:c>
      <x:c r="P33" s="15" t="n">
        <x:f>IF(A33="","",--(COUNTIFS($A$2:A33,A33,$F$2:F33,F33)=1))</x:f>
        <x:v>0</x:v>
      </x:c>
    </x:row>
    <x:row r="34">
      <x:c r="A34" s="18" t="str">
        <x:v>HID-03-01-01</x:v>
      </x:c>
      <x:c r="B34" t="str">
        <x:v>Equipe HID-017</x:v>
      </x:c>
      <x:c r="C34" t="str">
        <x:v>Marcos Gomes</x:v>
      </x:c>
      <x:c r="D34" t="str">
        <x:v>Base Vitória de Santo Antão</x:v>
      </x:c>
      <x:c r="E34" t="str">
        <x:v>Primavera</x:v>
      </x:c>
      <x:c r="F34" t="str">
        <x:v>Vitória de Santo Antão</x:v>
      </x:c>
      <x:c r="G34" t="str">
        <x:v>MR02</x:v>
      </x:c>
      <x:c r="H34" t="str">
        <x:v>Primavera</x:v>
      </x:c>
      <x:c r="I34" t="str">
        <x:v>Equipe Dupla</x:v>
      </x:c>
      <x:c r="J34" t="str">
        <x:v>Instalação / Substituição de Hidrômetro</x:v>
      </x:c>
      <x:c r="K34" t="str">
        <x:v>Em recrutamento</x:v>
      </x:c>
      <x:c r="L34" t="str">
        <x:v>Hidrometria</x:v>
      </x:c>
      <x:c r="M34" t="str">
        <x:v>Sim</x:v>
      </x:c>
      <x:c r="N34" t="str">
        <x:v>DADO FICTÍCIO – teste do painel; ID repetido em outra microrrota</x:v>
      </x:c>
      <x:c r="O34" s="15" t="n">
        <x:f>IF(A34="","",--(COUNTIF($A$2:A34,A34)=1))</x:f>
        <x:v>1</x:v>
      </x:c>
      <x:c r="P34" s="15" t="n">
        <x:f>IF(A34="","",--(COUNTIFS($A$2:A34,A34,$F$2:F34,F34)=1))</x:f>
        <x:v>1</x:v>
      </x:c>
    </x:row>
    <x:row r="35">
      <x:c r="A35" s="18" t="str">
        <x:v>HID-03-01-01</x:v>
      </x:c>
      <x:c r="B35" t="str">
        <x:v>Equipe HID-017</x:v>
      </x:c>
      <x:c r="C35" t="str">
        <x:v>Marcos Gomes</x:v>
      </x:c>
      <x:c r="D35" t="str">
        <x:v>Base Vitória de Santo Antão</x:v>
      </x:c>
      <x:c r="E35" t="str">
        <x:v>São José da Coroa Grande</x:v>
      </x:c>
      <x:c r="F35" t="str">
        <x:v>Vitória de Santo Antão</x:v>
      </x:c>
      <x:c r="G35" t="str">
        <x:v>MR03</x:v>
      </x:c>
      <x:c r="H35" t="str">
        <x:v>São José da Coroa Grande</x:v>
      </x:c>
      <x:c r="I35" t="str">
        <x:v>Equipe Dupla</x:v>
      </x:c>
      <x:c r="J35" t="str">
        <x:v>Instalação / Substituição de Hidrômetro</x:v>
      </x:c>
      <x:c r="K35" t="str">
        <x:v>Em recrutamento</x:v>
      </x:c>
      <x:c r="L35" t="str">
        <x:v>Hidrometria</x:v>
      </x:c>
      <x:c r="M35" t="str">
        <x:v>Sim</x:v>
      </x:c>
      <x:c r="N35" t="str">
        <x:v>DADO FICTÍCIO – teste do painel; ID repetido em outra microrrota</x:v>
      </x:c>
      <x:c r="O35" s="15" t="n">
        <x:f>IF(A35="","",--(COUNTIF($A$2:A35,A35)=1))</x:f>
        <x:v>0</x:v>
      </x:c>
      <x:c r="P35" s="15" t="n">
        <x:f>IF(A35="","",--(COUNTIFS($A$2:A35,A35,$F$2:F35,F35)=1))</x:f>
        <x:v>0</x:v>
      </x:c>
    </x:row>
    <x:row r="36">
      <x:c r="A36" s="18" t="str">
        <x:v>HID-03-01-02</x:v>
      </x:c>
      <x:c r="B36" t="str">
        <x:v>Equipe HID-018</x:v>
      </x:c>
      <x:c r="C36" t="str">
        <x:v>Renato Pereira</x:v>
      </x:c>
      <x:c r="D36" t="str">
        <x:v>Base Vitória de Santo Antão</x:v>
      </x:c>
      <x:c r="E36" t="str">
        <x:v>São José da Coroa Grande</x:v>
      </x:c>
      <x:c r="F36" t="str">
        <x:v>Vitória de Santo Antão</x:v>
      </x:c>
      <x:c r="G36" t="str">
        <x:v>MR03</x:v>
      </x:c>
      <x:c r="H36" t="str">
        <x:v>São José da Coroa Grande</x:v>
      </x:c>
      <x:c r="I36" t="str">
        <x:v>Equipe Simples</x:v>
      </x:c>
      <x:c r="J36" t="str">
        <x:v>Instalação / Substituição de Hidrômetro</x:v>
      </x:c>
      <x:c r="K36" t="str">
        <x:v>Em recrutamento</x:v>
      </x:c>
      <x:c r="L36" t="str">
        <x:v>Hidrometria</x:v>
      </x:c>
      <x:c r="M36" t="str">
        <x:v>Não</x:v>
      </x:c>
      <x:c r="N36" t="str">
        <x:v>DADO FICTÍCIO – teste do painel; ID repetido em outra microrrota</x:v>
      </x:c>
      <x:c r="O36" s="15" t="n">
        <x:f>IF(A36="","",--(COUNTIF($A$2:A36,A36)=1))</x:f>
        <x:v>1</x:v>
      </x:c>
      <x:c r="P36" s="15" t="n">
        <x:f>IF(A36="","",--(COUNTIFS($A$2:A36,A36,$F$2:F36,F36)=1))</x:f>
        <x:v>1</x:v>
      </x:c>
    </x:row>
    <x:row r="37">
      <x:c r="A37" s="18" t="str">
        <x:v>HID-03-01-02</x:v>
      </x:c>
      <x:c r="B37" t="str">
        <x:v>Equipe HID-018</x:v>
      </x:c>
      <x:c r="C37" t="str">
        <x:v>Renato Pereira</x:v>
      </x:c>
      <x:c r="D37" t="str">
        <x:v>Base Vitória de Santo Antão</x:v>
      </x:c>
      <x:c r="E37" t="str">
        <x:v>Rio Formoso</x:v>
      </x:c>
      <x:c r="F37" t="str">
        <x:v>Vitória de Santo Antão</x:v>
      </x:c>
      <x:c r="G37" t="str">
        <x:v>MR04</x:v>
      </x:c>
      <x:c r="H37" t="str">
        <x:v>Rio Formoso</x:v>
      </x:c>
      <x:c r="I37" t="str">
        <x:v>Equipe Simples</x:v>
      </x:c>
      <x:c r="J37" t="str">
        <x:v>Instalação / Substituição de Hidrômetro</x:v>
      </x:c>
      <x:c r="K37" t="str">
        <x:v>Em recrutamento</x:v>
      </x:c>
      <x:c r="L37" t="str">
        <x:v>Hidrometria</x:v>
      </x:c>
      <x:c r="M37" t="str">
        <x:v>Não</x:v>
      </x:c>
      <x:c r="N37" t="str">
        <x:v>DADO FICTÍCIO – teste do painel; ID repetido em outra microrrota</x:v>
      </x:c>
      <x:c r="O37" s="15" t="n">
        <x:f>IF(A37="","",--(COUNTIF($A$2:A37,A37)=1))</x:f>
        <x:v>0</x:v>
      </x:c>
      <x:c r="P37" s="15" t="n">
        <x:f>IF(A37="","",--(COUNTIFS($A$2:A37,A37,$F$2:F37,F37)=1))</x:f>
        <x:v>0</x:v>
      </x:c>
    </x:row>
    <x:row r="38">
      <x:c r="A38" s="18" t="str">
        <x:v>HID-03-02-01</x:v>
      </x:c>
      <x:c r="B38" t="str">
        <x:v>Equipe HID-019</x:v>
      </x:c>
      <x:c r="C38" t="str">
        <x:v>Wagner Teixeira</x:v>
      </x:c>
      <x:c r="D38" t="str">
        <x:v>Base Vitória de Santo Antão</x:v>
      </x:c>
      <x:c r="E38" t="str">
        <x:v>Rio Formoso</x:v>
      </x:c>
      <x:c r="F38" t="str">
        <x:v>Vitória de Santo Antão</x:v>
      </x:c>
      <x:c r="G38" t="str">
        <x:v>MR04</x:v>
      </x:c>
      <x:c r="H38" t="str">
        <x:v>Rio Formoso</x:v>
      </x:c>
      <x:c r="I38" t="str">
        <x:v>Equipe Simples</x:v>
      </x:c>
      <x:c r="J38" t="str">
        <x:v>Instalação / Substituição de Hidrômetro</x:v>
      </x:c>
      <x:c r="K38" t="str">
        <x:v>Em contratação</x:v>
      </x:c>
      <x:c r="L38" t="str">
        <x:v>Hidrometria</x:v>
      </x:c>
      <x:c r="M38" t="str">
        <x:v>Sim</x:v>
      </x:c>
      <x:c r="N38" t="str">
        <x:v>DADO FICTÍCIO – teste do painel; ID repetido em outra microrrota</x:v>
      </x:c>
      <x:c r="O38" s="15" t="n">
        <x:f>IF(A38="","",--(COUNTIF($A$2:A38,A38)=1))</x:f>
        <x:v>1</x:v>
      </x:c>
      <x:c r="P38" s="15" t="n">
        <x:f>IF(A38="","",--(COUNTIFS($A$2:A38,A38,$F$2:F38,F38)=1))</x:f>
        <x:v>1</x:v>
      </x:c>
    </x:row>
    <x:row r="39">
      <x:c r="A39" s="18" t="str">
        <x:v>HID-03-02-01</x:v>
      </x:c>
      <x:c r="B39" t="str">
        <x:v>Equipe HID-019</x:v>
      </x:c>
      <x:c r="C39" t="str">
        <x:v>Wagner Teixeira</x:v>
      </x:c>
      <x:c r="D39" t="str">
        <x:v>Base Vitória de Santo Antão</x:v>
      </x:c>
      <x:c r="E39" t="str">
        <x:v>Joaquim Nabuco</x:v>
      </x:c>
      <x:c r="F39" t="str">
        <x:v>Vitória de Santo Antão</x:v>
      </x:c>
      <x:c r="G39" t="str">
        <x:v>MR05</x:v>
      </x:c>
      <x:c r="H39" t="str">
        <x:v>Joaquim Nabuco</x:v>
      </x:c>
      <x:c r="I39" t="str">
        <x:v>Equipe Simples</x:v>
      </x:c>
      <x:c r="J39" t="str">
        <x:v>Instalação / Substituição de Hidrômetro</x:v>
      </x:c>
      <x:c r="K39" t="str">
        <x:v>Em contratação</x:v>
      </x:c>
      <x:c r="L39" t="str">
        <x:v>Hidrometria</x:v>
      </x:c>
      <x:c r="M39" t="str">
        <x:v>Sim</x:v>
      </x:c>
      <x:c r="N39" t="str">
        <x:v>DADO FICTÍCIO – teste do painel; ID repetido em outra microrrota</x:v>
      </x:c>
      <x:c r="O39" s="15" t="n">
        <x:f>IF(A39="","",--(COUNTIF($A$2:A39,A39)=1))</x:f>
        <x:v>0</x:v>
      </x:c>
      <x:c r="P39" s="15" t="n">
        <x:f>IF(A39="","",--(COUNTIFS($A$2:A39,A39,$F$2:F39,F39)=1))</x:f>
        <x:v>0</x:v>
      </x:c>
    </x:row>
    <x:row r="40">
      <x:c r="A40" s="18" t="str">
        <x:v>HID-03-02-02</x:v>
      </x:c>
      <x:c r="B40" t="str">
        <x:v>Equipe HID-020</x:v>
      </x:c>
      <x:c r="C40" t="str">
        <x:v>André Almeida</x:v>
      </x:c>
      <x:c r="D40" t="str">
        <x:v>Base Vitória de Santo Antão</x:v>
      </x:c>
      <x:c r="E40" t="str">
        <x:v>Joaquim Nabuco</x:v>
      </x:c>
      <x:c r="F40" t="str">
        <x:v>Vitória de Santo Antão</x:v>
      </x:c>
      <x:c r="G40" t="str">
        <x:v>MR05</x:v>
      </x:c>
      <x:c r="H40" t="str">
        <x:v>Joaquim Nabuco</x:v>
      </x:c>
      <x:c r="I40" t="str">
        <x:v>Equipe Dupla</x:v>
      </x:c>
      <x:c r="J40" t="str">
        <x:v>Instalação / Substituição de Hidrômetro</x:v>
      </x:c>
      <x:c r="K40" t="str">
        <x:v>Em contratação</x:v>
      </x:c>
      <x:c r="L40" t="str">
        <x:v>Hidrometria</x:v>
      </x:c>
      <x:c r="M40" t="str">
        <x:v>Não</x:v>
      </x:c>
      <x:c r="N40" t="str">
        <x:v>DADO FICTÍCIO – teste do painel; ID repetido em outra microrrota</x:v>
      </x:c>
      <x:c r="O40" s="15" t="n">
        <x:f>IF(A40="","",--(COUNTIF($A$2:A40,A40)=1))</x:f>
        <x:v>1</x:v>
      </x:c>
      <x:c r="P40" s="15" t="n">
        <x:f>IF(A40="","",--(COUNTIFS($A$2:A40,A40,$F$2:F40,F40)=1))</x:f>
        <x:v>1</x:v>
      </x:c>
    </x:row>
    <x:row r="41">
      <x:c r="A41" s="18" t="str">
        <x:v>HID-03-02-02</x:v>
      </x:c>
      <x:c r="B41" t="str">
        <x:v>Equipe HID-020</x:v>
      </x:c>
      <x:c r="C41" t="str">
        <x:v>André Almeida</x:v>
      </x:c>
      <x:c r="D41" t="str">
        <x:v>Base Vitória de Santo Antão</x:v>
      </x:c>
      <x:c r="E41" t="str">
        <x:v>Vitória de Santo Antão</x:v>
      </x:c>
      <x:c r="F41" t="str">
        <x:v>Vitória de Santo Antão</x:v>
      </x:c>
      <x:c r="G41" t="str">
        <x:v>MR01</x:v>
      </x:c>
      <x:c r="H41" t="str">
        <x:v>Vitória de Santo Antão</x:v>
      </x:c>
      <x:c r="I41" t="str">
        <x:v>Equipe Dupla</x:v>
      </x:c>
      <x:c r="J41" t="str">
        <x:v>Instalação / Substituição de Hidrômetro</x:v>
      </x:c>
      <x:c r="K41" t="str">
        <x:v>Em contratação</x:v>
      </x:c>
      <x:c r="L41" t="str">
        <x:v>Hidrometria</x:v>
      </x:c>
      <x:c r="M41" t="str">
        <x:v>Não</x:v>
      </x:c>
      <x:c r="N41" t="str">
        <x:v>DADO FICTÍCIO – teste do painel; ID repetido em outra microrrota</x:v>
      </x:c>
      <x:c r="O41" s="15" t="n">
        <x:f>IF(A41="","",--(COUNTIF($A$2:A41,A41)=1))</x:f>
        <x:v>0</x:v>
      </x:c>
      <x:c r="P41" s="15" t="n">
        <x:f>IF(A41="","",--(COUNTIFS($A$2:A41,A41,$F$2:F41,F41)=1))</x:f>
        <x:v>0</x:v>
      </x:c>
    </x:row>
    <x:row r="42">
      <x:c r="A42" s="18" t="str">
        <x:v>HID-03-03-01</x:v>
      </x:c>
      <x:c r="B42" t="str">
        <x:v>Equipe HID-021</x:v>
      </x:c>
      <x:c r="C42" t="str">
        <x:v>Daniel Gomes</x:v>
      </x:c>
      <x:c r="D42" t="str">
        <x:v>Base Vitória de Santo Antão</x:v>
      </x:c>
      <x:c r="E42" t="str">
        <x:v>Vitória de Santo Antão</x:v>
      </x:c>
      <x:c r="F42" t="str">
        <x:v>Vitória de Santo Antão</x:v>
      </x:c>
      <x:c r="G42" t="str">
        <x:v>MR01</x:v>
      </x:c>
      <x:c r="H42" t="str">
        <x:v>Vitória de Santo Antão</x:v>
      </x:c>
      <x:c r="I42" t="str">
        <x:v>Equipe Dupla</x:v>
      </x:c>
      <x:c r="J42" t="str">
        <x:v>Instalação / Substituição de Hidrômetro</x:v>
      </x:c>
      <x:c r="K42" t="str">
        <x:v>Contratada</x:v>
      </x:c>
      <x:c r="L42" t="str">
        <x:v>Hidrometria</x:v>
      </x:c>
      <x:c r="M42" t="str">
        <x:v>Sim</x:v>
      </x:c>
      <x:c r="N42" t="str">
        <x:v>DADO FICTÍCIO – teste do painel; ID repetido em outra microrrota</x:v>
      </x:c>
      <x:c r="O42" s="15" t="n">
        <x:f>IF(A42="","",--(COUNTIF($A$2:A42,A42)=1))</x:f>
        <x:v>1</x:v>
      </x:c>
      <x:c r="P42" s="15" t="n">
        <x:f>IF(A42="","",--(COUNTIFS($A$2:A42,A42,$F$2:F42,F42)=1))</x:f>
        <x:v>1</x:v>
      </x:c>
    </x:row>
    <x:row r="43">
      <x:c r="A43" s="18" t="str">
        <x:v>HID-03-03-01</x:v>
      </x:c>
      <x:c r="B43" t="str">
        <x:v>Equipe HID-021</x:v>
      </x:c>
      <x:c r="C43" t="str">
        <x:v>Daniel Gomes</x:v>
      </x:c>
      <x:c r="D43" t="str">
        <x:v>Base Vitória de Santo Antão</x:v>
      </x:c>
      <x:c r="E43" t="str">
        <x:v>Primavera</x:v>
      </x:c>
      <x:c r="F43" t="str">
        <x:v>Vitória de Santo Antão</x:v>
      </x:c>
      <x:c r="G43" t="str">
        <x:v>MR02</x:v>
      </x:c>
      <x:c r="H43" t="str">
        <x:v>Primavera</x:v>
      </x:c>
      <x:c r="I43" t="str">
        <x:v>Equipe Dupla</x:v>
      </x:c>
      <x:c r="J43" t="str">
        <x:v>Instalação / Substituição de Hidrômetro</x:v>
      </x:c>
      <x:c r="K43" t="str">
        <x:v>Contratada</x:v>
      </x:c>
      <x:c r="L43" t="str">
        <x:v>Hidrometria</x:v>
      </x:c>
      <x:c r="M43" t="str">
        <x:v>Sim</x:v>
      </x:c>
      <x:c r="N43" t="str">
        <x:v>DADO FICTÍCIO – teste do painel; ID repetido em outra microrrota</x:v>
      </x:c>
      <x:c r="O43" s="15" t="n">
        <x:f>IF(A43="","",--(COUNTIF($A$2:A43,A43)=1))</x:f>
        <x:v>0</x:v>
      </x:c>
      <x:c r="P43" s="15" t="n">
        <x:f>IF(A43="","",--(COUNTIFS($A$2:A43,A43,$F$2:F43,F43)=1))</x:f>
        <x:v>0</x:v>
      </x:c>
    </x:row>
    <x:row r="44">
      <x:c r="A44" s="18" t="str">
        <x:v>HID-03-03-02</x:v>
      </x:c>
      <x:c r="B44" t="str">
        <x:v>Equipe HID-022</x:v>
      </x:c>
      <x:c r="C44" t="str">
        <x:v>Gabriel Pereira</x:v>
      </x:c>
      <x:c r="D44" t="str">
        <x:v>Base Vitória de Santo Antão</x:v>
      </x:c>
      <x:c r="E44" t="str">
        <x:v>Primavera</x:v>
      </x:c>
      <x:c r="F44" t="str">
        <x:v>Vitória de Santo Antão</x:v>
      </x:c>
      <x:c r="G44" t="str">
        <x:v>MR02</x:v>
      </x:c>
      <x:c r="H44" t="str">
        <x:v>Primavera</x:v>
      </x:c>
      <x:c r="I44" t="str">
        <x:v>Equipe Simples</x:v>
      </x:c>
      <x:c r="J44" t="str">
        <x:v>Instalação / Substituição de Hidrômetro</x:v>
      </x:c>
      <x:c r="K44" t="str">
        <x:v>Contratada</x:v>
      </x:c>
      <x:c r="L44" t="str">
        <x:v>Hidrometria</x:v>
      </x:c>
      <x:c r="M44" t="str">
        <x:v>Sim</x:v>
      </x:c>
      <x:c r="N44" t="str">
        <x:v>DADO FICTÍCIO – teste do painel; ID repetido em outra microrrota</x:v>
      </x:c>
      <x:c r="O44" s="15" t="n">
        <x:f>IF(A44="","",--(COUNTIF($A$2:A44,A44)=1))</x:f>
        <x:v>1</x:v>
      </x:c>
      <x:c r="P44" s="15" t="n">
        <x:f>IF(A44="","",--(COUNTIFS($A$2:A44,A44,$F$2:F44,F44)=1))</x:f>
        <x:v>1</x:v>
      </x:c>
    </x:row>
    <x:row r="45">
      <x:c r="A45" s="18" t="str">
        <x:v>HID-03-03-02</x:v>
      </x:c>
      <x:c r="B45" t="str">
        <x:v>Equipe HID-022</x:v>
      </x:c>
      <x:c r="C45" t="str">
        <x:v>Gabriel Pereira</x:v>
      </x:c>
      <x:c r="D45" t="str">
        <x:v>Base Vitória de Santo Antão</x:v>
      </x:c>
      <x:c r="E45" t="str">
        <x:v>São José da Coroa Grande</x:v>
      </x:c>
      <x:c r="F45" t="str">
        <x:v>Vitória de Santo Antão</x:v>
      </x:c>
      <x:c r="G45" t="str">
        <x:v>MR03</x:v>
      </x:c>
      <x:c r="H45" t="str">
        <x:v>São José da Coroa Grande</x:v>
      </x:c>
      <x:c r="I45" t="str">
        <x:v>Equipe Simples</x:v>
      </x:c>
      <x:c r="J45" t="str">
        <x:v>Instalação / Substituição de Hidrômetro</x:v>
      </x:c>
      <x:c r="K45" t="str">
        <x:v>Contratada</x:v>
      </x:c>
      <x:c r="L45" t="str">
        <x:v>Hidrometria</x:v>
      </x:c>
      <x:c r="M45" t="str">
        <x:v>Sim</x:v>
      </x:c>
      <x:c r="N45" t="str">
        <x:v>DADO FICTÍCIO – teste do painel; ID repetido em outra microrrota</x:v>
      </x:c>
      <x:c r="O45" s="15" t="n">
        <x:f>IF(A45="","",--(COUNTIF($A$2:A45,A45)=1))</x:f>
        <x:v>0</x:v>
      </x:c>
      <x:c r="P45" s="15" t="n">
        <x:f>IF(A45="","",--(COUNTIFS($A$2:A45,A45,$F$2:F45,F45)=1))</x:f>
        <x:v>0</x:v>
      </x:c>
    </x:row>
    <x:row r="46">
      <x:c r="A46" s="18" t="str">
        <x:v>HID-03-04-01</x:v>
      </x:c>
      <x:c r="B46" t="str">
        <x:v>Equipe HID-023</x:v>
      </x:c>
      <x:c r="C46" t="str">
        <x:v>João Teixeira</x:v>
      </x:c>
      <x:c r="D46" t="str">
        <x:v>Base Vitória de Santo Antão</x:v>
      </x:c>
      <x:c r="E46" t="str">
        <x:v>São José da Coroa Grande</x:v>
      </x:c>
      <x:c r="F46" t="str">
        <x:v>Vitória de Santo Antão</x:v>
      </x:c>
      <x:c r="G46" t="str">
        <x:v>MR03</x:v>
      </x:c>
      <x:c r="H46" t="str">
        <x:v>São José da Coroa Grande</x:v>
      </x:c>
      <x:c r="I46" t="str">
        <x:v>Equipe Simples</x:v>
      </x:c>
      <x:c r="J46" t="str">
        <x:v>Instalação / Substituição de Hidrômetro</x:v>
      </x:c>
      <x:c r="K46" t="str">
        <x:v>Mobilizada</x:v>
      </x:c>
      <x:c r="L46" t="str">
        <x:v>Hidrometria</x:v>
      </x:c>
      <x:c r="M46" t="str">
        <x:v>Sim</x:v>
      </x:c>
      <x:c r="N46" t="str">
        <x:v>DADO FICTÍCIO – teste do painel; ID repetido em outra microrrota</x:v>
      </x:c>
      <x:c r="O46" s="15" t="n">
        <x:f>IF(A46="","",--(COUNTIF($A$2:A46,A46)=1))</x:f>
        <x:v>1</x:v>
      </x:c>
      <x:c r="P46" s="15" t="n">
        <x:f>IF(A46="","",--(COUNTIFS($A$2:A46,A46,$F$2:F46,F46)=1))</x:f>
        <x:v>1</x:v>
      </x:c>
    </x:row>
    <x:row r="47">
      <x:c r="A47" s="18" t="str">
        <x:v>HID-03-04-01</x:v>
      </x:c>
      <x:c r="B47" t="str">
        <x:v>Equipe HID-023</x:v>
      </x:c>
      <x:c r="C47" t="str">
        <x:v>João Teixeira</x:v>
      </x:c>
      <x:c r="D47" t="str">
        <x:v>Base Vitória de Santo Antão</x:v>
      </x:c>
      <x:c r="E47" t="str">
        <x:v>Rio Formoso</x:v>
      </x:c>
      <x:c r="F47" t="str">
        <x:v>Vitória de Santo Antão</x:v>
      </x:c>
      <x:c r="G47" t="str">
        <x:v>MR04</x:v>
      </x:c>
      <x:c r="H47" t="str">
        <x:v>Rio Formoso</x:v>
      </x:c>
      <x:c r="I47" t="str">
        <x:v>Equipe Simples</x:v>
      </x:c>
      <x:c r="J47" t="str">
        <x:v>Instalação / Substituição de Hidrômetro</x:v>
      </x:c>
      <x:c r="K47" t="str">
        <x:v>Mobilizada</x:v>
      </x:c>
      <x:c r="L47" t="str">
        <x:v>Hidrometria</x:v>
      </x:c>
      <x:c r="M47" t="str">
        <x:v>Sim</x:v>
      </x:c>
      <x:c r="N47" t="str">
        <x:v>DADO FICTÍCIO – teste do painel; ID repetido em outra microrrota</x:v>
      </x:c>
      <x:c r="O47" s="15" t="n">
        <x:f>IF(A47="","",--(COUNTIF($A$2:A47,A47)=1))</x:f>
        <x:v>0</x:v>
      </x:c>
      <x:c r="P47" s="15" t="n">
        <x:f>IF(A47="","",--(COUNTIFS($A$2:A47,A47,$F$2:F47,F47)=1))</x:f>
        <x:v>0</x:v>
      </x:c>
    </x:row>
    <x:row r="48">
      <x:c r="A48" s="18" t="str">
        <x:v>HID-03-04-02</x:v>
      </x:c>
      <x:c r="B48" t="str">
        <x:v>Equipe HID-024</x:v>
      </x:c>
      <x:c r="C48" t="str">
        <x:v>Paulo Almeida</x:v>
      </x:c>
      <x:c r="D48" t="str">
        <x:v>Base Vitória de Santo Antão</x:v>
      </x:c>
      <x:c r="E48" t="str">
        <x:v>Rio Formoso</x:v>
      </x:c>
      <x:c r="F48" t="str">
        <x:v>Vitória de Santo Antão</x:v>
      </x:c>
      <x:c r="G48" t="str">
        <x:v>MR04</x:v>
      </x:c>
      <x:c r="H48" t="str">
        <x:v>Rio Formoso</x:v>
      </x:c>
      <x:c r="I48" t="str">
        <x:v>Equipe Dupla</x:v>
      </x:c>
      <x:c r="J48" t="str">
        <x:v>Instalação / Substituição de Hidrômetro</x:v>
      </x:c>
      <x:c r="K48" t="str">
        <x:v>Mobilizada</x:v>
      </x:c>
      <x:c r="L48" t="str">
        <x:v>Hidrometria</x:v>
      </x:c>
      <x:c r="M48" t="str">
        <x:v>Sim</x:v>
      </x:c>
      <x:c r="N48" t="str">
        <x:v>DADO FICTÍCIO – teste do painel; ID repetido em outra microrrota</x:v>
      </x:c>
      <x:c r="O48" s="15" t="n">
        <x:f>IF(A48="","",--(COUNTIF($A$2:A48,A48)=1))</x:f>
        <x:v>1</x:v>
      </x:c>
      <x:c r="P48" s="15" t="n">
        <x:f>IF(A48="","",--(COUNTIFS($A$2:A48,A48,$F$2:F48,F48)=1))</x:f>
        <x:v>1</x:v>
      </x:c>
    </x:row>
    <x:row r="49">
      <x:c r="A49" s="18" t="str">
        <x:v>HID-03-04-02</x:v>
      </x:c>
      <x:c r="B49" t="str">
        <x:v>Equipe HID-024</x:v>
      </x:c>
      <x:c r="C49" t="str">
        <x:v>Paulo Almeida</x:v>
      </x:c>
      <x:c r="D49" t="str">
        <x:v>Base Vitória de Santo Antão</x:v>
      </x:c>
      <x:c r="E49" t="str">
        <x:v>Joaquim Nabuco</x:v>
      </x:c>
      <x:c r="F49" t="str">
        <x:v>Vitória de Santo Antão</x:v>
      </x:c>
      <x:c r="G49" t="str">
        <x:v>MR05</x:v>
      </x:c>
      <x:c r="H49" t="str">
        <x:v>Joaquim Nabuco</x:v>
      </x:c>
      <x:c r="I49" t="str">
        <x:v>Equipe Dupla</x:v>
      </x:c>
      <x:c r="J49" t="str">
        <x:v>Instalação / Substituição de Hidrômetro</x:v>
      </x:c>
      <x:c r="K49" t="str">
        <x:v>Mobilizada</x:v>
      </x:c>
      <x:c r="L49" t="str">
        <x:v>Hidrometria</x:v>
      </x:c>
      <x:c r="M49" t="str">
        <x:v>Sim</x:v>
      </x:c>
      <x:c r="N49" t="str">
        <x:v>DADO FICTÍCIO – teste do painel; ID repetido em outra microrrota</x:v>
      </x:c>
      <x:c r="O49" s="15" t="n">
        <x:f>IF(A49="","",--(COUNTIF($A$2:A49,A49)=1))</x:f>
        <x:v>0</x:v>
      </x:c>
      <x:c r="P49" s="15" t="n">
        <x:f>IF(A49="","",--(COUNTIFS($A$2:A49,A49,$F$2:F49,F49)=1))</x:f>
        <x:v>0</x:v>
      </x:c>
    </x:row>
    <x:row r="50">
      <x:c r="A50" s="18" t="str">
        <x:v>HID-04-01-01</x:v>
      </x:c>
      <x:c r="B50" t="str">
        <x:v>Equipe HID-025</x:v>
      </x:c>
      <x:c r="C50" t="str">
        <x:v>Thiago Gomes</x:v>
      </x:c>
      <x:c r="D50" t="str">
        <x:v>Base Gravatá</x:v>
      </x:c>
      <x:c r="E50" t="str">
        <x:v>Barra de Guabiraba</x:v>
      </x:c>
      <x:c r="F50" t="str">
        <x:v>Gravatá</x:v>
      </x:c>
      <x:c r="G50" t="str">
        <x:v>MR01</x:v>
      </x:c>
      <x:c r="H50" t="str">
        <x:v>Barra de Guabiraba</x:v>
      </x:c>
      <x:c r="I50" t="str">
        <x:v>Equipe Dupla</x:v>
      </x:c>
      <x:c r="J50" t="str">
        <x:v>Instalação / Substituição de Hidrômetro</x:v>
      </x:c>
      <x:c r="K50" t="str">
        <x:v>Em recrutamento</x:v>
      </x:c>
      <x:c r="L50" t="str">
        <x:v>Hidrometria</x:v>
      </x:c>
      <x:c r="M50" t="str">
        <x:v>Sim</x:v>
      </x:c>
      <x:c r="N50" t="str">
        <x:v>DADO FICTÍCIO – teste do painel; ID repetido em outra microrrota</x:v>
      </x:c>
      <x:c r="O50" s="15" t="n">
        <x:f>IF(A50="","",--(COUNTIF($A$2:A50,A50)=1))</x:f>
        <x:v>1</x:v>
      </x:c>
      <x:c r="P50" s="15" t="n">
        <x:f>IF(A50="","",--(COUNTIFS($A$2:A50,A50,$F$2:F50,F50)=1))</x:f>
        <x:v>1</x:v>
      </x:c>
    </x:row>
    <x:row r="51">
      <x:c r="A51" s="18" t="str">
        <x:v>HID-04-01-01</x:v>
      </x:c>
      <x:c r="B51" t="str">
        <x:v>Equipe HID-025</x:v>
      </x:c>
      <x:c r="C51" t="str">
        <x:v>Thiago Gomes</x:v>
      </x:c>
      <x:c r="D51" t="str">
        <x:v>Base Gravatá</x:v>
      </x:c>
      <x:c r="E51" t="str">
        <x:v>Gravatá</x:v>
      </x:c>
      <x:c r="F51" t="str">
        <x:v>Gravatá</x:v>
      </x:c>
      <x:c r="G51" t="str">
        <x:v>MR02</x:v>
      </x:c>
      <x:c r="H51" t="str">
        <x:v>Gravatá</x:v>
      </x:c>
      <x:c r="I51" t="str">
        <x:v>Equipe Dupla</x:v>
      </x:c>
      <x:c r="J51" t="str">
        <x:v>Instalação / Substituição de Hidrômetro</x:v>
      </x:c>
      <x:c r="K51" t="str">
        <x:v>Em recrutamento</x:v>
      </x:c>
      <x:c r="L51" t="str">
        <x:v>Hidrometria</x:v>
      </x:c>
      <x:c r="M51" t="str">
        <x:v>Sim</x:v>
      </x:c>
      <x:c r="N51" t="str">
        <x:v>DADO FICTÍCIO – teste do painel; ID repetido em outra microrrota</x:v>
      </x:c>
      <x:c r="O51" s="15" t="n">
        <x:f>IF(A51="","",--(COUNTIF($A$2:A51,A51)=1))</x:f>
        <x:v>0</x:v>
      </x:c>
      <x:c r="P51" s="15" t="n">
        <x:f>IF(A51="","",--(COUNTIFS($A$2:A51,A51,$F$2:F51,F51)=1))</x:f>
        <x:v>0</x:v>
      </x:c>
    </x:row>
    <x:row r="52">
      <x:c r="A52" s="18" t="str">
        <x:v>HID-04-01-02</x:v>
      </x:c>
      <x:c r="B52" t="str">
        <x:v>Equipe HID-026</x:v>
      </x:c>
      <x:c r="C52" t="str">
        <x:v>Alex Pereira</x:v>
      </x:c>
      <x:c r="D52" t="str">
        <x:v>Base Gravatá</x:v>
      </x:c>
      <x:c r="E52" t="str">
        <x:v>Gravatá</x:v>
      </x:c>
      <x:c r="F52" t="str">
        <x:v>Gravatá</x:v>
      </x:c>
      <x:c r="G52" t="str">
        <x:v>MR02</x:v>
      </x:c>
      <x:c r="H52" t="str">
        <x:v>Gravatá</x:v>
      </x:c>
      <x:c r="I52" t="str">
        <x:v>Equipe Simples</x:v>
      </x:c>
      <x:c r="J52" t="str">
        <x:v>Instalação / Substituição de Hidrômetro</x:v>
      </x:c>
      <x:c r="K52" t="str">
        <x:v>Em recrutamento</x:v>
      </x:c>
      <x:c r="L52" t="str">
        <x:v>Hidrometria</x:v>
      </x:c>
      <x:c r="M52" t="str">
        <x:v>Não</x:v>
      </x:c>
      <x:c r="N52" t="str">
        <x:v>DADO FICTÍCIO – teste do painel; ID repetido em outra microrrota</x:v>
      </x:c>
      <x:c r="O52" s="15" t="n">
        <x:f>IF(A52="","",--(COUNTIF($A$2:A52,A52)=1))</x:f>
        <x:v>1</x:v>
      </x:c>
      <x:c r="P52" s="15" t="n">
        <x:f>IF(A52="","",--(COUNTIFS($A$2:A52,A52,$F$2:F52,F52)=1))</x:f>
        <x:v>1</x:v>
      </x:c>
    </x:row>
    <x:row r="53">
      <x:c r="A53" s="18" t="str">
        <x:v>HID-04-01-02</x:v>
      </x:c>
      <x:c r="B53" t="str">
        <x:v>Equipe HID-026</x:v>
      </x:c>
      <x:c r="C53" t="str">
        <x:v>Alex Pereira</x:v>
      </x:c>
      <x:c r="D53" t="str">
        <x:v>Base Gravatá</x:v>
      </x:c>
      <x:c r="E53" t="str">
        <x:v>Bezerros</x:v>
      </x:c>
      <x:c r="F53" t="str">
        <x:v>Gravatá</x:v>
      </x:c>
      <x:c r="G53" t="str">
        <x:v>MR03</x:v>
      </x:c>
      <x:c r="H53" t="str">
        <x:v>Bezerros</x:v>
      </x:c>
      <x:c r="I53" t="str">
        <x:v>Equipe Simples</x:v>
      </x:c>
      <x:c r="J53" t="str">
        <x:v>Instalação / Substituição de Hidrômetro</x:v>
      </x:c>
      <x:c r="K53" t="str">
        <x:v>Em recrutamento</x:v>
      </x:c>
      <x:c r="L53" t="str">
        <x:v>Hidrometria</x:v>
      </x:c>
      <x:c r="M53" t="str">
        <x:v>Não</x:v>
      </x:c>
      <x:c r="N53" t="str">
        <x:v>DADO FICTÍCIO – teste do painel; ID repetido em outra microrrota</x:v>
      </x:c>
      <x:c r="O53" s="15" t="n">
        <x:f>IF(A53="","",--(COUNTIF($A$2:A53,A53)=1))</x:f>
        <x:v>0</x:v>
      </x:c>
      <x:c r="P53" s="15" t="n">
        <x:f>IF(A53="","",--(COUNTIFS($A$2:A53,A53,$F$2:F53,F53)=1))</x:f>
        <x:v>0</x:v>
      </x:c>
    </x:row>
    <x:row r="54">
      <x:c r="A54" s="18" t="str">
        <x:v>HID-04-02-01</x:v>
      </x:c>
      <x:c r="B54" t="str">
        <x:v>Equipe HID-027</x:v>
      </x:c>
      <x:c r="C54" t="str">
        <x:v>Bruno Teixeira</x:v>
      </x:c>
      <x:c r="D54" t="str">
        <x:v>Base Gravatá</x:v>
      </x:c>
      <x:c r="E54" t="str">
        <x:v>Bezerros</x:v>
      </x:c>
      <x:c r="F54" t="str">
        <x:v>Gravatá</x:v>
      </x:c>
      <x:c r="G54" t="str">
        <x:v>MR03</x:v>
      </x:c>
      <x:c r="H54" t="str">
        <x:v>Bezerros</x:v>
      </x:c>
      <x:c r="I54" t="str">
        <x:v>Equipe Simples</x:v>
      </x:c>
      <x:c r="J54" t="str">
        <x:v>Instalação / Substituição de Hidrômetro</x:v>
      </x:c>
      <x:c r="K54" t="str">
        <x:v>Em contratação</x:v>
      </x:c>
      <x:c r="L54" t="str">
        <x:v>Hidrometria</x:v>
      </x:c>
      <x:c r="M54" t="str">
        <x:v>Sim</x:v>
      </x:c>
      <x:c r="N54" t="str">
        <x:v>DADO FICTÍCIO – teste do painel; ID repetido em outra microrrota</x:v>
      </x:c>
      <x:c r="O54" s="15" t="n">
        <x:f>IF(A54="","",--(COUNTIF($A$2:A54,A54)=1))</x:f>
        <x:v>1</x:v>
      </x:c>
      <x:c r="P54" s="15" t="n">
        <x:f>IF(A54="","",--(COUNTIFS($A$2:A54,A54,$F$2:F54,F54)=1))</x:f>
        <x:v>1</x:v>
      </x:c>
    </x:row>
    <x:row r="55">
      <x:c r="A55" s="18" t="str">
        <x:v>HID-04-02-01</x:v>
      </x:c>
      <x:c r="B55" t="str">
        <x:v>Equipe HID-027</x:v>
      </x:c>
      <x:c r="C55" t="str">
        <x:v>Bruno Teixeira</x:v>
      </x:c>
      <x:c r="D55" t="str">
        <x:v>Base Gravatá</x:v>
      </x:c>
      <x:c r="E55" t="str">
        <x:v>Camocim de São Félix</x:v>
      </x:c>
      <x:c r="F55" t="str">
        <x:v>Gravatá</x:v>
      </x:c>
      <x:c r="G55" t="str">
        <x:v>MR04</x:v>
      </x:c>
      <x:c r="H55" t="str">
        <x:v>Camocim de São Félix</x:v>
      </x:c>
      <x:c r="I55" t="str">
        <x:v>Equipe Simples</x:v>
      </x:c>
      <x:c r="J55" t="str">
        <x:v>Instalação / Substituição de Hidrômetro</x:v>
      </x:c>
      <x:c r="K55" t="str">
        <x:v>Em contratação</x:v>
      </x:c>
      <x:c r="L55" t="str">
        <x:v>Hidrometria</x:v>
      </x:c>
      <x:c r="M55" t="str">
        <x:v>Sim</x:v>
      </x:c>
      <x:c r="N55" t="str">
        <x:v>DADO FICTÍCIO – teste do painel; ID repetido em outra microrrota</x:v>
      </x:c>
      <x:c r="O55" s="15" t="n">
        <x:f>IF(A55="","",--(COUNTIF($A$2:A55,A55)=1))</x:f>
        <x:v>0</x:v>
      </x:c>
      <x:c r="P55" s="15" t="n">
        <x:f>IF(A55="","",--(COUNTIFS($A$2:A55,A55,$F$2:F55,F55)=1))</x:f>
        <x:v>0</x:v>
      </x:c>
    </x:row>
    <x:row r="56">
      <x:c r="A56" s="18" t="str">
        <x:v>HID-04-02-02</x:v>
      </x:c>
      <x:c r="B56" t="str">
        <x:v>Equipe HID-028</x:v>
      </x:c>
      <x:c r="C56" t="str">
        <x:v>Eduardo Almeida</x:v>
      </x:c>
      <x:c r="D56" t="str">
        <x:v>Base Gravatá</x:v>
      </x:c>
      <x:c r="E56" t="str">
        <x:v>Camocim de São Félix</x:v>
      </x:c>
      <x:c r="F56" t="str">
        <x:v>Gravatá</x:v>
      </x:c>
      <x:c r="G56" t="str">
        <x:v>MR04</x:v>
      </x:c>
      <x:c r="H56" t="str">
        <x:v>Camocim de São Félix</x:v>
      </x:c>
      <x:c r="I56" t="str">
        <x:v>Equipe Dupla</x:v>
      </x:c>
      <x:c r="J56" t="str">
        <x:v>Instalação / Substituição de Hidrômetro</x:v>
      </x:c>
      <x:c r="K56" t="str">
        <x:v>Em contratação</x:v>
      </x:c>
      <x:c r="L56" t="str">
        <x:v>Hidrometria</x:v>
      </x:c>
      <x:c r="M56" t="str">
        <x:v>Não</x:v>
      </x:c>
      <x:c r="N56" t="str">
        <x:v>DADO FICTÍCIO – teste do painel; ID repetido em outra microrrota</x:v>
      </x:c>
      <x:c r="O56" s="15" t="n">
        <x:f>IF(A56="","",--(COUNTIF($A$2:A56,A56)=1))</x:f>
        <x:v>1</x:v>
      </x:c>
      <x:c r="P56" s="15" t="n">
        <x:f>IF(A56="","",--(COUNTIFS($A$2:A56,A56,$F$2:F56,F56)=1))</x:f>
        <x:v>1</x:v>
      </x:c>
    </x:row>
    <x:row r="57">
      <x:c r="A57" s="18" t="str">
        <x:v>HID-04-02-02</x:v>
      </x:c>
      <x:c r="B57" t="str">
        <x:v>Equipe HID-028</x:v>
      </x:c>
      <x:c r="C57" t="str">
        <x:v>Eduardo Almeida</x:v>
      </x:c>
      <x:c r="D57" t="str">
        <x:v>Base Gravatá</x:v>
      </x:c>
      <x:c r="E57" t="str">
        <x:v>Barra de Guabiraba</x:v>
      </x:c>
      <x:c r="F57" t="str">
        <x:v>Gravatá</x:v>
      </x:c>
      <x:c r="G57" t="str">
        <x:v>MR01</x:v>
      </x:c>
      <x:c r="H57" t="str">
        <x:v>Barra de Guabiraba</x:v>
      </x:c>
      <x:c r="I57" t="str">
        <x:v>Equipe Dupla</x:v>
      </x:c>
      <x:c r="J57" t="str">
        <x:v>Instalação / Substituição de Hidrômetro</x:v>
      </x:c>
      <x:c r="K57" t="str">
        <x:v>Em contratação</x:v>
      </x:c>
      <x:c r="L57" t="str">
        <x:v>Hidrometria</x:v>
      </x:c>
      <x:c r="M57" t="str">
        <x:v>Não</x:v>
      </x:c>
      <x:c r="N57" t="str">
        <x:v>DADO FICTÍCIO – teste do painel; ID repetido em outra microrrota</x:v>
      </x:c>
      <x:c r="O57" s="15" t="n">
        <x:f>IF(A57="","",--(COUNTIF($A$2:A57,A57)=1))</x:f>
        <x:v>0</x:v>
      </x:c>
      <x:c r="P57" s="15" t="n">
        <x:f>IF(A57="","",--(COUNTIFS($A$2:A57,A57,$F$2:F57,F57)=1))</x:f>
        <x:v>0</x:v>
      </x:c>
    </x:row>
    <x:row r="58">
      <x:c r="A58" s="18" t="str">
        <x:v>HID-04-03-01</x:v>
      </x:c>
      <x:c r="B58" t="str">
        <x:v>Equipe HID-029</x:v>
      </x:c>
      <x:c r="C58" t="str">
        <x:v>Henrique Gomes</x:v>
      </x:c>
      <x:c r="D58" t="str">
        <x:v>Base Gravatá</x:v>
      </x:c>
      <x:c r="E58" t="str">
        <x:v>Barra de Guabiraba</x:v>
      </x:c>
      <x:c r="F58" t="str">
        <x:v>Gravatá</x:v>
      </x:c>
      <x:c r="G58" t="str">
        <x:v>MR01</x:v>
      </x:c>
      <x:c r="H58" t="str">
        <x:v>Barra de Guabiraba</x:v>
      </x:c>
      <x:c r="I58" t="str">
        <x:v>Equipe Dupla</x:v>
      </x:c>
      <x:c r="J58" t="str">
        <x:v>Instalação / Substituição de Hidrômetro</x:v>
      </x:c>
      <x:c r="K58" t="str">
        <x:v>Contratada</x:v>
      </x:c>
      <x:c r="L58" t="str">
        <x:v>Hidrometria</x:v>
      </x:c>
      <x:c r="M58" t="str">
        <x:v>Sim</x:v>
      </x:c>
      <x:c r="N58" t="str">
        <x:v>DADO FICTÍCIO – teste do painel; ID repetido em outra microrrota</x:v>
      </x:c>
      <x:c r="O58" s="15" t="n">
        <x:f>IF(A58="","",--(COUNTIF($A$2:A58,A58)=1))</x:f>
        <x:v>1</x:v>
      </x:c>
      <x:c r="P58" s="15" t="n">
        <x:f>IF(A58="","",--(COUNTIFS($A$2:A58,A58,$F$2:F58,F58)=1))</x:f>
        <x:v>1</x:v>
      </x:c>
    </x:row>
    <x:row r="59">
      <x:c r="A59" s="18" t="str">
        <x:v>HID-04-03-01</x:v>
      </x:c>
      <x:c r="B59" t="str">
        <x:v>Equipe HID-029</x:v>
      </x:c>
      <x:c r="C59" t="str">
        <x:v>Henrique Gomes</x:v>
      </x:c>
      <x:c r="D59" t="str">
        <x:v>Base Gravatá</x:v>
      </x:c>
      <x:c r="E59" t="str">
        <x:v>Gravatá</x:v>
      </x:c>
      <x:c r="F59" t="str">
        <x:v>Gravatá</x:v>
      </x:c>
      <x:c r="G59" t="str">
        <x:v>MR02</x:v>
      </x:c>
      <x:c r="H59" t="str">
        <x:v>Gravatá</x:v>
      </x:c>
      <x:c r="I59" t="str">
        <x:v>Equipe Dupla</x:v>
      </x:c>
      <x:c r="J59" t="str">
        <x:v>Instalação / Substituição de Hidrômetro</x:v>
      </x:c>
      <x:c r="K59" t="str">
        <x:v>Contratada</x:v>
      </x:c>
      <x:c r="L59" t="str">
        <x:v>Hidrometria</x:v>
      </x:c>
      <x:c r="M59" t="str">
        <x:v>Sim</x:v>
      </x:c>
      <x:c r="N59" t="str">
        <x:v>DADO FICTÍCIO – teste do painel; ID repetido em outra microrrota</x:v>
      </x:c>
      <x:c r="O59" s="15" t="n">
        <x:f>IF(A59="","",--(COUNTIF($A$2:A59,A59)=1))</x:f>
        <x:v>0</x:v>
      </x:c>
      <x:c r="P59" s="15" t="n">
        <x:f>IF(A59="","",--(COUNTIFS($A$2:A59,A59,$F$2:F59,F59)=1))</x:f>
        <x:v>0</x:v>
      </x:c>
    </x:row>
    <x:row r="60">
      <x:c r="A60" s="18" t="str">
        <x:v>HID-04-03-02</x:v>
      </x:c>
      <x:c r="B60" t="str">
        <x:v>Equipe HID-030</x:v>
      </x:c>
      <x:c r="C60" t="str">
        <x:v>Lucas Pereira</x:v>
      </x:c>
      <x:c r="D60" t="str">
        <x:v>Base Gravatá</x:v>
      </x:c>
      <x:c r="E60" t="str">
        <x:v>Gravatá</x:v>
      </x:c>
      <x:c r="F60" t="str">
        <x:v>Gravatá</x:v>
      </x:c>
      <x:c r="G60" t="str">
        <x:v>MR02</x:v>
      </x:c>
      <x:c r="H60" t="str">
        <x:v>Gravatá</x:v>
      </x:c>
      <x:c r="I60" t="str">
        <x:v>Equipe Simples</x:v>
      </x:c>
      <x:c r="J60" t="str">
        <x:v>Instalação / Substituição de Hidrômetro</x:v>
      </x:c>
      <x:c r="K60" t="str">
        <x:v>Contratada</x:v>
      </x:c>
      <x:c r="L60" t="str">
        <x:v>Hidrometria</x:v>
      </x:c>
      <x:c r="M60" t="str">
        <x:v>Sim</x:v>
      </x:c>
      <x:c r="N60" t="str">
        <x:v>DADO FICTÍCIO – teste do painel; ID repetido em outra microrrota</x:v>
      </x:c>
      <x:c r="O60" s="15" t="n">
        <x:f>IF(A60="","",--(COUNTIF($A$2:A60,A60)=1))</x:f>
        <x:v>1</x:v>
      </x:c>
      <x:c r="P60" s="15" t="n">
        <x:f>IF(A60="","",--(COUNTIFS($A$2:A60,A60,$F$2:F60,F60)=1))</x:f>
        <x:v>1</x:v>
      </x:c>
    </x:row>
    <x:row r="61">
      <x:c r="A61" s="18" t="str">
        <x:v>HID-04-03-02</x:v>
      </x:c>
      <x:c r="B61" t="str">
        <x:v>Equipe HID-030</x:v>
      </x:c>
      <x:c r="C61" t="str">
        <x:v>Lucas Pereira</x:v>
      </x:c>
      <x:c r="D61" t="str">
        <x:v>Base Gravatá</x:v>
      </x:c>
      <x:c r="E61" t="str">
        <x:v>Bezerros</x:v>
      </x:c>
      <x:c r="F61" t="str">
        <x:v>Gravatá</x:v>
      </x:c>
      <x:c r="G61" t="str">
        <x:v>MR03</x:v>
      </x:c>
      <x:c r="H61" t="str">
        <x:v>Bezerros</x:v>
      </x:c>
      <x:c r="I61" t="str">
        <x:v>Equipe Simples</x:v>
      </x:c>
      <x:c r="J61" t="str">
        <x:v>Instalação / Substituição de Hidrômetro</x:v>
      </x:c>
      <x:c r="K61" t="str">
        <x:v>Contratada</x:v>
      </x:c>
      <x:c r="L61" t="str">
        <x:v>Hidrometria</x:v>
      </x:c>
      <x:c r="M61" t="str">
        <x:v>Sim</x:v>
      </x:c>
      <x:c r="N61" t="str">
        <x:v>DADO FICTÍCIO – teste do painel; ID repetido em outra microrrota</x:v>
      </x:c>
      <x:c r="O61" s="15" t="n">
        <x:f>IF(A61="","",--(COUNTIF($A$2:A61,A61)=1))</x:f>
        <x:v>0</x:v>
      </x:c>
      <x:c r="P61" s="15" t="n">
        <x:f>IF(A61="","",--(COUNTIFS($A$2:A61,A61,$F$2:F61,F61)=1))</x:f>
        <x:v>0</x:v>
      </x:c>
    </x:row>
    <x:row r="62">
      <x:c r="A62" s="18" t="str">
        <x:v>HID-04-04-01</x:v>
      </x:c>
      <x:c r="B62" t="str">
        <x:v>Equipe HID-031</x:v>
      </x:c>
      <x:c r="C62" t="str">
        <x:v>Rafael Teixeira</x:v>
      </x:c>
      <x:c r="D62" t="str">
        <x:v>Base Gravatá</x:v>
      </x:c>
      <x:c r="E62" t="str">
        <x:v>Bezerros</x:v>
      </x:c>
      <x:c r="F62" t="str">
        <x:v>Gravatá</x:v>
      </x:c>
      <x:c r="G62" t="str">
        <x:v>MR03</x:v>
      </x:c>
      <x:c r="H62" t="str">
        <x:v>Bezerros</x:v>
      </x:c>
      <x:c r="I62" t="str">
        <x:v>Equipe Simples</x:v>
      </x:c>
      <x:c r="J62" t="str">
        <x:v>Instalação / Substituição de Hidrômetro</x:v>
      </x:c>
      <x:c r="K62" t="str">
        <x:v>Mobilizada</x:v>
      </x:c>
      <x:c r="L62" t="str">
        <x:v>Hidrometria</x:v>
      </x:c>
      <x:c r="M62" t="str">
        <x:v>Sim</x:v>
      </x:c>
      <x:c r="N62" t="str">
        <x:v>DADO FICTÍCIO – teste do painel; ID repetido em outra microrrota</x:v>
      </x:c>
      <x:c r="O62" s="15" t="n">
        <x:f>IF(A62="","",--(COUNTIF($A$2:A62,A62)=1))</x:f>
        <x:v>1</x:v>
      </x:c>
      <x:c r="P62" s="15" t="n">
        <x:f>IF(A62="","",--(COUNTIFS($A$2:A62,A62,$F$2:F62,F62)=1))</x:f>
        <x:v>1</x:v>
      </x:c>
    </x:row>
    <x:row r="63">
      <x:c r="A63" s="18" t="str">
        <x:v>HID-04-04-01</x:v>
      </x:c>
      <x:c r="B63" t="str">
        <x:v>Equipe HID-031</x:v>
      </x:c>
      <x:c r="C63" t="str">
        <x:v>Rafael Teixeira</x:v>
      </x:c>
      <x:c r="D63" t="str">
        <x:v>Base Gravatá</x:v>
      </x:c>
      <x:c r="E63" t="str">
        <x:v>Camocim de São Félix</x:v>
      </x:c>
      <x:c r="F63" t="str">
        <x:v>Gravatá</x:v>
      </x:c>
      <x:c r="G63" t="str">
        <x:v>MR04</x:v>
      </x:c>
      <x:c r="H63" t="str">
        <x:v>Camocim de São Félix</x:v>
      </x:c>
      <x:c r="I63" t="str">
        <x:v>Equipe Simples</x:v>
      </x:c>
      <x:c r="J63" t="str">
        <x:v>Instalação / Substituição de Hidrômetro</x:v>
      </x:c>
      <x:c r="K63" t="str">
        <x:v>Mobilizada</x:v>
      </x:c>
      <x:c r="L63" t="str">
        <x:v>Hidrometria</x:v>
      </x:c>
      <x:c r="M63" t="str">
        <x:v>Sim</x:v>
      </x:c>
      <x:c r="N63" t="str">
        <x:v>DADO FICTÍCIO – teste do painel; ID repetido em outra microrrota</x:v>
      </x:c>
      <x:c r="O63" s="15" t="n">
        <x:f>IF(A63="","",--(COUNTIF($A$2:A63,A63)=1))</x:f>
        <x:v>0</x:v>
      </x:c>
      <x:c r="P63" s="15" t="n">
        <x:f>IF(A63="","",--(COUNTIFS($A$2:A63,A63,$F$2:F63,F63)=1))</x:f>
        <x:v>0</x:v>
      </x:c>
    </x:row>
    <x:row r="64">
      <x:c r="A64" s="18" t="str">
        <x:v>HID-04-04-02</x:v>
      </x:c>
      <x:c r="B64" t="str">
        <x:v>Equipe HID-032</x:v>
      </x:c>
      <x:c r="C64" t="str">
        <x:v>Vinícius Almeida</x:v>
      </x:c>
      <x:c r="D64" t="str">
        <x:v>Base Gravatá</x:v>
      </x:c>
      <x:c r="E64" t="str">
        <x:v>Camocim de São Félix</x:v>
      </x:c>
      <x:c r="F64" t="str">
        <x:v>Gravatá</x:v>
      </x:c>
      <x:c r="G64" t="str">
        <x:v>MR04</x:v>
      </x:c>
      <x:c r="H64" t="str">
        <x:v>Camocim de São Félix</x:v>
      </x:c>
      <x:c r="I64" t="str">
        <x:v>Equipe Dupla</x:v>
      </x:c>
      <x:c r="J64" t="str">
        <x:v>Instalação / Substituição de Hidrômetro</x:v>
      </x:c>
      <x:c r="K64" t="str">
        <x:v>Mobilizada</x:v>
      </x:c>
      <x:c r="L64" t="str">
        <x:v>Hidrometria</x:v>
      </x:c>
      <x:c r="M64" t="str">
        <x:v>Sim</x:v>
      </x:c>
      <x:c r="N64" t="str">
        <x:v>DADO FICTÍCIO – teste do painel; ID repetido em outra microrrota</x:v>
      </x:c>
      <x:c r="O64" s="15" t="n">
        <x:f>IF(A64="","",--(COUNTIF($A$2:A64,A64)=1))</x:f>
        <x:v>1</x:v>
      </x:c>
      <x:c r="P64" s="15" t="n">
        <x:f>IF(A64="","",--(COUNTIFS($A$2:A64,A64,$F$2:F64,F64)=1))</x:f>
        <x:v>1</x:v>
      </x:c>
    </x:row>
    <x:row r="65">
      <x:c r="A65" s="18" t="str">
        <x:v>HID-04-04-02</x:v>
      </x:c>
      <x:c r="B65" t="str">
        <x:v>Equipe HID-032</x:v>
      </x:c>
      <x:c r="C65" t="str">
        <x:v>Vinícius Almeida</x:v>
      </x:c>
      <x:c r="D65" t="str">
        <x:v>Base Gravatá</x:v>
      </x:c>
      <x:c r="E65" t="str">
        <x:v>Barra de Guabiraba</x:v>
      </x:c>
      <x:c r="F65" t="str">
        <x:v>Gravatá</x:v>
      </x:c>
      <x:c r="G65" t="str">
        <x:v>MR01</x:v>
      </x:c>
      <x:c r="H65" t="str">
        <x:v>Barra de Guabiraba</x:v>
      </x:c>
      <x:c r="I65" t="str">
        <x:v>Equipe Dupla</x:v>
      </x:c>
      <x:c r="J65" t="str">
        <x:v>Instalação / Substituição de Hidrômetro</x:v>
      </x:c>
      <x:c r="K65" t="str">
        <x:v>Mobilizada</x:v>
      </x:c>
      <x:c r="L65" t="str">
        <x:v>Hidrometria</x:v>
      </x:c>
      <x:c r="M65" t="str">
        <x:v>Sim</x:v>
      </x:c>
      <x:c r="N65" t="str">
        <x:v>DADO FICTÍCIO – teste do painel; ID repetido em outra microrrota</x:v>
      </x:c>
      <x:c r="O65" s="15" t="n">
        <x:f>IF(A65="","",--(COUNTIF($A$2:A65,A65)=1))</x:f>
        <x:v>0</x:v>
      </x:c>
      <x:c r="P65" s="15" t="n">
        <x:f>IF(A65="","",--(COUNTIFS($A$2:A65,A65,$F$2:F65,F65)=1))</x:f>
        <x:v>0</x:v>
      </x:c>
    </x:row>
    <x:row r="66">
      <x:c r="A66" s="18" t="str">
        <x:v>HID-05-01-01</x:v>
      </x:c>
      <x:c r="B66" t="str">
        <x:v>Equipe HID-033</x:v>
      </x:c>
      <x:c r="C66" t="str">
        <x:v>Diego Gomes</x:v>
      </x:c>
      <x:c r="D66" t="str">
        <x:v>Base Caruaru</x:v>
      </x:c>
      <x:c r="E66" t="str">
        <x:v>Panelas</x:v>
      </x:c>
      <x:c r="F66" t="str">
        <x:v>Caruaru</x:v>
      </x:c>
      <x:c r="G66" t="str">
        <x:v>MR03</x:v>
      </x:c>
      <x:c r="H66" t="str">
        <x:v>Panelas</x:v>
      </x:c>
      <x:c r="I66" t="str">
        <x:v>Equipe Dupla</x:v>
      </x:c>
      <x:c r="J66" t="str">
        <x:v>Instalação / Substituição de Hidrômetro</x:v>
      </x:c>
      <x:c r="K66" t="str">
        <x:v>Em recrutamento</x:v>
      </x:c>
      <x:c r="L66" t="str">
        <x:v>Hidrometria</x:v>
      </x:c>
      <x:c r="M66" t="str">
        <x:v>Sim</x:v>
      </x:c>
      <x:c r="N66" t="str">
        <x:v>DADO FICTÍCIO – teste do painel; ID repetido em outra microrrota</x:v>
      </x:c>
      <x:c r="O66" s="15" t="n">
        <x:f>IF(A66="","",--(COUNTIF($A$2:A66,A66)=1))</x:f>
        <x:v>1</x:v>
      </x:c>
      <x:c r="P66" s="15" t="n">
        <x:f>IF(A66="","",--(COUNTIFS($A$2:A66,A66,$F$2:F66,F66)=1))</x:f>
        <x:v>1</x:v>
      </x:c>
    </x:row>
    <x:row r="67">
      <x:c r="A67" s="18" t="str">
        <x:v>HID-05-01-01</x:v>
      </x:c>
      <x:c r="B67" t="str">
        <x:v>Equipe HID-033</x:v>
      </x:c>
      <x:c r="C67" t="str">
        <x:v>Diego Gomes</x:v>
      </x:c>
      <x:c r="D67" t="str">
        <x:v>Base Caruaru</x:v>
      </x:c>
      <x:c r="E67" t="str">
        <x:v>Belo Jardim</x:v>
      </x:c>
      <x:c r="F67" t="str">
        <x:v>Caruaru</x:v>
      </x:c>
      <x:c r="G67" t="str">
        <x:v>MR04</x:v>
      </x:c>
      <x:c r="H67" t="str">
        <x:v>Belo Jardim</x:v>
      </x:c>
      <x:c r="I67" t="str">
        <x:v>Equipe Dupla</x:v>
      </x:c>
      <x:c r="J67" t="str">
        <x:v>Instalação / Substituição de Hidrômetro</x:v>
      </x:c>
      <x:c r="K67" t="str">
        <x:v>Em recrutamento</x:v>
      </x:c>
      <x:c r="L67" t="str">
        <x:v>Hidrometria</x:v>
      </x:c>
      <x:c r="M67" t="str">
        <x:v>Sim</x:v>
      </x:c>
      <x:c r="N67" t="str">
        <x:v>DADO FICTÍCIO – teste do painel; ID repetido em outra microrrota</x:v>
      </x:c>
      <x:c r="O67" s="15" t="n">
        <x:f>IF(A67="","",--(COUNTIF($A$2:A67,A67)=1))</x:f>
        <x:v>0</x:v>
      </x:c>
      <x:c r="P67" s="15" t="n">
        <x:f>IF(A67="","",--(COUNTIFS($A$2:A67,A67,$F$2:F67,F67)=1))</x:f>
        <x:v>0</x:v>
      </x:c>
    </x:row>
    <x:row r="68">
      <x:c r="A68" s="18" t="str">
        <x:v>HID-05-01-02</x:v>
      </x:c>
      <x:c r="B68" t="str">
        <x:v>Equipe HID-034</x:v>
      </x:c>
      <x:c r="C68" t="str">
        <x:v>Carlos Pereira</x:v>
      </x:c>
      <x:c r="D68" t="str">
        <x:v>Base Caruaru</x:v>
      </x:c>
      <x:c r="E68" t="str">
        <x:v>Belo Jardim</x:v>
      </x:c>
      <x:c r="F68" t="str">
        <x:v>Caruaru</x:v>
      </x:c>
      <x:c r="G68" t="str">
        <x:v>MR04</x:v>
      </x:c>
      <x:c r="H68" t="str">
        <x:v>Belo Jardim</x:v>
      </x:c>
      <x:c r="I68" t="str">
        <x:v>Equipe Simples</x:v>
      </x:c>
      <x:c r="J68" t="str">
        <x:v>Instalação / Substituição de Hidrômetro</x:v>
      </x:c>
      <x:c r="K68" t="str">
        <x:v>Em recrutamento</x:v>
      </x:c>
      <x:c r="L68" t="str">
        <x:v>Hidrometria</x:v>
      </x:c>
      <x:c r="M68" t="str">
        <x:v>Não</x:v>
      </x:c>
      <x:c r="N68" t="str">
        <x:v>DADO FICTÍCIO – teste do painel; ID repetido em outra microrrota</x:v>
      </x:c>
      <x:c r="O68" s="15" t="n">
        <x:f>IF(A68="","",--(COUNTIF($A$2:A68,A68)=1))</x:f>
        <x:v>1</x:v>
      </x:c>
      <x:c r="P68" s="15" t="n">
        <x:f>IF(A68="","",--(COUNTIFS($A$2:A68,A68,$F$2:F68,F68)=1))</x:f>
        <x:v>1</x:v>
      </x:c>
    </x:row>
    <x:row r="69">
      <x:c r="A69" s="18" t="str">
        <x:v>HID-05-01-02</x:v>
      </x:c>
      <x:c r="B69" t="str">
        <x:v>Equipe HID-034</x:v>
      </x:c>
      <x:c r="C69" t="str">
        <x:v>Carlos Pereira</x:v>
      </x:c>
      <x:c r="D69" t="str">
        <x:v>Base Caruaru</x:v>
      </x:c>
      <x:c r="E69" t="str">
        <x:v>Brejo da Madre de Deus</x:v>
      </x:c>
      <x:c r="F69" t="str">
        <x:v>Caruaru</x:v>
      </x:c>
      <x:c r="G69" t="str">
        <x:v>MR05</x:v>
      </x:c>
      <x:c r="H69" t="str">
        <x:v>Brejo da Madre de Deus</x:v>
      </x:c>
      <x:c r="I69" t="str">
        <x:v>Equipe Simples</x:v>
      </x:c>
      <x:c r="J69" t="str">
        <x:v>Instalação / Substituição de Hidrômetro</x:v>
      </x:c>
      <x:c r="K69" t="str">
        <x:v>Em recrutamento</x:v>
      </x:c>
      <x:c r="L69" t="str">
        <x:v>Hidrometria</x:v>
      </x:c>
      <x:c r="M69" t="str">
        <x:v>Não</x:v>
      </x:c>
      <x:c r="N69" t="str">
        <x:v>DADO FICTÍCIO – teste do painel; ID repetido em outra microrrota</x:v>
      </x:c>
      <x:c r="O69" s="15" t="n">
        <x:f>IF(A69="","",--(COUNTIF($A$2:A69,A69)=1))</x:f>
        <x:v>0</x:v>
      </x:c>
      <x:c r="P69" s="15" t="n">
        <x:f>IF(A69="","",--(COUNTIFS($A$2:A69,A69,$F$2:F69,F69)=1))</x:f>
        <x:v>0</x:v>
      </x:c>
    </x:row>
    <x:row r="70">
      <x:c r="A70" s="18" t="str">
        <x:v>HID-05-02-01</x:v>
      </x:c>
      <x:c r="B70" t="str">
        <x:v>Equipe HID-035</x:v>
      </x:c>
      <x:c r="C70" t="str">
        <x:v>Felipe Teixeira</x:v>
      </x:c>
      <x:c r="D70" t="str">
        <x:v>Base Caruaru</x:v>
      </x:c>
      <x:c r="E70" t="str">
        <x:v>Brejo da Madre de Deus</x:v>
      </x:c>
      <x:c r="F70" t="str">
        <x:v>Caruaru</x:v>
      </x:c>
      <x:c r="G70" t="str">
        <x:v>MR05</x:v>
      </x:c>
      <x:c r="H70" t="str">
        <x:v>Brejo da Madre de Deus</x:v>
      </x:c>
      <x:c r="I70" t="str">
        <x:v>Equipe Simples</x:v>
      </x:c>
      <x:c r="J70" t="str">
        <x:v>Instalação / Substituição de Hidrômetro</x:v>
      </x:c>
      <x:c r="K70" t="str">
        <x:v>Em contratação</x:v>
      </x:c>
      <x:c r="L70" t="str">
        <x:v>Hidrometria</x:v>
      </x:c>
      <x:c r="M70" t="str">
        <x:v>Sim</x:v>
      </x:c>
      <x:c r="N70" t="str">
        <x:v>DADO FICTÍCIO – teste do painel; ID repetido em outra microrrota</x:v>
      </x:c>
      <x:c r="O70" s="15" t="n">
        <x:f>IF(A70="","",--(COUNTIF($A$2:A70,A70)=1))</x:f>
        <x:v>1</x:v>
      </x:c>
      <x:c r="P70" s="15" t="n">
        <x:f>IF(A70="","",--(COUNTIFS($A$2:A70,A70,$F$2:F70,F70)=1))</x:f>
        <x:v>1</x:v>
      </x:c>
    </x:row>
    <x:row r="71">
      <x:c r="A71" s="18" t="str">
        <x:v>HID-05-02-01</x:v>
      </x:c>
      <x:c r="B71" t="str">
        <x:v>Equipe HID-035</x:v>
      </x:c>
      <x:c r="C71" t="str">
        <x:v>Felipe Teixeira</x:v>
      </x:c>
      <x:c r="D71" t="str">
        <x:v>Base Caruaru</x:v>
      </x:c>
      <x:c r="E71" t="str">
        <x:v>Casinhas</x:v>
      </x:c>
      <x:c r="F71" t="str">
        <x:v>Caruaru</x:v>
      </x:c>
      <x:c r="G71" t="str">
        <x:v>MR06</x:v>
      </x:c>
      <x:c r="H71" t="str">
        <x:v>Casinhas</x:v>
      </x:c>
      <x:c r="I71" t="str">
        <x:v>Equipe Simples</x:v>
      </x:c>
      <x:c r="J71" t="str">
        <x:v>Instalação / Substituição de Hidrômetro</x:v>
      </x:c>
      <x:c r="K71" t="str">
        <x:v>Em contratação</x:v>
      </x:c>
      <x:c r="L71" t="str">
        <x:v>Hidrometria</x:v>
      </x:c>
      <x:c r="M71" t="str">
        <x:v>Sim</x:v>
      </x:c>
      <x:c r="N71" t="str">
        <x:v>DADO FICTÍCIO – teste do painel; ID repetido em outra microrrota</x:v>
      </x:c>
      <x:c r="O71" s="15" t="n">
        <x:f>IF(A71="","",--(COUNTIF($A$2:A71,A71)=1))</x:f>
        <x:v>0</x:v>
      </x:c>
      <x:c r="P71" s="15" t="n">
        <x:f>IF(A71="","",--(COUNTIFS($A$2:A71,A71,$F$2:F71,F71)=1))</x:f>
        <x:v>0</x:v>
      </x:c>
    </x:row>
    <x:row r="72">
      <x:c r="A72" s="18" t="str">
        <x:v>HID-05-02-02</x:v>
      </x:c>
      <x:c r="B72" t="str">
        <x:v>Equipe HID-036</x:v>
      </x:c>
      <x:c r="C72" t="str">
        <x:v>Igor Almeida</x:v>
      </x:c>
      <x:c r="D72" t="str">
        <x:v>Base Caruaru</x:v>
      </x:c>
      <x:c r="E72" t="str">
        <x:v>Casinhas</x:v>
      </x:c>
      <x:c r="F72" t="str">
        <x:v>Caruaru</x:v>
      </x:c>
      <x:c r="G72" t="str">
        <x:v>MR06</x:v>
      </x:c>
      <x:c r="H72" t="str">
        <x:v>Casinhas</x:v>
      </x:c>
      <x:c r="I72" t="str">
        <x:v>Equipe Dupla</x:v>
      </x:c>
      <x:c r="J72" t="str">
        <x:v>Instalação / Substituição de Hidrômetro</x:v>
      </x:c>
      <x:c r="K72" t="str">
        <x:v>Em contratação</x:v>
      </x:c>
      <x:c r="L72" t="str">
        <x:v>Hidrometria</x:v>
      </x:c>
      <x:c r="M72" t="str">
        <x:v>Não</x:v>
      </x:c>
      <x:c r="N72" t="str">
        <x:v>DADO FICTÍCIO – teste do painel; ID repetido em outra microrrota</x:v>
      </x:c>
      <x:c r="O72" s="15" t="n">
        <x:f>IF(A72="","",--(COUNTIF($A$2:A72,A72)=1))</x:f>
        <x:v>1</x:v>
      </x:c>
      <x:c r="P72" s="15" t="n">
        <x:f>IF(A72="","",--(COUNTIFS($A$2:A72,A72,$F$2:F72,F72)=1))</x:f>
        <x:v>1</x:v>
      </x:c>
    </x:row>
    <x:row r="73">
      <x:c r="A73" s="18" t="str">
        <x:v>HID-05-02-02</x:v>
      </x:c>
      <x:c r="B73" t="str">
        <x:v>Equipe HID-036</x:v>
      </x:c>
      <x:c r="C73" t="str">
        <x:v>Igor Almeida</x:v>
      </x:c>
      <x:c r="D73" t="str">
        <x:v>Base Caruaru</x:v>
      </x:c>
      <x:c r="E73" t="str">
        <x:v>Caruaru</x:v>
      </x:c>
      <x:c r="F73" t="str">
        <x:v>Caruaru</x:v>
      </x:c>
      <x:c r="G73" t="str">
        <x:v>MR01</x:v>
      </x:c>
      <x:c r="H73" t="str">
        <x:v>Caruaru</x:v>
      </x:c>
      <x:c r="I73" t="str">
        <x:v>Equipe Dupla</x:v>
      </x:c>
      <x:c r="J73" t="str">
        <x:v>Instalação / Substituição de Hidrômetro</x:v>
      </x:c>
      <x:c r="K73" t="str">
        <x:v>Em contratação</x:v>
      </x:c>
      <x:c r="L73" t="str">
        <x:v>Hidrometria</x:v>
      </x:c>
      <x:c r="M73" t="str">
        <x:v>Não</x:v>
      </x:c>
      <x:c r="N73" t="str">
        <x:v>DADO FICTÍCIO – teste do painel; ID repetido em outra microrrota</x:v>
      </x:c>
      <x:c r="O73" s="15" t="n">
        <x:f>IF(A73="","",--(COUNTIF($A$2:A73,A73)=1))</x:f>
        <x:v>0</x:v>
      </x:c>
      <x:c r="P73" s="15" t="n">
        <x:f>IF(A73="","",--(COUNTIFS($A$2:A73,A73,$F$2:F73,F73)=1))</x:f>
        <x:v>0</x:v>
      </x:c>
    </x:row>
    <x:row r="74">
      <x:c r="A74" s="18" t="str">
        <x:v>HID-05-03-01</x:v>
      </x:c>
      <x:c r="B74" t="str">
        <x:v>Equipe HID-037</x:v>
      </x:c>
      <x:c r="C74" t="str">
        <x:v>Marcos Gomes</x:v>
      </x:c>
      <x:c r="D74" t="str">
        <x:v>Base Caruaru</x:v>
      </x:c>
      <x:c r="E74" t="str">
        <x:v>Caruaru</x:v>
      </x:c>
      <x:c r="F74" t="str">
        <x:v>Caruaru</x:v>
      </x:c>
      <x:c r="G74" t="str">
        <x:v>MR01</x:v>
      </x:c>
      <x:c r="H74" t="str">
        <x:v>Caruaru</x:v>
      </x:c>
      <x:c r="I74" t="str">
        <x:v>Equipe Dupla</x:v>
      </x:c>
      <x:c r="J74" t="str">
        <x:v>Instalação / Substituição de Hidrômetro</x:v>
      </x:c>
      <x:c r="K74" t="str">
        <x:v>Contratada</x:v>
      </x:c>
      <x:c r="L74" t="str">
        <x:v>Hidrometria</x:v>
      </x:c>
      <x:c r="M74" t="str">
        <x:v>Sim</x:v>
      </x:c>
      <x:c r="N74" t="str">
        <x:v>DADO FICTÍCIO – teste do painel; ID repetido em outra microrrota</x:v>
      </x:c>
      <x:c r="O74" s="15" t="n">
        <x:f>IF(A74="","",--(COUNTIF($A$2:A74,A74)=1))</x:f>
        <x:v>1</x:v>
      </x:c>
      <x:c r="P74" s="15" t="n">
        <x:f>IF(A74="","",--(COUNTIFS($A$2:A74,A74,$F$2:F74,F74)=1))</x:f>
        <x:v>1</x:v>
      </x:c>
    </x:row>
    <x:row r="75">
      <x:c r="A75" s="18" t="str">
        <x:v>HID-05-03-01</x:v>
      </x:c>
      <x:c r="B75" t="str">
        <x:v>Equipe HID-037</x:v>
      </x:c>
      <x:c r="C75" t="str">
        <x:v>Marcos Gomes</x:v>
      </x:c>
      <x:c r="D75" t="str">
        <x:v>Base Caruaru</x:v>
      </x:c>
      <x:c r="E75" t="str">
        <x:v>Altinho</x:v>
      </x:c>
      <x:c r="F75" t="str">
        <x:v>Caruaru</x:v>
      </x:c>
      <x:c r="G75" t="str">
        <x:v>MR02</x:v>
      </x:c>
      <x:c r="H75" t="str">
        <x:v>Altinho</x:v>
      </x:c>
      <x:c r="I75" t="str">
        <x:v>Equipe Dupla</x:v>
      </x:c>
      <x:c r="J75" t="str">
        <x:v>Instalação / Substituição de Hidrômetro</x:v>
      </x:c>
      <x:c r="K75" t="str">
        <x:v>Contratada</x:v>
      </x:c>
      <x:c r="L75" t="str">
        <x:v>Hidrometria</x:v>
      </x:c>
      <x:c r="M75" t="str">
        <x:v>Sim</x:v>
      </x:c>
      <x:c r="N75" t="str">
        <x:v>DADO FICTÍCIO – teste do painel; ID repetido em outra microrrota</x:v>
      </x:c>
      <x:c r="O75" s="15" t="n">
        <x:f>IF(A75="","",--(COUNTIF($A$2:A75,A75)=1))</x:f>
        <x:v>0</x:v>
      </x:c>
      <x:c r="P75" s="15" t="n">
        <x:f>IF(A75="","",--(COUNTIFS($A$2:A75,A75,$F$2:F75,F75)=1))</x:f>
        <x:v>0</x:v>
      </x:c>
    </x:row>
    <x:row r="76">
      <x:c r="A76" s="18" t="str">
        <x:v>HID-05-03-02</x:v>
      </x:c>
      <x:c r="B76" t="str">
        <x:v>Equipe HID-038</x:v>
      </x:c>
      <x:c r="C76" t="str">
        <x:v>Renato Pereira</x:v>
      </x:c>
      <x:c r="D76" t="str">
        <x:v>Base Caruaru</x:v>
      </x:c>
      <x:c r="E76" t="str">
        <x:v>Altinho</x:v>
      </x:c>
      <x:c r="F76" t="str">
        <x:v>Caruaru</x:v>
      </x:c>
      <x:c r="G76" t="str">
        <x:v>MR02</x:v>
      </x:c>
      <x:c r="H76" t="str">
        <x:v>Altinho</x:v>
      </x:c>
      <x:c r="I76" t="str">
        <x:v>Equipe Simples</x:v>
      </x:c>
      <x:c r="J76" t="str">
        <x:v>Instalação / Substituição de Hidrômetro</x:v>
      </x:c>
      <x:c r="K76" t="str">
        <x:v>Contratada</x:v>
      </x:c>
      <x:c r="L76" t="str">
        <x:v>Hidrometria</x:v>
      </x:c>
      <x:c r="M76" t="str">
        <x:v>Sim</x:v>
      </x:c>
      <x:c r="N76" t="str">
        <x:v>DADO FICTÍCIO – teste do painel; ID repetido em outra microrrota</x:v>
      </x:c>
      <x:c r="O76" s="15" t="n">
        <x:f>IF(A76="","",--(COUNTIF($A$2:A76,A76)=1))</x:f>
        <x:v>1</x:v>
      </x:c>
      <x:c r="P76" s="15" t="n">
        <x:f>IF(A76="","",--(COUNTIFS($A$2:A76,A76,$F$2:F76,F76)=1))</x:f>
        <x:v>1</x:v>
      </x:c>
    </x:row>
    <x:row r="77">
      <x:c r="A77" s="18" t="str">
        <x:v>HID-05-03-02</x:v>
      </x:c>
      <x:c r="B77" t="str">
        <x:v>Equipe HID-038</x:v>
      </x:c>
      <x:c r="C77" t="str">
        <x:v>Renato Pereira</x:v>
      </x:c>
      <x:c r="D77" t="str">
        <x:v>Base Caruaru</x:v>
      </x:c>
      <x:c r="E77" t="str">
        <x:v>Panelas</x:v>
      </x:c>
      <x:c r="F77" t="str">
        <x:v>Caruaru</x:v>
      </x:c>
      <x:c r="G77" t="str">
        <x:v>MR03</x:v>
      </x:c>
      <x:c r="H77" t="str">
        <x:v>Panelas</x:v>
      </x:c>
      <x:c r="I77" t="str">
        <x:v>Equipe Simples</x:v>
      </x:c>
      <x:c r="J77" t="str">
        <x:v>Instalação / Substituição de Hidrômetro</x:v>
      </x:c>
      <x:c r="K77" t="str">
        <x:v>Contratada</x:v>
      </x:c>
      <x:c r="L77" t="str">
        <x:v>Hidrometria</x:v>
      </x:c>
      <x:c r="M77" t="str">
        <x:v>Sim</x:v>
      </x:c>
      <x:c r="N77" t="str">
        <x:v>DADO FICTÍCIO – teste do painel; ID repetido em outra microrrota</x:v>
      </x:c>
      <x:c r="O77" s="15" t="n">
        <x:f>IF(A77="","",--(COUNTIF($A$2:A77,A77)=1))</x:f>
        <x:v>0</x:v>
      </x:c>
      <x:c r="P77" s="15" t="n">
        <x:f>IF(A77="","",--(COUNTIFS($A$2:A77,A77,$F$2:F77,F77)=1))</x:f>
        <x:v>0</x:v>
      </x:c>
    </x:row>
    <x:row r="78">
      <x:c r="A78" s="18" t="str">
        <x:v>HID-05-04-01</x:v>
      </x:c>
      <x:c r="B78" t="str">
        <x:v>Equipe HID-039</x:v>
      </x:c>
      <x:c r="C78" t="str">
        <x:v>Wagner Teixeira</x:v>
      </x:c>
      <x:c r="D78" t="str">
        <x:v>Base Caruaru</x:v>
      </x:c>
      <x:c r="E78" t="str">
        <x:v>Panelas</x:v>
      </x:c>
      <x:c r="F78" t="str">
        <x:v>Caruaru</x:v>
      </x:c>
      <x:c r="G78" t="str">
        <x:v>MR03</x:v>
      </x:c>
      <x:c r="H78" t="str">
        <x:v>Panelas</x:v>
      </x:c>
      <x:c r="I78" t="str">
        <x:v>Equipe Simples</x:v>
      </x:c>
      <x:c r="J78" t="str">
        <x:v>Instalação / Substituição de Hidrômetro</x:v>
      </x:c>
      <x:c r="K78" t="str">
        <x:v>Mobilizada</x:v>
      </x:c>
      <x:c r="L78" t="str">
        <x:v>Hidrometria</x:v>
      </x:c>
      <x:c r="M78" t="str">
        <x:v>Sim</x:v>
      </x:c>
      <x:c r="N78" t="str">
        <x:v>DADO FICTÍCIO – teste do painel; ID repetido em outra microrrota</x:v>
      </x:c>
      <x:c r="O78" s="15" t="n">
        <x:f>IF(A78="","",--(COUNTIF($A$2:A78,A78)=1))</x:f>
        <x:v>1</x:v>
      </x:c>
      <x:c r="P78" s="15" t="n">
        <x:f>IF(A78="","",--(COUNTIFS($A$2:A78,A78,$F$2:F78,F78)=1))</x:f>
        <x:v>1</x:v>
      </x:c>
    </x:row>
    <x:row r="79">
      <x:c r="A79" s="18" t="str">
        <x:v>HID-05-04-01</x:v>
      </x:c>
      <x:c r="B79" t="str">
        <x:v>Equipe HID-039</x:v>
      </x:c>
      <x:c r="C79" t="str">
        <x:v>Wagner Teixeira</x:v>
      </x:c>
      <x:c r="D79" t="str">
        <x:v>Base Caruaru</x:v>
      </x:c>
      <x:c r="E79" t="str">
        <x:v>Belo Jardim</x:v>
      </x:c>
      <x:c r="F79" t="str">
        <x:v>Caruaru</x:v>
      </x:c>
      <x:c r="G79" t="str">
        <x:v>MR04</x:v>
      </x:c>
      <x:c r="H79" t="str">
        <x:v>Belo Jardim</x:v>
      </x:c>
      <x:c r="I79" t="str">
        <x:v>Equipe Simples</x:v>
      </x:c>
      <x:c r="J79" t="str">
        <x:v>Instalação / Substituição de Hidrômetro</x:v>
      </x:c>
      <x:c r="K79" t="str">
        <x:v>Mobilizada</x:v>
      </x:c>
      <x:c r="L79" t="str">
        <x:v>Hidrometria</x:v>
      </x:c>
      <x:c r="M79" t="str">
        <x:v>Sim</x:v>
      </x:c>
      <x:c r="N79" t="str">
        <x:v>DADO FICTÍCIO – teste do painel; ID repetido em outra microrrota</x:v>
      </x:c>
      <x:c r="O79" s="15" t="n">
        <x:f>IF(A79="","",--(COUNTIF($A$2:A79,A79)=1))</x:f>
        <x:v>0</x:v>
      </x:c>
      <x:c r="P79" s="15" t="n">
        <x:f>IF(A79="","",--(COUNTIFS($A$2:A79,A79,$F$2:F79,F79)=1))</x:f>
        <x:v>0</x:v>
      </x:c>
    </x:row>
    <x:row r="80">
      <x:c r="A80" s="18" t="str">
        <x:v>HID-05-04-02</x:v>
      </x:c>
      <x:c r="B80" t="str">
        <x:v>Equipe HID-040</x:v>
      </x:c>
      <x:c r="C80" t="str">
        <x:v>André Almeida</x:v>
      </x:c>
      <x:c r="D80" t="str">
        <x:v>Base Caruaru</x:v>
      </x:c>
      <x:c r="E80" t="str">
        <x:v>Belo Jardim</x:v>
      </x:c>
      <x:c r="F80" t="str">
        <x:v>Caruaru</x:v>
      </x:c>
      <x:c r="G80" t="str">
        <x:v>MR04</x:v>
      </x:c>
      <x:c r="H80" t="str">
        <x:v>Belo Jardim</x:v>
      </x:c>
      <x:c r="I80" t="str">
        <x:v>Equipe Dupla</x:v>
      </x:c>
      <x:c r="J80" t="str">
        <x:v>Instalação / Substituição de Hidrômetro</x:v>
      </x:c>
      <x:c r="K80" t="str">
        <x:v>Mobilizada</x:v>
      </x:c>
      <x:c r="L80" t="str">
        <x:v>Hidrometria</x:v>
      </x:c>
      <x:c r="M80" t="str">
        <x:v>Sim</x:v>
      </x:c>
      <x:c r="N80" t="str">
        <x:v>DADO FICTÍCIO – teste do painel; ID repetido em outra microrrota</x:v>
      </x:c>
      <x:c r="O80" s="15" t="n">
        <x:f>IF(A80="","",--(COUNTIF($A$2:A80,A80)=1))</x:f>
        <x:v>1</x:v>
      </x:c>
      <x:c r="P80" s="15" t="n">
        <x:f>IF(A80="","",--(COUNTIFS($A$2:A80,A80,$F$2:F80,F80)=1))</x:f>
        <x:v>1</x:v>
      </x:c>
    </x:row>
    <x:row r="81">
      <x:c r="A81" s="18" t="str">
        <x:v>HID-05-04-02</x:v>
      </x:c>
      <x:c r="B81" t="str">
        <x:v>Equipe HID-040</x:v>
      </x:c>
      <x:c r="C81" t="str">
        <x:v>André Almeida</x:v>
      </x:c>
      <x:c r="D81" t="str">
        <x:v>Base Caruaru</x:v>
      </x:c>
      <x:c r="E81" t="str">
        <x:v>Brejo da Madre de Deus</x:v>
      </x:c>
      <x:c r="F81" t="str">
        <x:v>Caruaru</x:v>
      </x:c>
      <x:c r="G81" t="str">
        <x:v>MR05</x:v>
      </x:c>
      <x:c r="H81" t="str">
        <x:v>Brejo da Madre de Deus</x:v>
      </x:c>
      <x:c r="I81" t="str">
        <x:v>Equipe Dupla</x:v>
      </x:c>
      <x:c r="J81" t="str">
        <x:v>Instalação / Substituição de Hidrômetro</x:v>
      </x:c>
      <x:c r="K81" t="str">
        <x:v>Mobilizada</x:v>
      </x:c>
      <x:c r="L81" t="str">
        <x:v>Hidrometria</x:v>
      </x:c>
      <x:c r="M81" t="str">
        <x:v>Sim</x:v>
      </x:c>
      <x:c r="N81" t="str">
        <x:v>DADO FICTÍCIO – teste do painel; ID repetido em outra microrrota</x:v>
      </x:c>
      <x:c r="O81" s="15" t="n">
        <x:f>IF(A81="","",--(COUNTIF($A$2:A81,A81)=1))</x:f>
        <x:v>0</x:v>
      </x:c>
      <x:c r="P81" s="15" t="n">
        <x:f>IF(A81="","",--(COUNTIFS($A$2:A81,A81,$F$2:F81,F81)=1))</x:f>
        <x:v>0</x:v>
      </x:c>
    </x:row>
    <x:row r="82">
      <x:c r="A82" s="18" t="str">
        <x:v>HID-06-01-01</x:v>
      </x:c>
      <x:c r="B82" t="str">
        <x:v>Equipe HID-041</x:v>
      </x:c>
      <x:c r="C82" t="str">
        <x:v>Daniel Gomes</x:v>
      </x:c>
      <x:c r="D82" t="str">
        <x:v>Base Garanhuns</x:v>
      </x:c>
      <x:c r="E82" t="str">
        <x:v>Angelim</x:v>
      </x:c>
      <x:c r="F82" t="str">
        <x:v>Garanhuns</x:v>
      </x:c>
      <x:c r="G82" t="str">
        <x:v>MR02</x:v>
      </x:c>
      <x:c r="H82" t="str">
        <x:v>Angelim</x:v>
      </x:c>
      <x:c r="I82" t="str">
        <x:v>Equipe Dupla</x:v>
      </x:c>
      <x:c r="J82" t="str">
        <x:v>Instalação / Substituição de Hidrômetro</x:v>
      </x:c>
      <x:c r="K82" t="str">
        <x:v>Em recrutamento</x:v>
      </x:c>
      <x:c r="L82" t="str">
        <x:v>Hidrometria</x:v>
      </x:c>
      <x:c r="M82" t="str">
        <x:v>Sim</x:v>
      </x:c>
      <x:c r="N82" t="str">
        <x:v>DADO FICTÍCIO – teste do painel; ID repetido em outra microrrota</x:v>
      </x:c>
      <x:c r="O82" s="15" t="n">
        <x:f>IF(A82="","",--(COUNTIF($A$2:A82,A82)=1))</x:f>
        <x:v>1</x:v>
      </x:c>
      <x:c r="P82" s="15" t="n">
        <x:f>IF(A82="","",--(COUNTIFS($A$2:A82,A82,$F$2:F82,F82)=1))</x:f>
        <x:v>1</x:v>
      </x:c>
    </x:row>
    <x:row r="83">
      <x:c r="A83" s="18" t="str">
        <x:v>HID-06-01-01</x:v>
      </x:c>
      <x:c r="B83" t="str">
        <x:v>Equipe HID-041</x:v>
      </x:c>
      <x:c r="C83" t="str">
        <x:v>Daniel Gomes</x:v>
      </x:c>
      <x:c r="D83" t="str">
        <x:v>Base Garanhuns</x:v>
      </x:c>
      <x:c r="E83" t="str">
        <x:v>Águas Belas</x:v>
      </x:c>
      <x:c r="F83" t="str">
        <x:v>Garanhuns</x:v>
      </x:c>
      <x:c r="G83" t="str">
        <x:v>MR03</x:v>
      </x:c>
      <x:c r="H83" t="str">
        <x:v>Águas Belas</x:v>
      </x:c>
      <x:c r="I83" t="str">
        <x:v>Equipe Dupla</x:v>
      </x:c>
      <x:c r="J83" t="str">
        <x:v>Instalação / Substituição de Hidrômetro</x:v>
      </x:c>
      <x:c r="K83" t="str">
        <x:v>Em recrutamento</x:v>
      </x:c>
      <x:c r="L83" t="str">
        <x:v>Hidrometria</x:v>
      </x:c>
      <x:c r="M83" t="str">
        <x:v>Sim</x:v>
      </x:c>
      <x:c r="N83" t="str">
        <x:v>DADO FICTÍCIO – teste do painel; ID repetido em outra microrrota</x:v>
      </x:c>
      <x:c r="O83" s="15" t="n">
        <x:f>IF(A83="","",--(COUNTIF($A$2:A83,A83)=1))</x:f>
        <x:v>0</x:v>
      </x:c>
      <x:c r="P83" s="15" t="n">
        <x:f>IF(A83="","",--(COUNTIFS($A$2:A83,A83,$F$2:F83,F83)=1))</x:f>
        <x:v>0</x:v>
      </x:c>
    </x:row>
    <x:row r="84">
      <x:c r="A84" s="18" t="str">
        <x:v>HID-06-01-02</x:v>
      </x:c>
      <x:c r="B84" t="str">
        <x:v>Equipe HID-042</x:v>
      </x:c>
      <x:c r="C84" t="str">
        <x:v>Gabriel Pereira</x:v>
      </x:c>
      <x:c r="D84" t="str">
        <x:v>Base Garanhuns</x:v>
      </x:c>
      <x:c r="E84" t="str">
        <x:v>Águas Belas</x:v>
      </x:c>
      <x:c r="F84" t="str">
        <x:v>Garanhuns</x:v>
      </x:c>
      <x:c r="G84" t="str">
        <x:v>MR03</x:v>
      </x:c>
      <x:c r="H84" t="str">
        <x:v>Águas Belas</x:v>
      </x:c>
      <x:c r="I84" t="str">
        <x:v>Equipe Simples</x:v>
      </x:c>
      <x:c r="J84" t="str">
        <x:v>Instalação / Substituição de Hidrômetro</x:v>
      </x:c>
      <x:c r="K84" t="str">
        <x:v>Em recrutamento</x:v>
      </x:c>
      <x:c r="L84" t="str">
        <x:v>Hidrometria</x:v>
      </x:c>
      <x:c r="M84" t="str">
        <x:v>Não</x:v>
      </x:c>
      <x:c r="N84" t="str">
        <x:v>DADO FICTÍCIO – teste do painel; ID repetido em outra microrrota</x:v>
      </x:c>
      <x:c r="O84" s="15" t="n">
        <x:f>IF(A84="","",--(COUNTIF($A$2:A84,A84)=1))</x:f>
        <x:v>1</x:v>
      </x:c>
      <x:c r="P84" s="15" t="n">
        <x:f>IF(A84="","",--(COUNTIFS($A$2:A84,A84,$F$2:F84,F84)=1))</x:f>
        <x:v>1</x:v>
      </x:c>
    </x:row>
    <x:row r="85">
      <x:c r="A85" s="18" t="str">
        <x:v>HID-06-01-02</x:v>
      </x:c>
      <x:c r="B85" t="str">
        <x:v>Equipe HID-042</x:v>
      </x:c>
      <x:c r="C85" t="str">
        <x:v>Gabriel Pereira</x:v>
      </x:c>
      <x:c r="D85" t="str">
        <x:v>Base Garanhuns</x:v>
      </x:c>
      <x:c r="E85" t="str">
        <x:v>Garanhuns</x:v>
      </x:c>
      <x:c r="F85" t="str">
        <x:v>Garanhuns</x:v>
      </x:c>
      <x:c r="G85" t="str">
        <x:v>MR01</x:v>
      </x:c>
      <x:c r="H85" t="str">
        <x:v>Garanhuns</x:v>
      </x:c>
      <x:c r="I85" t="str">
        <x:v>Equipe Simples</x:v>
      </x:c>
      <x:c r="J85" t="str">
        <x:v>Instalação / Substituição de Hidrômetro</x:v>
      </x:c>
      <x:c r="K85" t="str">
        <x:v>Em recrutamento</x:v>
      </x:c>
      <x:c r="L85" t="str">
        <x:v>Hidrometria</x:v>
      </x:c>
      <x:c r="M85" t="str">
        <x:v>Não</x:v>
      </x:c>
      <x:c r="N85" t="str">
        <x:v>DADO FICTÍCIO – teste do painel; ID repetido em outra microrrota</x:v>
      </x:c>
      <x:c r="O85" s="15" t="n">
        <x:f>IF(A85="","",--(COUNTIF($A$2:A85,A85)=1))</x:f>
        <x:v>0</x:v>
      </x:c>
      <x:c r="P85" s="15" t="n">
        <x:f>IF(A85="","",--(COUNTIFS($A$2:A85,A85,$F$2:F85,F85)=1))</x:f>
        <x:v>0</x:v>
      </x:c>
    </x:row>
    <x:row r="86">
      <x:c r="A86" s="18" t="str">
        <x:v>HID-06-02-01</x:v>
      </x:c>
      <x:c r="B86" t="str">
        <x:v>Equipe HID-043</x:v>
      </x:c>
      <x:c r="C86" t="str">
        <x:v>João Teixeira</x:v>
      </x:c>
      <x:c r="D86" t="str">
        <x:v>Base Garanhuns</x:v>
      </x:c>
      <x:c r="E86" t="str">
        <x:v>Garanhuns</x:v>
      </x:c>
      <x:c r="F86" t="str">
        <x:v>Garanhuns</x:v>
      </x:c>
      <x:c r="G86" t="str">
        <x:v>MR01</x:v>
      </x:c>
      <x:c r="H86" t="str">
        <x:v>Garanhuns</x:v>
      </x:c>
      <x:c r="I86" t="str">
        <x:v>Equipe Simples</x:v>
      </x:c>
      <x:c r="J86" t="str">
        <x:v>Instalação / Substituição de Hidrômetro</x:v>
      </x:c>
      <x:c r="K86" t="str">
        <x:v>Em contratação</x:v>
      </x:c>
      <x:c r="L86" t="str">
        <x:v>Hidrometria</x:v>
      </x:c>
      <x:c r="M86" t="str">
        <x:v>Sim</x:v>
      </x:c>
      <x:c r="N86" t="str">
        <x:v>DADO FICTÍCIO – teste do painel; ID repetido em outra microrrota</x:v>
      </x:c>
      <x:c r="O86" s="15" t="n">
        <x:f>IF(A86="","",--(COUNTIF($A$2:A86,A86)=1))</x:f>
        <x:v>1</x:v>
      </x:c>
      <x:c r="P86" s="15" t="n">
        <x:f>IF(A86="","",--(COUNTIFS($A$2:A86,A86,$F$2:F86,F86)=1))</x:f>
        <x:v>1</x:v>
      </x:c>
    </x:row>
    <x:row r="87">
      <x:c r="A87" s="18" t="str">
        <x:v>HID-06-02-01</x:v>
      </x:c>
      <x:c r="B87" t="str">
        <x:v>Equipe HID-043</x:v>
      </x:c>
      <x:c r="C87" t="str">
        <x:v>João Teixeira</x:v>
      </x:c>
      <x:c r="D87" t="str">
        <x:v>Base Garanhuns</x:v>
      </x:c>
      <x:c r="E87" t="str">
        <x:v>Angelim</x:v>
      </x:c>
      <x:c r="F87" t="str">
        <x:v>Garanhuns</x:v>
      </x:c>
      <x:c r="G87" t="str">
        <x:v>MR02</x:v>
      </x:c>
      <x:c r="H87" t="str">
        <x:v>Angelim</x:v>
      </x:c>
      <x:c r="I87" t="str">
        <x:v>Equipe Simples</x:v>
      </x:c>
      <x:c r="J87" t="str">
        <x:v>Instalação / Substituição de Hidrômetro</x:v>
      </x:c>
      <x:c r="K87" t="str">
        <x:v>Em contratação</x:v>
      </x:c>
      <x:c r="L87" t="str">
        <x:v>Hidrometria</x:v>
      </x:c>
      <x:c r="M87" t="str">
        <x:v>Sim</x:v>
      </x:c>
      <x:c r="N87" t="str">
        <x:v>DADO FICTÍCIO – teste do painel; ID repetido em outra microrrota</x:v>
      </x:c>
      <x:c r="O87" s="15" t="n">
        <x:f>IF(A87="","",--(COUNTIF($A$2:A87,A87)=1))</x:f>
        <x:v>0</x:v>
      </x:c>
      <x:c r="P87" s="15" t="n">
        <x:f>IF(A87="","",--(COUNTIFS($A$2:A87,A87,$F$2:F87,F87)=1))</x:f>
        <x:v>0</x:v>
      </x:c>
    </x:row>
    <x:row r="88">
      <x:c r="A88" s="18" t="str">
        <x:v>HID-06-02-02</x:v>
      </x:c>
      <x:c r="B88" t="str">
        <x:v>Equipe HID-044</x:v>
      </x:c>
      <x:c r="C88" t="str">
        <x:v>Paulo Almeida</x:v>
      </x:c>
      <x:c r="D88" t="str">
        <x:v>Base Garanhuns</x:v>
      </x:c>
      <x:c r="E88" t="str">
        <x:v>Angelim</x:v>
      </x:c>
      <x:c r="F88" t="str">
        <x:v>Garanhuns</x:v>
      </x:c>
      <x:c r="G88" t="str">
        <x:v>MR02</x:v>
      </x:c>
      <x:c r="H88" t="str">
        <x:v>Angelim</x:v>
      </x:c>
      <x:c r="I88" t="str">
        <x:v>Equipe Dupla</x:v>
      </x:c>
      <x:c r="J88" t="str">
        <x:v>Instalação / Substituição de Hidrômetro</x:v>
      </x:c>
      <x:c r="K88" t="str">
        <x:v>Em contratação</x:v>
      </x:c>
      <x:c r="L88" t="str">
        <x:v>Hidrometria</x:v>
      </x:c>
      <x:c r="M88" t="str">
        <x:v>Não</x:v>
      </x:c>
      <x:c r="N88" t="str">
        <x:v>DADO FICTÍCIO – teste do painel; ID repetido em outra microrrota</x:v>
      </x:c>
      <x:c r="O88" s="15" t="n">
        <x:f>IF(A88="","",--(COUNTIF($A$2:A88,A88)=1))</x:f>
        <x:v>1</x:v>
      </x:c>
      <x:c r="P88" s="15" t="n">
        <x:f>IF(A88="","",--(COUNTIFS($A$2:A88,A88,$F$2:F88,F88)=1))</x:f>
        <x:v>1</x:v>
      </x:c>
    </x:row>
    <x:row r="89">
      <x:c r="A89" s="18" t="str">
        <x:v>HID-06-02-02</x:v>
      </x:c>
      <x:c r="B89" t="str">
        <x:v>Equipe HID-044</x:v>
      </x:c>
      <x:c r="C89" t="str">
        <x:v>Paulo Almeida</x:v>
      </x:c>
      <x:c r="D89" t="str">
        <x:v>Base Garanhuns</x:v>
      </x:c>
      <x:c r="E89" t="str">
        <x:v>Águas Belas</x:v>
      </x:c>
      <x:c r="F89" t="str">
        <x:v>Garanhuns</x:v>
      </x:c>
      <x:c r="G89" t="str">
        <x:v>MR03</x:v>
      </x:c>
      <x:c r="H89" t="str">
        <x:v>Águas Belas</x:v>
      </x:c>
      <x:c r="I89" t="str">
        <x:v>Equipe Dupla</x:v>
      </x:c>
      <x:c r="J89" t="str">
        <x:v>Instalação / Substituição de Hidrômetro</x:v>
      </x:c>
      <x:c r="K89" t="str">
        <x:v>Em contratação</x:v>
      </x:c>
      <x:c r="L89" t="str">
        <x:v>Hidrometria</x:v>
      </x:c>
      <x:c r="M89" t="str">
        <x:v>Não</x:v>
      </x:c>
      <x:c r="N89" t="str">
        <x:v>DADO FICTÍCIO – teste do painel; ID repetido em outra microrrota</x:v>
      </x:c>
      <x:c r="O89" s="15" t="n">
        <x:f>IF(A89="","",--(COUNTIF($A$2:A89,A89)=1))</x:f>
        <x:v>0</x:v>
      </x:c>
      <x:c r="P89" s="15" t="n">
        <x:f>IF(A89="","",--(COUNTIFS($A$2:A89,A89,$F$2:F89,F89)=1))</x:f>
        <x:v>0</x:v>
      </x:c>
    </x:row>
    <x:row r="90">
      <x:c r="A90" s="18" t="str">
        <x:v>HID-06-03-01</x:v>
      </x:c>
      <x:c r="B90" t="str">
        <x:v>Equipe HID-045</x:v>
      </x:c>
      <x:c r="C90" t="str">
        <x:v>Thiago Gomes</x:v>
      </x:c>
      <x:c r="D90" t="str">
        <x:v>Base Garanhuns</x:v>
      </x:c>
      <x:c r="E90" t="str">
        <x:v>Águas Belas</x:v>
      </x:c>
      <x:c r="F90" t="str">
        <x:v>Garanhuns</x:v>
      </x:c>
      <x:c r="G90" t="str">
        <x:v>MR03</x:v>
      </x:c>
      <x:c r="H90" t="str">
        <x:v>Águas Belas</x:v>
      </x:c>
      <x:c r="I90" t="str">
        <x:v>Equipe Dupla</x:v>
      </x:c>
      <x:c r="J90" t="str">
        <x:v>Instalação / Substituição de Hidrômetro</x:v>
      </x:c>
      <x:c r="K90" t="str">
        <x:v>Contratada</x:v>
      </x:c>
      <x:c r="L90" t="str">
        <x:v>Hidrometria</x:v>
      </x:c>
      <x:c r="M90" t="str">
        <x:v>Sim</x:v>
      </x:c>
      <x:c r="N90" t="str">
        <x:v>DADO FICTÍCIO – teste do painel; ID repetido em outra microrrota</x:v>
      </x:c>
      <x:c r="O90" s="15" t="n">
        <x:f>IF(A90="","",--(COUNTIF($A$2:A90,A90)=1))</x:f>
        <x:v>1</x:v>
      </x:c>
      <x:c r="P90" s="15" t="n">
        <x:f>IF(A90="","",--(COUNTIFS($A$2:A90,A90,$F$2:F90,F90)=1))</x:f>
        <x:v>1</x:v>
      </x:c>
    </x:row>
    <x:row r="91">
      <x:c r="A91" s="18" t="str">
        <x:v>HID-06-03-01</x:v>
      </x:c>
      <x:c r="B91" t="str">
        <x:v>Equipe HID-045</x:v>
      </x:c>
      <x:c r="C91" t="str">
        <x:v>Thiago Gomes</x:v>
      </x:c>
      <x:c r="D91" t="str">
        <x:v>Base Garanhuns</x:v>
      </x:c>
      <x:c r="E91" t="str">
        <x:v>Garanhuns</x:v>
      </x:c>
      <x:c r="F91" t="str">
        <x:v>Garanhuns</x:v>
      </x:c>
      <x:c r="G91" t="str">
        <x:v>MR01</x:v>
      </x:c>
      <x:c r="H91" t="str">
        <x:v>Garanhuns</x:v>
      </x:c>
      <x:c r="I91" t="str">
        <x:v>Equipe Dupla</x:v>
      </x:c>
      <x:c r="J91" t="str">
        <x:v>Instalação / Substituição de Hidrômetro</x:v>
      </x:c>
      <x:c r="K91" t="str">
        <x:v>Contratada</x:v>
      </x:c>
      <x:c r="L91" t="str">
        <x:v>Hidrometria</x:v>
      </x:c>
      <x:c r="M91" t="str">
        <x:v>Sim</x:v>
      </x:c>
      <x:c r="N91" t="str">
        <x:v>DADO FICTÍCIO – teste do painel; ID repetido em outra microrrota</x:v>
      </x:c>
      <x:c r="O91" s="15" t="n">
        <x:f>IF(A91="","",--(COUNTIF($A$2:A91,A91)=1))</x:f>
        <x:v>0</x:v>
      </x:c>
      <x:c r="P91" s="15" t="n">
        <x:f>IF(A91="","",--(COUNTIFS($A$2:A91,A91,$F$2:F91,F91)=1))</x:f>
        <x:v>0</x:v>
      </x:c>
    </x:row>
    <x:row r="92">
      <x:c r="A92" s="18" t="str">
        <x:v>HID-06-03-02</x:v>
      </x:c>
      <x:c r="B92" t="str">
        <x:v>Equipe HID-046</x:v>
      </x:c>
      <x:c r="C92" t="str">
        <x:v>Alex Pereira</x:v>
      </x:c>
      <x:c r="D92" t="str">
        <x:v>Base Garanhuns</x:v>
      </x:c>
      <x:c r="E92" t="str">
        <x:v>Garanhuns</x:v>
      </x:c>
      <x:c r="F92" t="str">
        <x:v>Garanhuns</x:v>
      </x:c>
      <x:c r="G92" t="str">
        <x:v>MR01</x:v>
      </x:c>
      <x:c r="H92" t="str">
        <x:v>Garanhuns</x:v>
      </x:c>
      <x:c r="I92" t="str">
        <x:v>Equipe Simples</x:v>
      </x:c>
      <x:c r="J92" t="str">
        <x:v>Instalação / Substituição de Hidrômetro</x:v>
      </x:c>
      <x:c r="K92" t="str">
        <x:v>Contratada</x:v>
      </x:c>
      <x:c r="L92" t="str">
        <x:v>Hidrometria</x:v>
      </x:c>
      <x:c r="M92" t="str">
        <x:v>Sim</x:v>
      </x:c>
      <x:c r="N92" t="str">
        <x:v>DADO FICTÍCIO – teste do painel; ID repetido em outra microrrota</x:v>
      </x:c>
      <x:c r="O92" s="15" t="n">
        <x:f>IF(A92="","",--(COUNTIF($A$2:A92,A92)=1))</x:f>
        <x:v>1</x:v>
      </x:c>
      <x:c r="P92" s="15" t="n">
        <x:f>IF(A92="","",--(COUNTIFS($A$2:A92,A92,$F$2:F92,F92)=1))</x:f>
        <x:v>1</x:v>
      </x:c>
    </x:row>
    <x:row r="93">
      <x:c r="A93" s="18" t="str">
        <x:v>HID-06-03-02</x:v>
      </x:c>
      <x:c r="B93" t="str">
        <x:v>Equipe HID-046</x:v>
      </x:c>
      <x:c r="C93" t="str">
        <x:v>Alex Pereira</x:v>
      </x:c>
      <x:c r="D93" t="str">
        <x:v>Base Garanhuns</x:v>
      </x:c>
      <x:c r="E93" t="str">
        <x:v>Angelim</x:v>
      </x:c>
      <x:c r="F93" t="str">
        <x:v>Garanhuns</x:v>
      </x:c>
      <x:c r="G93" t="str">
        <x:v>MR02</x:v>
      </x:c>
      <x:c r="H93" t="str">
        <x:v>Angelim</x:v>
      </x:c>
      <x:c r="I93" t="str">
        <x:v>Equipe Simples</x:v>
      </x:c>
      <x:c r="J93" t="str">
        <x:v>Instalação / Substituição de Hidrômetro</x:v>
      </x:c>
      <x:c r="K93" t="str">
        <x:v>Contratada</x:v>
      </x:c>
      <x:c r="L93" t="str">
        <x:v>Hidrometria</x:v>
      </x:c>
      <x:c r="M93" t="str">
        <x:v>Sim</x:v>
      </x:c>
      <x:c r="N93" t="str">
        <x:v>DADO FICTÍCIO – teste do painel; ID repetido em outra microrrota</x:v>
      </x:c>
      <x:c r="O93" s="15" t="n">
        <x:f>IF(A93="","",--(COUNTIF($A$2:A93,A93)=1))</x:f>
        <x:v>0</x:v>
      </x:c>
      <x:c r="P93" s="15" t="n">
        <x:f>IF(A93="","",--(COUNTIFS($A$2:A93,A93,$F$2:F93,F93)=1))</x:f>
        <x:v>0</x:v>
      </x:c>
    </x:row>
    <x:row r="94">
      <x:c r="A94" s="18" t="str">
        <x:v>HID-06-04-01</x:v>
      </x:c>
      <x:c r="B94" t="str">
        <x:v>Equipe HID-047</x:v>
      </x:c>
      <x:c r="C94" t="str">
        <x:v>Bruno Teixeira</x:v>
      </x:c>
      <x:c r="D94" t="str">
        <x:v>Base Garanhuns</x:v>
      </x:c>
      <x:c r="E94" t="str">
        <x:v>Angelim</x:v>
      </x:c>
      <x:c r="F94" t="str">
        <x:v>Garanhuns</x:v>
      </x:c>
      <x:c r="G94" t="str">
        <x:v>MR02</x:v>
      </x:c>
      <x:c r="H94" t="str">
        <x:v>Angelim</x:v>
      </x:c>
      <x:c r="I94" t="str">
        <x:v>Equipe Simples</x:v>
      </x:c>
      <x:c r="J94" t="str">
        <x:v>Instalação / Substituição de Hidrômetro</x:v>
      </x:c>
      <x:c r="K94" t="str">
        <x:v>Mobilizada</x:v>
      </x:c>
      <x:c r="L94" t="str">
        <x:v>Hidrometria</x:v>
      </x:c>
      <x:c r="M94" t="str">
        <x:v>Sim</x:v>
      </x:c>
      <x:c r="N94" t="str">
        <x:v>DADO FICTÍCIO – teste do painel; ID repetido em outra microrrota</x:v>
      </x:c>
      <x:c r="O94" s="15" t="n">
        <x:f>IF(A94="","",--(COUNTIF($A$2:A94,A94)=1))</x:f>
        <x:v>1</x:v>
      </x:c>
      <x:c r="P94" s="15" t="n">
        <x:f>IF(A94="","",--(COUNTIFS($A$2:A94,A94,$F$2:F94,F94)=1))</x:f>
        <x:v>1</x:v>
      </x:c>
    </x:row>
    <x:row r="95">
      <x:c r="A95" s="18" t="str">
        <x:v>HID-06-04-01</x:v>
      </x:c>
      <x:c r="B95" t="str">
        <x:v>Equipe HID-047</x:v>
      </x:c>
      <x:c r="C95" t="str">
        <x:v>Bruno Teixeira</x:v>
      </x:c>
      <x:c r="D95" t="str">
        <x:v>Base Garanhuns</x:v>
      </x:c>
      <x:c r="E95" t="str">
        <x:v>Águas Belas</x:v>
      </x:c>
      <x:c r="F95" t="str">
        <x:v>Garanhuns</x:v>
      </x:c>
      <x:c r="G95" t="str">
        <x:v>MR03</x:v>
      </x:c>
      <x:c r="H95" t="str">
        <x:v>Águas Belas</x:v>
      </x:c>
      <x:c r="I95" t="str">
        <x:v>Equipe Simples</x:v>
      </x:c>
      <x:c r="J95" t="str">
        <x:v>Instalação / Substituição de Hidrômetro</x:v>
      </x:c>
      <x:c r="K95" t="str">
        <x:v>Mobilizada</x:v>
      </x:c>
      <x:c r="L95" t="str">
        <x:v>Hidrometria</x:v>
      </x:c>
      <x:c r="M95" t="str">
        <x:v>Sim</x:v>
      </x:c>
      <x:c r="N95" t="str">
        <x:v>DADO FICTÍCIO – teste do painel; ID repetido em outra microrrota</x:v>
      </x:c>
      <x:c r="O95" s="15" t="n">
        <x:f>IF(A95="","",--(COUNTIF($A$2:A95,A95)=1))</x:f>
        <x:v>0</x:v>
      </x:c>
      <x:c r="P95" s="15" t="n">
        <x:f>IF(A95="","",--(COUNTIFS($A$2:A95,A95,$F$2:F95,F95)=1))</x:f>
        <x:v>0</x:v>
      </x:c>
    </x:row>
    <x:row r="96">
      <x:c r="A96" s="18" t="str">
        <x:v>HID-06-04-02</x:v>
      </x:c>
      <x:c r="B96" t="str">
        <x:v>Equipe HID-048</x:v>
      </x:c>
      <x:c r="C96" t="str">
        <x:v>Eduardo Almeida</x:v>
      </x:c>
      <x:c r="D96" t="str">
        <x:v>Base Garanhuns</x:v>
      </x:c>
      <x:c r="E96" t="str">
        <x:v>Águas Belas</x:v>
      </x:c>
      <x:c r="F96" t="str">
        <x:v>Garanhuns</x:v>
      </x:c>
      <x:c r="G96" t="str">
        <x:v>MR03</x:v>
      </x:c>
      <x:c r="H96" t="str">
        <x:v>Águas Belas</x:v>
      </x:c>
      <x:c r="I96" t="str">
        <x:v>Equipe Dupla</x:v>
      </x:c>
      <x:c r="J96" t="str">
        <x:v>Instalação / Substituição de Hidrômetro</x:v>
      </x:c>
      <x:c r="K96" t="str">
        <x:v>Mobilizada</x:v>
      </x:c>
      <x:c r="L96" t="str">
        <x:v>Hidrometria</x:v>
      </x:c>
      <x:c r="M96" t="str">
        <x:v>Sim</x:v>
      </x:c>
      <x:c r="N96" t="str">
        <x:v>DADO FICTÍCIO – teste do painel; ID repetido em outra microrrota</x:v>
      </x:c>
      <x:c r="O96" s="15" t="n">
        <x:f>IF(A96="","",--(COUNTIF($A$2:A96,A96)=1))</x:f>
        <x:v>1</x:v>
      </x:c>
      <x:c r="P96" s="15" t="n">
        <x:f>IF(A96="","",--(COUNTIFS($A$2:A96,A96,$F$2:F96,F96)=1))</x:f>
        <x:v>1</x:v>
      </x:c>
    </x:row>
    <x:row r="97">
      <x:c r="A97" s="18" t="str">
        <x:v>HID-06-04-02</x:v>
      </x:c>
      <x:c r="B97" t="str">
        <x:v>Equipe HID-048</x:v>
      </x:c>
      <x:c r="C97" t="str">
        <x:v>Eduardo Almeida</x:v>
      </x:c>
      <x:c r="D97" t="str">
        <x:v>Base Garanhuns</x:v>
      </x:c>
      <x:c r="E97" t="str">
        <x:v>Garanhuns</x:v>
      </x:c>
      <x:c r="F97" t="str">
        <x:v>Garanhuns</x:v>
      </x:c>
      <x:c r="G97" t="str">
        <x:v>MR01</x:v>
      </x:c>
      <x:c r="H97" t="str">
        <x:v>Garanhuns</x:v>
      </x:c>
      <x:c r="I97" t="str">
        <x:v>Equipe Dupla</x:v>
      </x:c>
      <x:c r="J97" t="str">
        <x:v>Instalação / Substituição de Hidrômetro</x:v>
      </x:c>
      <x:c r="K97" t="str">
        <x:v>Mobilizada</x:v>
      </x:c>
      <x:c r="L97" t="str">
        <x:v>Hidrometria</x:v>
      </x:c>
      <x:c r="M97" t="str">
        <x:v>Sim</x:v>
      </x:c>
      <x:c r="N97" t="str">
        <x:v>DADO FICTÍCIO – teste do painel; ID repetido em outra microrrota</x:v>
      </x:c>
      <x:c r="O97" s="15" t="n">
        <x:f>IF(A97="","",--(COUNTIF($A$2:A97,A97)=1))</x:f>
        <x:v>0</x:v>
      </x:c>
      <x:c r="P97" s="15" t="n">
        <x:f>IF(A97="","",--(COUNTIFS($A$2:A97,A97,$F$2:F97,F97)=1))</x:f>
        <x:v>0</x:v>
      </x:c>
    </x:row>
    <x:row r="98">
      <x:c r="A98" s="18" t="str">
        <x:v>HID-07-01-01</x:v>
      </x:c>
      <x:c r="B98" t="str">
        <x:v>Equipe HID-049</x:v>
      </x:c>
      <x:c r="C98" t="str">
        <x:v>Henrique Gomes</x:v>
      </x:c>
      <x:c r="D98" t="str">
        <x:v>Base Arcoverde</x:v>
      </x:c>
      <x:c r="E98" t="str">
        <x:v>Buíque</x:v>
      </x:c>
      <x:c r="F98" t="str">
        <x:v>Arcoverde</x:v>
      </x:c>
      <x:c r="G98" t="str">
        <x:v>MR01</x:v>
      </x:c>
      <x:c r="H98" t="str">
        <x:v>Buíque</x:v>
      </x:c>
      <x:c r="I98" t="str">
        <x:v>Equipe Dupla</x:v>
      </x:c>
      <x:c r="J98" t="str">
        <x:v>Instalação / Substituição de Hidrômetro</x:v>
      </x:c>
      <x:c r="K98" t="str">
        <x:v>Em recrutamento</x:v>
      </x:c>
      <x:c r="L98" t="str">
        <x:v>Hidrometria</x:v>
      </x:c>
      <x:c r="M98" t="str">
        <x:v>Sim</x:v>
      </x:c>
      <x:c r="N98" t="str">
        <x:v>DADO FICTÍCIO – teste do painel; ID repetido em outra microrrota</x:v>
      </x:c>
      <x:c r="O98" s="15" t="n">
        <x:f>IF(A98="","",--(COUNTIF($A$2:A98,A98)=1))</x:f>
        <x:v>1</x:v>
      </x:c>
      <x:c r="P98" s="15" t="n">
        <x:f>IF(A98="","",--(COUNTIFS($A$2:A98,A98,$F$2:F98,F98)=1))</x:f>
        <x:v>1</x:v>
      </x:c>
    </x:row>
    <x:row r="99">
      <x:c r="A99" s="18" t="str">
        <x:v>HID-07-01-01</x:v>
      </x:c>
      <x:c r="B99" t="str">
        <x:v>Equipe HID-049</x:v>
      </x:c>
      <x:c r="C99" t="str">
        <x:v>Henrique Gomes</x:v>
      </x:c>
      <x:c r="D99" t="str">
        <x:v>Base Arcoverde</x:v>
      </x:c>
      <x:c r="E99" t="str">
        <x:v>Alagoinha</x:v>
      </x:c>
      <x:c r="F99" t="str">
        <x:v>Arcoverde</x:v>
      </x:c>
      <x:c r="G99" t="str">
        <x:v>MR02</x:v>
      </x:c>
      <x:c r="H99" t="str">
        <x:v>Alagoinha</x:v>
      </x:c>
      <x:c r="I99" t="str">
        <x:v>Equipe Dupla</x:v>
      </x:c>
      <x:c r="J99" t="str">
        <x:v>Instalação / Substituição de Hidrômetro</x:v>
      </x:c>
      <x:c r="K99" t="str">
        <x:v>Em recrutamento</x:v>
      </x:c>
      <x:c r="L99" t="str">
        <x:v>Hidrometria</x:v>
      </x:c>
      <x:c r="M99" t="str">
        <x:v>Sim</x:v>
      </x:c>
      <x:c r="N99" t="str">
        <x:v>DADO FICTÍCIO – teste do painel; ID repetido em outra microrrota</x:v>
      </x:c>
      <x:c r="O99" s="15" t="n">
        <x:f>IF(A99="","",--(COUNTIF($A$2:A99,A99)=1))</x:f>
        <x:v>0</x:v>
      </x:c>
      <x:c r="P99" s="15" t="n">
        <x:f>IF(A99="","",--(COUNTIFS($A$2:A99,A99,$F$2:F99,F99)=1))</x:f>
        <x:v>0</x:v>
      </x:c>
    </x:row>
    <x:row r="100">
      <x:c r="A100" s="18" t="str">
        <x:v>HID-07-01-02</x:v>
      </x:c>
      <x:c r="B100" t="str">
        <x:v>Equipe HID-050</x:v>
      </x:c>
      <x:c r="C100" t="str">
        <x:v>Lucas Pereira</x:v>
      </x:c>
      <x:c r="D100" t="str">
        <x:v>Base Arcoverde</x:v>
      </x:c>
      <x:c r="E100" t="str">
        <x:v>Alagoinha</x:v>
      </x:c>
      <x:c r="F100" t="str">
        <x:v>Arcoverde</x:v>
      </x:c>
      <x:c r="G100" t="str">
        <x:v>MR02</x:v>
      </x:c>
      <x:c r="H100" t="str">
        <x:v>Alagoinha</x:v>
      </x:c>
      <x:c r="I100" t="str">
        <x:v>Equipe Simples</x:v>
      </x:c>
      <x:c r="J100" t="str">
        <x:v>Instalação / Substituição de Hidrômetro</x:v>
      </x:c>
      <x:c r="K100" t="str">
        <x:v>Em recrutamento</x:v>
      </x:c>
      <x:c r="L100" t="str">
        <x:v>Hidrometria</x:v>
      </x:c>
      <x:c r="M100" t="str">
        <x:v>Não</x:v>
      </x:c>
      <x:c r="N100" t="str">
        <x:v>DADO FICTÍCIO – teste do painel; ID repetido em outra microrrota</x:v>
      </x:c>
      <x:c r="O100" s="15" t="n">
        <x:f>IF(A100="","",--(COUNTIF($A$2:A100,A100)=1))</x:f>
        <x:v>1</x:v>
      </x:c>
      <x:c r="P100" s="15" t="n">
        <x:f>IF(A100="","",--(COUNTIFS($A$2:A100,A100,$F$2:F100,F100)=1))</x:f>
        <x:v>1</x:v>
      </x:c>
    </x:row>
    <x:row r="101">
      <x:c r="A101" s="18" t="str">
        <x:v>HID-07-01-02</x:v>
      </x:c>
      <x:c r="B101" t="str">
        <x:v>Equipe HID-050</x:v>
      </x:c>
      <x:c r="C101" t="str">
        <x:v>Lucas Pereira</x:v>
      </x:c>
      <x:c r="D101" t="str">
        <x:v>Base Arcoverde</x:v>
      </x:c>
      <x:c r="E101" t="str">
        <x:v>Itaíba</x:v>
      </x:c>
      <x:c r="F101" t="str">
        <x:v>Arcoverde</x:v>
      </x:c>
      <x:c r="G101" t="str">
        <x:v>MR03</x:v>
      </x:c>
      <x:c r="H101" t="str">
        <x:v>Itaíba</x:v>
      </x:c>
      <x:c r="I101" t="str">
        <x:v>Equipe Simples</x:v>
      </x:c>
      <x:c r="J101" t="str">
        <x:v>Instalação / Substituição de Hidrômetro</x:v>
      </x:c>
      <x:c r="K101" t="str">
        <x:v>Em recrutamento</x:v>
      </x:c>
      <x:c r="L101" t="str">
        <x:v>Hidrometria</x:v>
      </x:c>
      <x:c r="M101" t="str">
        <x:v>Não</x:v>
      </x:c>
      <x:c r="N101" t="str">
        <x:v>DADO FICTÍCIO – teste do painel; ID repetido em outra microrrota</x:v>
      </x:c>
      <x:c r="O101" s="15" t="n">
        <x:f>IF(A101="","",--(COUNTIF($A$2:A101,A101)=1))</x:f>
        <x:v>0</x:v>
      </x:c>
      <x:c r="P101" s="15" t="n">
        <x:f>IF(A101="","",--(COUNTIFS($A$2:A101,A101,$F$2:F101,F101)=1))</x:f>
        <x:v>0</x:v>
      </x:c>
    </x:row>
    <x:row r="102">
      <x:c r="A102" s="18" t="str">
        <x:v>HID-07-02-01</x:v>
      </x:c>
      <x:c r="B102" t="str">
        <x:v>Equipe HID-051</x:v>
      </x:c>
      <x:c r="C102" t="str">
        <x:v>Rafael Teixeira</x:v>
      </x:c>
      <x:c r="D102" t="str">
        <x:v>Base Arcoverde</x:v>
      </x:c>
      <x:c r="E102" t="str">
        <x:v>Itaíba</x:v>
      </x:c>
      <x:c r="F102" t="str">
        <x:v>Arcoverde</x:v>
      </x:c>
      <x:c r="G102" t="str">
        <x:v>MR03</x:v>
      </x:c>
      <x:c r="H102" t="str">
        <x:v>Itaíba</x:v>
      </x:c>
      <x:c r="I102" t="str">
        <x:v>Equipe Simples</x:v>
      </x:c>
      <x:c r="J102" t="str">
        <x:v>Instalação / Substituição de Hidrômetro</x:v>
      </x:c>
      <x:c r="K102" t="str">
        <x:v>Em contratação</x:v>
      </x:c>
      <x:c r="L102" t="str">
        <x:v>Hidrometria</x:v>
      </x:c>
      <x:c r="M102" t="str">
        <x:v>Sim</x:v>
      </x:c>
      <x:c r="N102" t="str">
        <x:v>DADO FICTÍCIO – teste do painel; ID repetido em outra microrrota</x:v>
      </x:c>
      <x:c r="O102" s="15" t="n">
        <x:f>IF(A102="","",--(COUNTIF($A$2:A102,A102)=1))</x:f>
        <x:v>1</x:v>
      </x:c>
      <x:c r="P102" s="15" t="n">
        <x:f>IF(A102="","",--(COUNTIFS($A$2:A102,A102,$F$2:F102,F102)=1))</x:f>
        <x:v>1</x:v>
      </x:c>
    </x:row>
    <x:row r="103">
      <x:c r="A103" s="18" t="str">
        <x:v>HID-07-02-01</x:v>
      </x:c>
      <x:c r="B103" t="str">
        <x:v>Equipe HID-051</x:v>
      </x:c>
      <x:c r="C103" t="str">
        <x:v>Rafael Teixeira</x:v>
      </x:c>
      <x:c r="D103" t="str">
        <x:v>Base Arcoverde</x:v>
      </x:c>
      <x:c r="E103" t="str">
        <x:v>Custódia</x:v>
      </x:c>
      <x:c r="F103" t="str">
        <x:v>Arcoverde</x:v>
      </x:c>
      <x:c r="G103" t="str">
        <x:v>MR04</x:v>
      </x:c>
      <x:c r="H103" t="str">
        <x:v>Custódia</x:v>
      </x:c>
      <x:c r="I103" t="str">
        <x:v>Equipe Simples</x:v>
      </x:c>
      <x:c r="J103" t="str">
        <x:v>Instalação / Substituição de Hidrômetro</x:v>
      </x:c>
      <x:c r="K103" t="str">
        <x:v>Em contratação</x:v>
      </x:c>
      <x:c r="L103" t="str">
        <x:v>Hidrometria</x:v>
      </x:c>
      <x:c r="M103" t="str">
        <x:v>Sim</x:v>
      </x:c>
      <x:c r="N103" t="str">
        <x:v>DADO FICTÍCIO – teste do painel; ID repetido em outra microrrota</x:v>
      </x:c>
      <x:c r="O103" s="15" t="n">
        <x:f>IF(A103="","",--(COUNTIF($A$2:A103,A103)=1))</x:f>
        <x:v>0</x:v>
      </x:c>
      <x:c r="P103" s="15" t="n">
        <x:f>IF(A103="","",--(COUNTIFS($A$2:A103,A103,$F$2:F103,F103)=1))</x:f>
        <x:v>0</x:v>
      </x:c>
    </x:row>
    <x:row r="104">
      <x:c r="A104" s="18" t="str">
        <x:v>HID-07-02-02</x:v>
      </x:c>
      <x:c r="B104" t="str">
        <x:v>Equipe HID-052</x:v>
      </x:c>
      <x:c r="C104" t="str">
        <x:v>Vinícius Almeida</x:v>
      </x:c>
      <x:c r="D104" t="str">
        <x:v>Base Arcoverde</x:v>
      </x:c>
      <x:c r="E104" t="str">
        <x:v>Custódia</x:v>
      </x:c>
      <x:c r="F104" t="str">
        <x:v>Arcoverde</x:v>
      </x:c>
      <x:c r="G104" t="str">
        <x:v>MR04</x:v>
      </x:c>
      <x:c r="H104" t="str">
        <x:v>Custódia</x:v>
      </x:c>
      <x:c r="I104" t="str">
        <x:v>Equipe Dupla</x:v>
      </x:c>
      <x:c r="J104" t="str">
        <x:v>Instalação / Substituição de Hidrômetro</x:v>
      </x:c>
      <x:c r="K104" t="str">
        <x:v>Em contratação</x:v>
      </x:c>
      <x:c r="L104" t="str">
        <x:v>Hidrometria</x:v>
      </x:c>
      <x:c r="M104" t="str">
        <x:v>Não</x:v>
      </x:c>
      <x:c r="N104" t="str">
        <x:v>DADO FICTÍCIO – teste do painel; ID repetido em outra microrrota</x:v>
      </x:c>
      <x:c r="O104" s="15" t="n">
        <x:f>IF(A104="","",--(COUNTIF($A$2:A104,A104)=1))</x:f>
        <x:v>1</x:v>
      </x:c>
      <x:c r="P104" s="15" t="n">
        <x:f>IF(A104="","",--(COUNTIFS($A$2:A104,A104,$F$2:F104,F104)=1))</x:f>
        <x:v>1</x:v>
      </x:c>
    </x:row>
    <x:row r="105">
      <x:c r="A105" s="18" t="str">
        <x:v>HID-07-02-02</x:v>
      </x:c>
      <x:c r="B105" t="str">
        <x:v>Equipe HID-052</x:v>
      </x:c>
      <x:c r="C105" t="str">
        <x:v>Vinícius Almeida</x:v>
      </x:c>
      <x:c r="D105" t="str">
        <x:v>Base Arcoverde</x:v>
      </x:c>
      <x:c r="E105" t="str">
        <x:v>Buíque</x:v>
      </x:c>
      <x:c r="F105" t="str">
        <x:v>Arcoverde</x:v>
      </x:c>
      <x:c r="G105" t="str">
        <x:v>MR01</x:v>
      </x:c>
      <x:c r="H105" t="str">
        <x:v>Buíque</x:v>
      </x:c>
      <x:c r="I105" t="str">
        <x:v>Equipe Dupla</x:v>
      </x:c>
      <x:c r="J105" t="str">
        <x:v>Instalação / Substituição de Hidrômetro</x:v>
      </x:c>
      <x:c r="K105" t="str">
        <x:v>Em contratação</x:v>
      </x:c>
      <x:c r="L105" t="str">
        <x:v>Hidrometria</x:v>
      </x:c>
      <x:c r="M105" t="str">
        <x:v>Não</x:v>
      </x:c>
      <x:c r="N105" t="str">
        <x:v>DADO FICTÍCIO – teste do painel; ID repetido em outra microrrota</x:v>
      </x:c>
      <x:c r="O105" s="15" t="n">
        <x:f>IF(A105="","",--(COUNTIF($A$2:A105,A105)=1))</x:f>
        <x:v>0</x:v>
      </x:c>
      <x:c r="P105" s="15" t="n">
        <x:f>IF(A105="","",--(COUNTIFS($A$2:A105,A105,$F$2:F105,F105)=1))</x:f>
        <x:v>0</x:v>
      </x:c>
    </x:row>
    <x:row r="106">
      <x:c r="A106" s="18" t="str">
        <x:v>HID-07-03-01</x:v>
      </x:c>
      <x:c r="B106" t="str">
        <x:v>Equipe HID-053</x:v>
      </x:c>
      <x:c r="C106" t="str">
        <x:v>Diego Gomes</x:v>
      </x:c>
      <x:c r="D106" t="str">
        <x:v>Base Arcoverde</x:v>
      </x:c>
      <x:c r="E106" t="str">
        <x:v>Buíque</x:v>
      </x:c>
      <x:c r="F106" t="str">
        <x:v>Arcoverde</x:v>
      </x:c>
      <x:c r="G106" t="str">
        <x:v>MR01</x:v>
      </x:c>
      <x:c r="H106" t="str">
        <x:v>Buíque</x:v>
      </x:c>
      <x:c r="I106" t="str">
        <x:v>Equipe Dupla</x:v>
      </x:c>
      <x:c r="J106" t="str">
        <x:v>Instalação / Substituição de Hidrômetro</x:v>
      </x:c>
      <x:c r="K106" t="str">
        <x:v>Contratada</x:v>
      </x:c>
      <x:c r="L106" t="str">
        <x:v>Hidrometria</x:v>
      </x:c>
      <x:c r="M106" t="str">
        <x:v>Sim</x:v>
      </x:c>
      <x:c r="N106" t="str">
        <x:v>DADO FICTÍCIO – teste do painel; ID repetido em outra microrrota</x:v>
      </x:c>
      <x:c r="O106" s="15" t="n">
        <x:f>IF(A106="","",--(COUNTIF($A$2:A106,A106)=1))</x:f>
        <x:v>1</x:v>
      </x:c>
      <x:c r="P106" s="15" t="n">
        <x:f>IF(A106="","",--(COUNTIFS($A$2:A106,A106,$F$2:F106,F106)=1))</x:f>
        <x:v>1</x:v>
      </x:c>
    </x:row>
    <x:row r="107">
      <x:c r="A107" s="18" t="str">
        <x:v>HID-07-03-01</x:v>
      </x:c>
      <x:c r="B107" t="str">
        <x:v>Equipe HID-053</x:v>
      </x:c>
      <x:c r="C107" t="str">
        <x:v>Diego Gomes</x:v>
      </x:c>
      <x:c r="D107" t="str">
        <x:v>Base Arcoverde</x:v>
      </x:c>
      <x:c r="E107" t="str">
        <x:v>Alagoinha</x:v>
      </x:c>
      <x:c r="F107" t="str">
        <x:v>Arcoverde</x:v>
      </x:c>
      <x:c r="G107" t="str">
        <x:v>MR02</x:v>
      </x:c>
      <x:c r="H107" t="str">
        <x:v>Alagoinha</x:v>
      </x:c>
      <x:c r="I107" t="str">
        <x:v>Equipe Dupla</x:v>
      </x:c>
      <x:c r="J107" t="str">
        <x:v>Instalação / Substituição de Hidrômetro</x:v>
      </x:c>
      <x:c r="K107" t="str">
        <x:v>Contratada</x:v>
      </x:c>
      <x:c r="L107" t="str">
        <x:v>Hidrometria</x:v>
      </x:c>
      <x:c r="M107" t="str">
        <x:v>Sim</x:v>
      </x:c>
      <x:c r="N107" t="str">
        <x:v>DADO FICTÍCIO – teste do painel; ID repetido em outra microrrota</x:v>
      </x:c>
      <x:c r="O107" s="15" t="n">
        <x:f>IF(A107="","",--(COUNTIF($A$2:A107,A107)=1))</x:f>
        <x:v>0</x:v>
      </x:c>
      <x:c r="P107" s="15" t="n">
        <x:f>IF(A107="","",--(COUNTIFS($A$2:A107,A107,$F$2:F107,F107)=1))</x:f>
        <x:v>0</x:v>
      </x:c>
    </x:row>
    <x:row r="108">
      <x:c r="A108" s="18" t="str">
        <x:v>HID-07-03-02</x:v>
      </x:c>
      <x:c r="B108" t="str">
        <x:v>Equipe HID-054</x:v>
      </x:c>
      <x:c r="C108" t="str">
        <x:v>Carlos Pereira</x:v>
      </x:c>
      <x:c r="D108" t="str">
        <x:v>Base Arcoverde</x:v>
      </x:c>
      <x:c r="E108" t="str">
        <x:v>Alagoinha</x:v>
      </x:c>
      <x:c r="F108" t="str">
        <x:v>Arcoverde</x:v>
      </x:c>
      <x:c r="G108" t="str">
        <x:v>MR02</x:v>
      </x:c>
      <x:c r="H108" t="str">
        <x:v>Alagoinha</x:v>
      </x:c>
      <x:c r="I108" t="str">
        <x:v>Equipe Simples</x:v>
      </x:c>
      <x:c r="J108" t="str">
        <x:v>Instalação / Substituição de Hidrômetro</x:v>
      </x:c>
      <x:c r="K108" t="str">
        <x:v>Contratada</x:v>
      </x:c>
      <x:c r="L108" t="str">
        <x:v>Hidrometria</x:v>
      </x:c>
      <x:c r="M108" t="str">
        <x:v>Sim</x:v>
      </x:c>
      <x:c r="N108" t="str">
        <x:v>DADO FICTÍCIO – teste do painel; ID repetido em outra microrrota</x:v>
      </x:c>
      <x:c r="O108" s="15" t="n">
        <x:f>IF(A108="","",--(COUNTIF($A$2:A108,A108)=1))</x:f>
        <x:v>1</x:v>
      </x:c>
      <x:c r="P108" s="15" t="n">
        <x:f>IF(A108="","",--(COUNTIFS($A$2:A108,A108,$F$2:F108,F108)=1))</x:f>
        <x:v>1</x:v>
      </x:c>
    </x:row>
    <x:row r="109">
      <x:c r="A109" s="18" t="str">
        <x:v>HID-07-03-02</x:v>
      </x:c>
      <x:c r="B109" t="str">
        <x:v>Equipe HID-054</x:v>
      </x:c>
      <x:c r="C109" t="str">
        <x:v>Carlos Pereira</x:v>
      </x:c>
      <x:c r="D109" t="str">
        <x:v>Base Arcoverde</x:v>
      </x:c>
      <x:c r="E109" t="str">
        <x:v>Itaíba</x:v>
      </x:c>
      <x:c r="F109" t="str">
        <x:v>Arcoverde</x:v>
      </x:c>
      <x:c r="G109" t="str">
        <x:v>MR03</x:v>
      </x:c>
      <x:c r="H109" t="str">
        <x:v>Itaíba</x:v>
      </x:c>
      <x:c r="I109" t="str">
        <x:v>Equipe Simples</x:v>
      </x:c>
      <x:c r="J109" t="str">
        <x:v>Instalação / Substituição de Hidrômetro</x:v>
      </x:c>
      <x:c r="K109" t="str">
        <x:v>Contratada</x:v>
      </x:c>
      <x:c r="L109" t="str">
        <x:v>Hidrometria</x:v>
      </x:c>
      <x:c r="M109" t="str">
        <x:v>Sim</x:v>
      </x:c>
      <x:c r="N109" t="str">
        <x:v>DADO FICTÍCIO – teste do painel; ID repetido em outra microrrota</x:v>
      </x:c>
      <x:c r="O109" s="15" t="n">
        <x:f>IF(A109="","",--(COUNTIF($A$2:A109,A109)=1))</x:f>
        <x:v>0</x:v>
      </x:c>
      <x:c r="P109" s="15" t="n">
        <x:f>IF(A109="","",--(COUNTIFS($A$2:A109,A109,$F$2:F109,F109)=1))</x:f>
        <x:v>0</x:v>
      </x:c>
    </x:row>
    <x:row r="110">
      <x:c r="A110" s="18" t="str">
        <x:v>HID-07-04-01</x:v>
      </x:c>
      <x:c r="B110" t="str">
        <x:v>Equipe HID-055</x:v>
      </x:c>
      <x:c r="C110" t="str">
        <x:v>Felipe Teixeira</x:v>
      </x:c>
      <x:c r="D110" t="str">
        <x:v>Base Arcoverde</x:v>
      </x:c>
      <x:c r="E110" t="str">
        <x:v>Itaíba</x:v>
      </x:c>
      <x:c r="F110" t="str">
        <x:v>Arcoverde</x:v>
      </x:c>
      <x:c r="G110" t="str">
        <x:v>MR03</x:v>
      </x:c>
      <x:c r="H110" t="str">
        <x:v>Itaíba</x:v>
      </x:c>
      <x:c r="I110" t="str">
        <x:v>Equipe Simples</x:v>
      </x:c>
      <x:c r="J110" t="str">
        <x:v>Instalação / Substituição de Hidrômetro</x:v>
      </x:c>
      <x:c r="K110" t="str">
        <x:v>Mobilizada</x:v>
      </x:c>
      <x:c r="L110" t="str">
        <x:v>Hidrometria</x:v>
      </x:c>
      <x:c r="M110" t="str">
        <x:v>Sim</x:v>
      </x:c>
      <x:c r="N110" t="str">
        <x:v>DADO FICTÍCIO – teste do painel; ID repetido em outra microrrota</x:v>
      </x:c>
      <x:c r="O110" s="15" t="n">
        <x:f>IF(A110="","",--(COUNTIF($A$2:A110,A110)=1))</x:f>
        <x:v>1</x:v>
      </x:c>
      <x:c r="P110" s="15" t="n">
        <x:f>IF(A110="","",--(COUNTIFS($A$2:A110,A110,$F$2:F110,F110)=1))</x:f>
        <x:v>1</x:v>
      </x:c>
    </x:row>
    <x:row r="111">
      <x:c r="A111" s="18" t="str">
        <x:v>HID-07-04-01</x:v>
      </x:c>
      <x:c r="B111" t="str">
        <x:v>Equipe HID-055</x:v>
      </x:c>
      <x:c r="C111" t="str">
        <x:v>Felipe Teixeira</x:v>
      </x:c>
      <x:c r="D111" t="str">
        <x:v>Base Arcoverde</x:v>
      </x:c>
      <x:c r="E111" t="str">
        <x:v>Custódia</x:v>
      </x:c>
      <x:c r="F111" t="str">
        <x:v>Arcoverde</x:v>
      </x:c>
      <x:c r="G111" t="str">
        <x:v>MR04</x:v>
      </x:c>
      <x:c r="H111" t="str">
        <x:v>Custódia</x:v>
      </x:c>
      <x:c r="I111" t="str">
        <x:v>Equipe Simples</x:v>
      </x:c>
      <x:c r="J111" t="str">
        <x:v>Instalação / Substituição de Hidrômetro</x:v>
      </x:c>
      <x:c r="K111" t="str">
        <x:v>Mobilizada</x:v>
      </x:c>
      <x:c r="L111" t="str">
        <x:v>Hidrometria</x:v>
      </x:c>
      <x:c r="M111" t="str">
        <x:v>Sim</x:v>
      </x:c>
      <x:c r="N111" t="str">
        <x:v>DADO FICTÍCIO – teste do painel; ID repetido em outra microrrota</x:v>
      </x:c>
      <x:c r="O111" s="15" t="n">
        <x:f>IF(A111="","",--(COUNTIF($A$2:A111,A111)=1))</x:f>
        <x:v>0</x:v>
      </x:c>
      <x:c r="P111" s="15" t="n">
        <x:f>IF(A111="","",--(COUNTIFS($A$2:A111,A111,$F$2:F111,F111)=1))</x:f>
        <x:v>0</x:v>
      </x:c>
    </x:row>
    <x:row r="112">
      <x:c r="A112" s="18" t="str">
        <x:v>HID-07-04-02</x:v>
      </x:c>
      <x:c r="B112" t="str">
        <x:v>Equipe HID-056</x:v>
      </x:c>
      <x:c r="C112" t="str">
        <x:v>Igor Almeida</x:v>
      </x:c>
      <x:c r="D112" t="str">
        <x:v>Base Arcoverde</x:v>
      </x:c>
      <x:c r="E112" t="str">
        <x:v>Custódia</x:v>
      </x:c>
      <x:c r="F112" t="str">
        <x:v>Arcoverde</x:v>
      </x:c>
      <x:c r="G112" t="str">
        <x:v>MR04</x:v>
      </x:c>
      <x:c r="H112" t="str">
        <x:v>Custódia</x:v>
      </x:c>
      <x:c r="I112" t="str">
        <x:v>Equipe Dupla</x:v>
      </x:c>
      <x:c r="J112" t="str">
        <x:v>Instalação / Substituição de Hidrômetro</x:v>
      </x:c>
      <x:c r="K112" t="str">
        <x:v>Mobilizada</x:v>
      </x:c>
      <x:c r="L112" t="str">
        <x:v>Hidrometria</x:v>
      </x:c>
      <x:c r="M112" t="str">
        <x:v>Sim</x:v>
      </x:c>
      <x:c r="N112" t="str">
        <x:v>DADO FICTÍCIO – teste do painel; ID repetido em outra microrrota</x:v>
      </x:c>
      <x:c r="O112" s="15" t="n">
        <x:f>IF(A112="","",--(COUNTIF($A$2:A112,A112)=1))</x:f>
        <x:v>1</x:v>
      </x:c>
      <x:c r="P112" s="15" t="n">
        <x:f>IF(A112="","",--(COUNTIFS($A$2:A112,A112,$F$2:F112,F112)=1))</x:f>
        <x:v>1</x:v>
      </x:c>
    </x:row>
    <x:row r="113">
      <x:c r="A113" s="18" t="str">
        <x:v>HID-07-04-02</x:v>
      </x:c>
      <x:c r="B113" t="str">
        <x:v>Equipe HID-056</x:v>
      </x:c>
      <x:c r="C113" t="str">
        <x:v>Igor Almeida</x:v>
      </x:c>
      <x:c r="D113" t="str">
        <x:v>Base Arcoverde</x:v>
      </x:c>
      <x:c r="E113" t="str">
        <x:v>Buíque</x:v>
      </x:c>
      <x:c r="F113" t="str">
        <x:v>Arcoverde</x:v>
      </x:c>
      <x:c r="G113" t="str">
        <x:v>MR01</x:v>
      </x:c>
      <x:c r="H113" t="str">
        <x:v>Buíque</x:v>
      </x:c>
      <x:c r="I113" t="str">
        <x:v>Equipe Dupla</x:v>
      </x:c>
      <x:c r="J113" t="str">
        <x:v>Instalação / Substituição de Hidrômetro</x:v>
      </x:c>
      <x:c r="K113" t="str">
        <x:v>Mobilizada</x:v>
      </x:c>
      <x:c r="L113" t="str">
        <x:v>Hidrometria</x:v>
      </x:c>
      <x:c r="M113" t="str">
        <x:v>Sim</x:v>
      </x:c>
      <x:c r="N113" t="str">
        <x:v>DADO FICTÍCIO – teste do painel; ID repetido em outra microrrota</x:v>
      </x:c>
      <x:c r="O113" s="15" t="n">
        <x:f>IF(A113="","",--(COUNTIF($A$2:A113,A113)=1))</x:f>
        <x:v>0</x:v>
      </x:c>
      <x:c r="P113" s="15" t="n">
        <x:f>IF(A113="","",--(COUNTIFS($A$2:A113,A113,$F$2:F113,F113)=1))</x:f>
        <x:v>0</x:v>
      </x:c>
    </x:row>
    <x:row r="114">
      <x:c r="A114" s="18" t="str">
        <x:v>HID-08-01-01</x:v>
      </x:c>
      <x:c r="B114" t="str">
        <x:v>Equipe HID-057</x:v>
      </x:c>
      <x:c r="C114" t="str">
        <x:v>Marcos Gomes</x:v>
      </x:c>
      <x:c r="D114" t="str">
        <x:v>Base Afogados da Ingazeira</x:v>
      </x:c>
      <x:c r="E114" t="str">
        <x:v>Afogados da Ingazeira</x:v>
      </x:c>
      <x:c r="F114" t="str">
        <x:v>Afogados da Ingazeira</x:v>
      </x:c>
      <x:c r="G114" t="str">
        <x:v>MR03</x:v>
      </x:c>
      <x:c r="H114" t="str">
        <x:v>Afogados da Ingazeira</x:v>
      </x:c>
      <x:c r="I114" t="str">
        <x:v>Equipe Dupla</x:v>
      </x:c>
      <x:c r="J114" t="str">
        <x:v>Instalação / Substituição de Hidrômetro</x:v>
      </x:c>
      <x:c r="K114" t="str">
        <x:v>Em recrutamento</x:v>
      </x:c>
      <x:c r="L114" t="str">
        <x:v>Hidrometria</x:v>
      </x:c>
      <x:c r="M114" t="str">
        <x:v>Sim</x:v>
      </x:c>
      <x:c r="N114" t="str">
        <x:v>DADO FICTÍCIO – teste do painel; ID repetido em outra microrrota</x:v>
      </x:c>
      <x:c r="O114" s="15" t="n">
        <x:f>IF(A114="","",--(COUNTIF($A$2:A114,A114)=1))</x:f>
        <x:v>1</x:v>
      </x:c>
      <x:c r="P114" s="15" t="n">
        <x:f>IF(A114="","",--(COUNTIFS($A$2:A114,A114,$F$2:F114,F114)=1))</x:f>
        <x:v>1</x:v>
      </x:c>
    </x:row>
    <x:row r="115">
      <x:c r="A115" s="18" t="str">
        <x:v>HID-08-01-01</x:v>
      </x:c>
      <x:c r="B115" t="str">
        <x:v>Equipe HID-057</x:v>
      </x:c>
      <x:c r="C115" t="str">
        <x:v>Marcos Gomes</x:v>
      </x:c>
      <x:c r="D115" t="str">
        <x:v>Base Afogados da Ingazeira</x:v>
      </x:c>
      <x:c r="E115" t="str">
        <x:v>Brejinho</x:v>
      </x:c>
      <x:c r="F115" t="str">
        <x:v>Afogados da Ingazeira</x:v>
      </x:c>
      <x:c r="G115" t="str">
        <x:v>MR01</x:v>
      </x:c>
      <x:c r="H115" t="str">
        <x:v>Brejinho</x:v>
      </x:c>
      <x:c r="I115" t="str">
        <x:v>Equipe Dupla</x:v>
      </x:c>
      <x:c r="J115" t="str">
        <x:v>Instalação / Substituição de Hidrômetro</x:v>
      </x:c>
      <x:c r="K115" t="str">
        <x:v>Em recrutamento</x:v>
      </x:c>
      <x:c r="L115" t="str">
        <x:v>Hidrometria</x:v>
      </x:c>
      <x:c r="M115" t="str">
        <x:v>Sim</x:v>
      </x:c>
      <x:c r="N115" t="str">
        <x:v>DADO FICTÍCIO – teste do painel; ID repetido em outra microrrota</x:v>
      </x:c>
      <x:c r="O115" s="15" t="n">
        <x:f>IF(A115="","",--(COUNTIF($A$2:A115,A115)=1))</x:f>
        <x:v>0</x:v>
      </x:c>
      <x:c r="P115" s="15" t="n">
        <x:f>IF(A115="","",--(COUNTIFS($A$2:A115,A115,$F$2:F115,F115)=1))</x:f>
        <x:v>0</x:v>
      </x:c>
    </x:row>
    <x:row r="116">
      <x:c r="A116" s="18" t="str">
        <x:v>HID-08-01-02</x:v>
      </x:c>
      <x:c r="B116" t="str">
        <x:v>Equipe HID-058</x:v>
      </x:c>
      <x:c r="C116" t="str">
        <x:v>Renato Pereira</x:v>
      </x:c>
      <x:c r="D116" t="str">
        <x:v>Base Afogados da Ingazeira</x:v>
      </x:c>
      <x:c r="E116" t="str">
        <x:v>Brejinho</x:v>
      </x:c>
      <x:c r="F116" t="str">
        <x:v>Afogados da Ingazeira</x:v>
      </x:c>
      <x:c r="G116" t="str">
        <x:v>MR01</x:v>
      </x:c>
      <x:c r="H116" t="str">
        <x:v>Brejinho</x:v>
      </x:c>
      <x:c r="I116" t="str">
        <x:v>Equipe Simples</x:v>
      </x:c>
      <x:c r="J116" t="str">
        <x:v>Instalação / Substituição de Hidrômetro</x:v>
      </x:c>
      <x:c r="K116" t="str">
        <x:v>Em recrutamento</x:v>
      </x:c>
      <x:c r="L116" t="str">
        <x:v>Hidrometria</x:v>
      </x:c>
      <x:c r="M116" t="str">
        <x:v>Não</x:v>
      </x:c>
      <x:c r="N116" t="str">
        <x:v>DADO FICTÍCIO – teste do painel; ID repetido em outra microrrota</x:v>
      </x:c>
      <x:c r="O116" s="15" t="n">
        <x:f>IF(A116="","",--(COUNTIF($A$2:A116,A116)=1))</x:f>
        <x:v>1</x:v>
      </x:c>
      <x:c r="P116" s="15" t="n">
        <x:f>IF(A116="","",--(COUNTIFS($A$2:A116,A116,$F$2:F116,F116)=1))</x:f>
        <x:v>1</x:v>
      </x:c>
    </x:row>
    <x:row r="117">
      <x:c r="A117" s="18" t="str">
        <x:v>HID-08-01-02</x:v>
      </x:c>
      <x:c r="B117" t="str">
        <x:v>Equipe HID-058</x:v>
      </x:c>
      <x:c r="C117" t="str">
        <x:v>Renato Pereira</x:v>
      </x:c>
      <x:c r="D117" t="str">
        <x:v>Base Afogados da Ingazeira</x:v>
      </x:c>
      <x:c r="E117" t="str">
        <x:v>Carnaíba</x:v>
      </x:c>
      <x:c r="F117" t="str">
        <x:v>Afogados da Ingazeira</x:v>
      </x:c>
      <x:c r="G117" t="str">
        <x:v>MR02</x:v>
      </x:c>
      <x:c r="H117" t="str">
        <x:v>Carnaíba</x:v>
      </x:c>
      <x:c r="I117" t="str">
        <x:v>Equipe Simples</x:v>
      </x:c>
      <x:c r="J117" t="str">
        <x:v>Instalação / Substituição de Hidrômetro</x:v>
      </x:c>
      <x:c r="K117" t="str">
        <x:v>Em recrutamento</x:v>
      </x:c>
      <x:c r="L117" t="str">
        <x:v>Hidrometria</x:v>
      </x:c>
      <x:c r="M117" t="str">
        <x:v>Não</x:v>
      </x:c>
      <x:c r="N117" t="str">
        <x:v>DADO FICTÍCIO – teste do painel; ID repetido em outra microrrota</x:v>
      </x:c>
      <x:c r="O117" s="15" t="n">
        <x:f>IF(A117="","",--(COUNTIF($A$2:A117,A117)=1))</x:f>
        <x:v>0</x:v>
      </x:c>
      <x:c r="P117" s="15" t="n">
        <x:f>IF(A117="","",--(COUNTIFS($A$2:A117,A117,$F$2:F117,F117)=1))</x:f>
        <x:v>0</x:v>
      </x:c>
    </x:row>
    <x:row r="118">
      <x:c r="A118" s="18" t="str">
        <x:v>HID-08-02-01</x:v>
      </x:c>
      <x:c r="B118" t="str">
        <x:v>Equipe HID-059</x:v>
      </x:c>
      <x:c r="C118" t="str">
        <x:v>Wagner Teixeira</x:v>
      </x:c>
      <x:c r="D118" t="str">
        <x:v>Base Afogados da Ingazeira</x:v>
      </x:c>
      <x:c r="E118" t="str">
        <x:v>Carnaíba</x:v>
      </x:c>
      <x:c r="F118" t="str">
        <x:v>Afogados da Ingazeira</x:v>
      </x:c>
      <x:c r="G118" t="str">
        <x:v>MR02</x:v>
      </x:c>
      <x:c r="H118" t="str">
        <x:v>Carnaíba</x:v>
      </x:c>
      <x:c r="I118" t="str">
        <x:v>Equipe Simples</x:v>
      </x:c>
      <x:c r="J118" t="str">
        <x:v>Instalação / Substituição de Hidrômetro</x:v>
      </x:c>
      <x:c r="K118" t="str">
        <x:v>Em contratação</x:v>
      </x:c>
      <x:c r="L118" t="str">
        <x:v>Hidrometria</x:v>
      </x:c>
      <x:c r="M118" t="str">
        <x:v>Sim</x:v>
      </x:c>
      <x:c r="N118" t="str">
        <x:v>DADO FICTÍCIO – teste do painel; ID repetido em outra microrrota</x:v>
      </x:c>
      <x:c r="O118" s="15" t="n">
        <x:f>IF(A118="","",--(COUNTIF($A$2:A118,A118)=1))</x:f>
        <x:v>1</x:v>
      </x:c>
      <x:c r="P118" s="15" t="n">
        <x:f>IF(A118="","",--(COUNTIFS($A$2:A118,A118,$F$2:F118,F118)=1))</x:f>
        <x:v>1</x:v>
      </x:c>
    </x:row>
    <x:row r="119">
      <x:c r="A119" s="18" t="str">
        <x:v>HID-08-02-01</x:v>
      </x:c>
      <x:c r="B119" t="str">
        <x:v>Equipe HID-059</x:v>
      </x:c>
      <x:c r="C119" t="str">
        <x:v>Wagner Teixeira</x:v>
      </x:c>
      <x:c r="D119" t="str">
        <x:v>Base Afogados da Ingazeira</x:v>
      </x:c>
      <x:c r="E119" t="str">
        <x:v>Afogados da Ingazeira</x:v>
      </x:c>
      <x:c r="F119" t="str">
        <x:v>Afogados da Ingazeira</x:v>
      </x:c>
      <x:c r="G119" t="str">
        <x:v>MR03</x:v>
      </x:c>
      <x:c r="H119" t="str">
        <x:v>Afogados da Ingazeira</x:v>
      </x:c>
      <x:c r="I119" t="str">
        <x:v>Equipe Simples</x:v>
      </x:c>
      <x:c r="J119" t="str">
        <x:v>Instalação / Substituição de Hidrômetro</x:v>
      </x:c>
      <x:c r="K119" t="str">
        <x:v>Em contratação</x:v>
      </x:c>
      <x:c r="L119" t="str">
        <x:v>Hidrometria</x:v>
      </x:c>
      <x:c r="M119" t="str">
        <x:v>Sim</x:v>
      </x:c>
      <x:c r="N119" t="str">
        <x:v>DADO FICTÍCIO – teste do painel; ID repetido em outra microrrota</x:v>
      </x:c>
      <x:c r="O119" s="15" t="n">
        <x:f>IF(A119="","",--(COUNTIF($A$2:A119,A119)=1))</x:f>
        <x:v>0</x:v>
      </x:c>
      <x:c r="P119" s="15" t="n">
        <x:f>IF(A119="","",--(COUNTIFS($A$2:A119,A119,$F$2:F119,F119)=1))</x:f>
        <x:v>0</x:v>
      </x:c>
    </x:row>
    <x:row r="120">
      <x:c r="A120" s="18" t="str">
        <x:v>HID-08-02-02</x:v>
      </x:c>
      <x:c r="B120" t="str">
        <x:v>Equipe HID-060</x:v>
      </x:c>
      <x:c r="C120" t="str">
        <x:v>André Almeida</x:v>
      </x:c>
      <x:c r="D120" t="str">
        <x:v>Base Afogados da Ingazeira</x:v>
      </x:c>
      <x:c r="E120" t="str">
        <x:v>Afogados da Ingazeira</x:v>
      </x:c>
      <x:c r="F120" t="str">
        <x:v>Afogados da Ingazeira</x:v>
      </x:c>
      <x:c r="G120" t="str">
        <x:v>MR03</x:v>
      </x:c>
      <x:c r="H120" t="str">
        <x:v>Afogados da Ingazeira</x:v>
      </x:c>
      <x:c r="I120" t="str">
        <x:v>Equipe Dupla</x:v>
      </x:c>
      <x:c r="J120" t="str">
        <x:v>Instalação / Substituição de Hidrômetro</x:v>
      </x:c>
      <x:c r="K120" t="str">
        <x:v>Em contratação</x:v>
      </x:c>
      <x:c r="L120" t="str">
        <x:v>Hidrometria</x:v>
      </x:c>
      <x:c r="M120" t="str">
        <x:v>Não</x:v>
      </x:c>
      <x:c r="N120" t="str">
        <x:v>DADO FICTÍCIO – teste do painel; ID repetido em outra microrrota</x:v>
      </x:c>
      <x:c r="O120" s="15" t="n">
        <x:f>IF(A120="","",--(COUNTIF($A$2:A120,A120)=1))</x:f>
        <x:v>1</x:v>
      </x:c>
      <x:c r="P120" s="15" t="n">
        <x:f>IF(A120="","",--(COUNTIFS($A$2:A120,A120,$F$2:F120,F120)=1))</x:f>
        <x:v>1</x:v>
      </x:c>
    </x:row>
    <x:row r="121">
      <x:c r="A121" s="18" t="str">
        <x:v>HID-08-02-02</x:v>
      </x:c>
      <x:c r="B121" t="str">
        <x:v>Equipe HID-060</x:v>
      </x:c>
      <x:c r="C121" t="str">
        <x:v>André Almeida</x:v>
      </x:c>
      <x:c r="D121" t="str">
        <x:v>Base Afogados da Ingazeira</x:v>
      </x:c>
      <x:c r="E121" t="str">
        <x:v>Brejinho</x:v>
      </x:c>
      <x:c r="F121" t="str">
        <x:v>Afogados da Ingazeira</x:v>
      </x:c>
      <x:c r="G121" t="str">
        <x:v>MR01</x:v>
      </x:c>
      <x:c r="H121" t="str">
        <x:v>Brejinho</x:v>
      </x:c>
      <x:c r="I121" t="str">
        <x:v>Equipe Dupla</x:v>
      </x:c>
      <x:c r="J121" t="str">
        <x:v>Instalação / Substituição de Hidrômetro</x:v>
      </x:c>
      <x:c r="K121" t="str">
        <x:v>Em contratação</x:v>
      </x:c>
      <x:c r="L121" t="str">
        <x:v>Hidrometria</x:v>
      </x:c>
      <x:c r="M121" t="str">
        <x:v>Não</x:v>
      </x:c>
      <x:c r="N121" t="str">
        <x:v>DADO FICTÍCIO – teste do painel; ID repetido em outra microrrota</x:v>
      </x:c>
      <x:c r="O121" s="15" t="n">
        <x:f>IF(A121="","",--(COUNTIF($A$2:A121,A121)=1))</x:f>
        <x:v>0</x:v>
      </x:c>
      <x:c r="P121" s="15" t="n">
        <x:f>IF(A121="","",--(COUNTIFS($A$2:A121,A121,$F$2:F121,F121)=1))</x:f>
        <x:v>0</x:v>
      </x:c>
    </x:row>
    <x:row r="122">
      <x:c r="A122" s="18" t="str">
        <x:v>HID-08-03-01</x:v>
      </x:c>
      <x:c r="B122" t="str">
        <x:v>Equipe HID-061</x:v>
      </x:c>
      <x:c r="C122" t="str">
        <x:v>Daniel Gomes</x:v>
      </x:c>
      <x:c r="D122" t="str">
        <x:v>Base Afogados da Ingazeira</x:v>
      </x:c>
      <x:c r="E122" t="str">
        <x:v>Brejinho</x:v>
      </x:c>
      <x:c r="F122" t="str">
        <x:v>Afogados da Ingazeira</x:v>
      </x:c>
      <x:c r="G122" t="str">
        <x:v>MR01</x:v>
      </x:c>
      <x:c r="H122" t="str">
        <x:v>Brejinho</x:v>
      </x:c>
      <x:c r="I122" t="str">
        <x:v>Equipe Dupla</x:v>
      </x:c>
      <x:c r="J122" t="str">
        <x:v>Instalação / Substituição de Hidrômetro</x:v>
      </x:c>
      <x:c r="K122" t="str">
        <x:v>Contratada</x:v>
      </x:c>
      <x:c r="L122" t="str">
        <x:v>Hidrometria</x:v>
      </x:c>
      <x:c r="M122" t="str">
        <x:v>Sim</x:v>
      </x:c>
      <x:c r="N122" t="str">
        <x:v>DADO FICTÍCIO – teste do painel; ID repetido em outra microrrota</x:v>
      </x:c>
      <x:c r="O122" s="15" t="n">
        <x:f>IF(A122="","",--(COUNTIF($A$2:A122,A122)=1))</x:f>
        <x:v>1</x:v>
      </x:c>
      <x:c r="P122" s="15" t="n">
        <x:f>IF(A122="","",--(COUNTIFS($A$2:A122,A122,$F$2:F122,F122)=1))</x:f>
        <x:v>1</x:v>
      </x:c>
    </x:row>
    <x:row r="123">
      <x:c r="A123" s="18" t="str">
        <x:v>HID-08-03-01</x:v>
      </x:c>
      <x:c r="B123" t="str">
        <x:v>Equipe HID-061</x:v>
      </x:c>
      <x:c r="C123" t="str">
        <x:v>Daniel Gomes</x:v>
      </x:c>
      <x:c r="D123" t="str">
        <x:v>Base Afogados da Ingazeira</x:v>
      </x:c>
      <x:c r="E123" t="str">
        <x:v>Carnaíba</x:v>
      </x:c>
      <x:c r="F123" t="str">
        <x:v>Afogados da Ingazeira</x:v>
      </x:c>
      <x:c r="G123" t="str">
        <x:v>MR02</x:v>
      </x:c>
      <x:c r="H123" t="str">
        <x:v>Carnaíba</x:v>
      </x:c>
      <x:c r="I123" t="str">
        <x:v>Equipe Dupla</x:v>
      </x:c>
      <x:c r="J123" t="str">
        <x:v>Instalação / Substituição de Hidrômetro</x:v>
      </x:c>
      <x:c r="K123" t="str">
        <x:v>Contratada</x:v>
      </x:c>
      <x:c r="L123" t="str">
        <x:v>Hidrometria</x:v>
      </x:c>
      <x:c r="M123" t="str">
        <x:v>Sim</x:v>
      </x:c>
      <x:c r="N123" t="str">
        <x:v>DADO FICTÍCIO – teste do painel; ID repetido em outra microrrota</x:v>
      </x:c>
      <x:c r="O123" s="15" t="n">
        <x:f>IF(A123="","",--(COUNTIF($A$2:A123,A123)=1))</x:f>
        <x:v>0</x:v>
      </x:c>
      <x:c r="P123" s="15" t="n">
        <x:f>IF(A123="","",--(COUNTIFS($A$2:A123,A123,$F$2:F123,F123)=1))</x:f>
        <x:v>0</x:v>
      </x:c>
    </x:row>
    <x:row r="124">
      <x:c r="A124" s="18" t="str">
        <x:v>HID-08-03-02</x:v>
      </x:c>
      <x:c r="B124" t="str">
        <x:v>Equipe HID-062</x:v>
      </x:c>
      <x:c r="C124" t="str">
        <x:v>Gabriel Pereira</x:v>
      </x:c>
      <x:c r="D124" t="str">
        <x:v>Base Afogados da Ingazeira</x:v>
      </x:c>
      <x:c r="E124" t="str">
        <x:v>Carnaíba</x:v>
      </x:c>
      <x:c r="F124" t="str">
        <x:v>Afogados da Ingazeira</x:v>
      </x:c>
      <x:c r="G124" t="str">
        <x:v>MR02</x:v>
      </x:c>
      <x:c r="H124" t="str">
        <x:v>Carnaíba</x:v>
      </x:c>
      <x:c r="I124" t="str">
        <x:v>Equipe Simples</x:v>
      </x:c>
      <x:c r="J124" t="str">
        <x:v>Instalação / Substituição de Hidrômetro</x:v>
      </x:c>
      <x:c r="K124" t="str">
        <x:v>Contratada</x:v>
      </x:c>
      <x:c r="L124" t="str">
        <x:v>Hidrometria</x:v>
      </x:c>
      <x:c r="M124" t="str">
        <x:v>Sim</x:v>
      </x:c>
      <x:c r="N124" t="str">
        <x:v>DADO FICTÍCIO – teste do painel; ID repetido em outra microrrota</x:v>
      </x:c>
      <x:c r="O124" s="15" t="n">
        <x:f>IF(A124="","",--(COUNTIF($A$2:A124,A124)=1))</x:f>
        <x:v>1</x:v>
      </x:c>
      <x:c r="P124" s="15" t="n">
        <x:f>IF(A124="","",--(COUNTIFS($A$2:A124,A124,$F$2:F124,F124)=1))</x:f>
        <x:v>1</x:v>
      </x:c>
    </x:row>
    <x:row r="125">
      <x:c r="A125" s="18" t="str">
        <x:v>HID-08-03-02</x:v>
      </x:c>
      <x:c r="B125" t="str">
        <x:v>Equipe HID-062</x:v>
      </x:c>
      <x:c r="C125" t="str">
        <x:v>Gabriel Pereira</x:v>
      </x:c>
      <x:c r="D125" t="str">
        <x:v>Base Afogados da Ingazeira</x:v>
      </x:c>
      <x:c r="E125" t="str">
        <x:v>Afogados da Ingazeira</x:v>
      </x:c>
      <x:c r="F125" t="str">
        <x:v>Afogados da Ingazeira</x:v>
      </x:c>
      <x:c r="G125" t="str">
        <x:v>MR03</x:v>
      </x:c>
      <x:c r="H125" t="str">
        <x:v>Afogados da Ingazeira</x:v>
      </x:c>
      <x:c r="I125" t="str">
        <x:v>Equipe Simples</x:v>
      </x:c>
      <x:c r="J125" t="str">
        <x:v>Instalação / Substituição de Hidrômetro</x:v>
      </x:c>
      <x:c r="K125" t="str">
        <x:v>Contratada</x:v>
      </x:c>
      <x:c r="L125" t="str">
        <x:v>Hidrometria</x:v>
      </x:c>
      <x:c r="M125" t="str">
        <x:v>Sim</x:v>
      </x:c>
      <x:c r="N125" t="str">
        <x:v>DADO FICTÍCIO – teste do painel; ID repetido em outra microrrota</x:v>
      </x:c>
      <x:c r="O125" s="15" t="n">
        <x:f>IF(A125="","",--(COUNTIF($A$2:A125,A125)=1))</x:f>
        <x:v>0</x:v>
      </x:c>
      <x:c r="P125" s="15" t="n">
        <x:f>IF(A125="","",--(COUNTIFS($A$2:A125,A125,$F$2:F125,F125)=1))</x:f>
        <x:v>0</x:v>
      </x:c>
    </x:row>
    <x:row r="126">
      <x:c r="A126" s="18" t="str">
        <x:v>HID-08-04-01</x:v>
      </x:c>
      <x:c r="B126" t="str">
        <x:v>Equipe HID-063</x:v>
      </x:c>
      <x:c r="C126" t="str">
        <x:v>João Teixeira</x:v>
      </x:c>
      <x:c r="D126" t="str">
        <x:v>Base Afogados da Ingazeira</x:v>
      </x:c>
      <x:c r="E126" t="str">
        <x:v>Afogados da Ingazeira</x:v>
      </x:c>
      <x:c r="F126" t="str">
        <x:v>Afogados da Ingazeira</x:v>
      </x:c>
      <x:c r="G126" t="str">
        <x:v>MR03</x:v>
      </x:c>
      <x:c r="H126" t="str">
        <x:v>Afogados da Ingazeira</x:v>
      </x:c>
      <x:c r="I126" t="str">
        <x:v>Equipe Simples</x:v>
      </x:c>
      <x:c r="J126" t="str">
        <x:v>Instalação / Substituição de Hidrômetro</x:v>
      </x:c>
      <x:c r="K126" t="str">
        <x:v>Mobilizada</x:v>
      </x:c>
      <x:c r="L126" t="str">
        <x:v>Hidrometria</x:v>
      </x:c>
      <x:c r="M126" t="str">
        <x:v>Sim</x:v>
      </x:c>
      <x:c r="N126" t="str">
        <x:v>DADO FICTÍCIO – teste do painel; ID repetido em outra microrrota</x:v>
      </x:c>
      <x:c r="O126" s="15" t="n">
        <x:f>IF(A126="","",--(COUNTIF($A$2:A126,A126)=1))</x:f>
        <x:v>1</x:v>
      </x:c>
      <x:c r="P126" s="15" t="n">
        <x:f>IF(A126="","",--(COUNTIFS($A$2:A126,A126,$F$2:F126,F126)=1))</x:f>
        <x:v>1</x:v>
      </x:c>
    </x:row>
    <x:row r="127">
      <x:c r="A127" s="18" t="str">
        <x:v>HID-08-04-01</x:v>
      </x:c>
      <x:c r="B127" t="str">
        <x:v>Equipe HID-063</x:v>
      </x:c>
      <x:c r="C127" t="str">
        <x:v>João Teixeira</x:v>
      </x:c>
      <x:c r="D127" t="str">
        <x:v>Base Afogados da Ingazeira</x:v>
      </x:c>
      <x:c r="E127" t="str">
        <x:v>Brejinho</x:v>
      </x:c>
      <x:c r="F127" t="str">
        <x:v>Afogados da Ingazeira</x:v>
      </x:c>
      <x:c r="G127" t="str">
        <x:v>MR01</x:v>
      </x:c>
      <x:c r="H127" t="str">
        <x:v>Brejinho</x:v>
      </x:c>
      <x:c r="I127" t="str">
        <x:v>Equipe Simples</x:v>
      </x:c>
      <x:c r="J127" t="str">
        <x:v>Instalação / Substituição de Hidrômetro</x:v>
      </x:c>
      <x:c r="K127" t="str">
        <x:v>Mobilizada</x:v>
      </x:c>
      <x:c r="L127" t="str">
        <x:v>Hidrometria</x:v>
      </x:c>
      <x:c r="M127" t="str">
        <x:v>Sim</x:v>
      </x:c>
      <x:c r="N127" t="str">
        <x:v>DADO FICTÍCIO – teste do painel; ID repetido em outra microrrota</x:v>
      </x:c>
      <x:c r="O127" s="15" t="n">
        <x:f>IF(A127="","",--(COUNTIF($A$2:A127,A127)=1))</x:f>
        <x:v>0</x:v>
      </x:c>
      <x:c r="P127" s="15" t="n">
        <x:f>IF(A127="","",--(COUNTIFS($A$2:A127,A127,$F$2:F127,F127)=1))</x:f>
        <x:v>0</x:v>
      </x:c>
    </x:row>
    <x:row r="128">
      <x:c r="A128" s="18" t="str">
        <x:v>HID-08-04-02</x:v>
      </x:c>
      <x:c r="B128" t="str">
        <x:v>Equipe HID-064</x:v>
      </x:c>
      <x:c r="C128" t="str">
        <x:v>Paulo Almeida</x:v>
      </x:c>
      <x:c r="D128" t="str">
        <x:v>Base Afogados da Ingazeira</x:v>
      </x:c>
      <x:c r="E128" t="str">
        <x:v>Brejinho</x:v>
      </x:c>
      <x:c r="F128" t="str">
        <x:v>Afogados da Ingazeira</x:v>
      </x:c>
      <x:c r="G128" t="str">
        <x:v>MR01</x:v>
      </x:c>
      <x:c r="H128" t="str">
        <x:v>Brejinho</x:v>
      </x:c>
      <x:c r="I128" t="str">
        <x:v>Equipe Dupla</x:v>
      </x:c>
      <x:c r="J128" t="str">
        <x:v>Instalação / Substituição de Hidrômetro</x:v>
      </x:c>
      <x:c r="K128" t="str">
        <x:v>Mobilizada</x:v>
      </x:c>
      <x:c r="L128" t="str">
        <x:v>Hidrometria</x:v>
      </x:c>
      <x:c r="M128" t="str">
        <x:v>Sim</x:v>
      </x:c>
      <x:c r="N128" t="str">
        <x:v>DADO FICTÍCIO – teste do painel; ID repetido em outra microrrota</x:v>
      </x:c>
      <x:c r="O128" s="15" t="n">
        <x:f>IF(A128="","",--(COUNTIF($A$2:A128,A128)=1))</x:f>
        <x:v>1</x:v>
      </x:c>
      <x:c r="P128" s="15" t="n">
        <x:f>IF(A128="","",--(COUNTIFS($A$2:A128,A128,$F$2:F128,F128)=1))</x:f>
        <x:v>1</x:v>
      </x:c>
    </x:row>
    <x:row r="129">
      <x:c r="A129" s="18" t="str">
        <x:v>HID-08-04-02</x:v>
      </x:c>
      <x:c r="B129" t="str">
        <x:v>Equipe HID-064</x:v>
      </x:c>
      <x:c r="C129" t="str">
        <x:v>Paulo Almeida</x:v>
      </x:c>
      <x:c r="D129" t="str">
        <x:v>Base Afogados da Ingazeira</x:v>
      </x:c>
      <x:c r="E129" t="str">
        <x:v>Carnaíba</x:v>
      </x:c>
      <x:c r="F129" t="str">
        <x:v>Afogados da Ingazeira</x:v>
      </x:c>
      <x:c r="G129" t="str">
        <x:v>MR02</x:v>
      </x:c>
      <x:c r="H129" t="str">
        <x:v>Carnaíba</x:v>
      </x:c>
      <x:c r="I129" t="str">
        <x:v>Equipe Dupla</x:v>
      </x:c>
      <x:c r="J129" t="str">
        <x:v>Instalação / Substituição de Hidrômetro</x:v>
      </x:c>
      <x:c r="K129" t="str">
        <x:v>Mobilizada</x:v>
      </x:c>
      <x:c r="L129" t="str">
        <x:v>Hidrometria</x:v>
      </x:c>
      <x:c r="M129" t="str">
        <x:v>Sim</x:v>
      </x:c>
      <x:c r="N129" t="str">
        <x:v>DADO FICTÍCIO – teste do painel; ID repetido em outra microrrota</x:v>
      </x:c>
      <x:c r="O129" s="15" t="n">
        <x:f>IF(A129="","",--(COUNTIF($A$2:A129,A129)=1))</x:f>
        <x:v>0</x:v>
      </x:c>
      <x:c r="P129" s="15" t="n">
        <x:f>IF(A129="","",--(COUNTIFS($A$2:A129,A129,$F$2:F129,F129)=1))</x:f>
        <x:v>0</x:v>
      </x:c>
    </x:row>
    <x:row r="130">
      <x:c r="A130" s="18" t="str">
        <x:v>HID-09-01-01</x:v>
      </x:c>
      <x:c r="B130" t="str">
        <x:v>Equipe HID-065</x:v>
      </x:c>
      <x:c r="C130" t="str">
        <x:v>Thiago Gomes</x:v>
      </x:c>
      <x:c r="D130" t="str">
        <x:v>Base Serra Talhada</x:v>
      </x:c>
      <x:c r="E130" t="str">
        <x:v>Jatobá</x:v>
      </x:c>
      <x:c r="F130" t="str">
        <x:v>Serra Talhada</x:v>
      </x:c>
      <x:c r="G130" t="str">
        <x:v>MR02</x:v>
      </x:c>
      <x:c r="H130" t="str">
        <x:v>Jatobá</x:v>
      </x:c>
      <x:c r="I130" t="str">
        <x:v>Equipe Dupla</x:v>
      </x:c>
      <x:c r="J130" t="str">
        <x:v>Instalação / Substituição de Hidrômetro</x:v>
      </x:c>
      <x:c r="K130" t="str">
        <x:v>Em recrutamento</x:v>
      </x:c>
      <x:c r="L130" t="str">
        <x:v>Hidrometria</x:v>
      </x:c>
      <x:c r="M130" t="str">
        <x:v>Sim</x:v>
      </x:c>
      <x:c r="N130" t="str">
        <x:v>DADO FICTÍCIO – teste do painel; ID repetido em outra microrrota</x:v>
      </x:c>
      <x:c r="O130" s="15" t="n">
        <x:f>IF(A130="","",--(COUNTIF($A$2:A130,A130)=1))</x:f>
        <x:v>1</x:v>
      </x:c>
      <x:c r="P130" s="15" t="n">
        <x:f>IF(A130="","",--(COUNTIFS($A$2:A130,A130,$F$2:F130,F130)=1))</x:f>
        <x:v>1</x:v>
      </x:c>
    </x:row>
    <x:row r="131">
      <x:c r="A131" s="18" t="str">
        <x:v>HID-09-01-01</x:v>
      </x:c>
      <x:c r="B131" t="str">
        <x:v>Equipe HID-065</x:v>
      </x:c>
      <x:c r="C131" t="str">
        <x:v>Thiago Gomes</x:v>
      </x:c>
      <x:c r="D131" t="str">
        <x:v>Base Serra Talhada</x:v>
      </x:c>
      <x:c r="E131" t="str">
        <x:v>Belém do São Francisco</x:v>
      </x:c>
      <x:c r="F131" t="str">
        <x:v>Serra Talhada</x:v>
      </x:c>
      <x:c r="G131" t="str">
        <x:v>MR03</x:v>
      </x:c>
      <x:c r="H131" t="str">
        <x:v>Belém do São Francisco</x:v>
      </x:c>
      <x:c r="I131" t="str">
        <x:v>Equipe Dupla</x:v>
      </x:c>
      <x:c r="J131" t="str">
        <x:v>Instalação / Substituição de Hidrômetro</x:v>
      </x:c>
      <x:c r="K131" t="str">
        <x:v>Em recrutamento</x:v>
      </x:c>
      <x:c r="L131" t="str">
        <x:v>Hidrometria</x:v>
      </x:c>
      <x:c r="M131" t="str">
        <x:v>Sim</x:v>
      </x:c>
      <x:c r="N131" t="str">
        <x:v>DADO FICTÍCIO – teste do painel; ID repetido em outra microrrota</x:v>
      </x:c>
      <x:c r="O131" s="15" t="n">
        <x:f>IF(A131="","",--(COUNTIF($A$2:A131,A131)=1))</x:f>
        <x:v>0</x:v>
      </x:c>
      <x:c r="P131" s="15" t="n">
        <x:f>IF(A131="","",--(COUNTIFS($A$2:A131,A131,$F$2:F131,F131)=1))</x:f>
        <x:v>0</x:v>
      </x:c>
    </x:row>
    <x:row r="132">
      <x:c r="A132" s="18" t="str">
        <x:v>HID-09-01-02</x:v>
      </x:c>
      <x:c r="B132" t="str">
        <x:v>Equipe HID-066</x:v>
      </x:c>
      <x:c r="C132" t="str">
        <x:v>Alex Pereira</x:v>
      </x:c>
      <x:c r="D132" t="str">
        <x:v>Base Serra Talhada</x:v>
      </x:c>
      <x:c r="E132" t="str">
        <x:v>Belém do São Francisco</x:v>
      </x:c>
      <x:c r="F132" t="str">
        <x:v>Serra Talhada</x:v>
      </x:c>
      <x:c r="G132" t="str">
        <x:v>MR03</x:v>
      </x:c>
      <x:c r="H132" t="str">
        <x:v>Belém do São Francisco</x:v>
      </x:c>
      <x:c r="I132" t="str">
        <x:v>Equipe Simples</x:v>
      </x:c>
      <x:c r="J132" t="str">
        <x:v>Instalação / Substituição de Hidrômetro</x:v>
      </x:c>
      <x:c r="K132" t="str">
        <x:v>Em recrutamento</x:v>
      </x:c>
      <x:c r="L132" t="str">
        <x:v>Hidrometria</x:v>
      </x:c>
      <x:c r="M132" t="str">
        <x:v>Não</x:v>
      </x:c>
      <x:c r="N132" t="str">
        <x:v>DADO FICTÍCIO – teste do painel; ID repetido em outra microrrota</x:v>
      </x:c>
      <x:c r="O132" s="15" t="n">
        <x:f>IF(A132="","",--(COUNTIF($A$2:A132,A132)=1))</x:f>
        <x:v>1</x:v>
      </x:c>
      <x:c r="P132" s="15" t="n">
        <x:f>IF(A132="","",--(COUNTIFS($A$2:A132,A132,$F$2:F132,F132)=1))</x:f>
        <x:v>1</x:v>
      </x:c>
    </x:row>
    <x:row r="133">
      <x:c r="A133" s="18" t="str">
        <x:v>HID-09-01-02</x:v>
      </x:c>
      <x:c r="B133" t="str">
        <x:v>Equipe HID-066</x:v>
      </x:c>
      <x:c r="C133" t="str">
        <x:v>Alex Pereira</x:v>
      </x:c>
      <x:c r="D133" t="str">
        <x:v>Base Serra Talhada</x:v>
      </x:c>
      <x:c r="E133" t="str">
        <x:v>Betânia</x:v>
      </x:c>
      <x:c r="F133" t="str">
        <x:v>Serra Talhada</x:v>
      </x:c>
      <x:c r="G133" t="str">
        <x:v>MR01</x:v>
      </x:c>
      <x:c r="H133" t="str">
        <x:v>Betânia</x:v>
      </x:c>
      <x:c r="I133" t="str">
        <x:v>Equipe Simples</x:v>
      </x:c>
      <x:c r="J133" t="str">
        <x:v>Instalação / Substituição de Hidrômetro</x:v>
      </x:c>
      <x:c r="K133" t="str">
        <x:v>Em recrutamento</x:v>
      </x:c>
      <x:c r="L133" t="str">
        <x:v>Hidrometria</x:v>
      </x:c>
      <x:c r="M133" t="str">
        <x:v>Não</x:v>
      </x:c>
      <x:c r="N133" t="str">
        <x:v>DADO FICTÍCIO – teste do painel; ID repetido em outra microrrota</x:v>
      </x:c>
      <x:c r="O133" s="15" t="n">
        <x:f>IF(A133="","",--(COUNTIF($A$2:A133,A133)=1))</x:f>
        <x:v>0</x:v>
      </x:c>
      <x:c r="P133" s="15" t="n">
        <x:f>IF(A133="","",--(COUNTIFS($A$2:A133,A133,$F$2:F133,F133)=1))</x:f>
        <x:v>0</x:v>
      </x:c>
    </x:row>
    <x:row r="134">
      <x:c r="A134" s="18" t="str">
        <x:v>HID-09-02-01</x:v>
      </x:c>
      <x:c r="B134" t="str">
        <x:v>Equipe HID-067</x:v>
      </x:c>
      <x:c r="C134" t="str">
        <x:v>Bruno Teixeira</x:v>
      </x:c>
      <x:c r="D134" t="str">
        <x:v>Base Serra Talhada</x:v>
      </x:c>
      <x:c r="E134" t="str">
        <x:v>Betânia</x:v>
      </x:c>
      <x:c r="F134" t="str">
        <x:v>Serra Talhada</x:v>
      </x:c>
      <x:c r="G134" t="str">
        <x:v>MR01</x:v>
      </x:c>
      <x:c r="H134" t="str">
        <x:v>Betânia</x:v>
      </x:c>
      <x:c r="I134" t="str">
        <x:v>Equipe Simples</x:v>
      </x:c>
      <x:c r="J134" t="str">
        <x:v>Instalação / Substituição de Hidrômetro</x:v>
      </x:c>
      <x:c r="K134" t="str">
        <x:v>Em contratação</x:v>
      </x:c>
      <x:c r="L134" t="str">
        <x:v>Hidrometria</x:v>
      </x:c>
      <x:c r="M134" t="str">
        <x:v>Sim</x:v>
      </x:c>
      <x:c r="N134" t="str">
        <x:v>DADO FICTÍCIO – teste do painel; ID repetido em outra microrrota</x:v>
      </x:c>
      <x:c r="O134" s="15" t="n">
        <x:f>IF(A134="","",--(COUNTIF($A$2:A134,A134)=1))</x:f>
        <x:v>1</x:v>
      </x:c>
      <x:c r="P134" s="15" t="n">
        <x:f>IF(A134="","",--(COUNTIFS($A$2:A134,A134,$F$2:F134,F134)=1))</x:f>
        <x:v>1</x:v>
      </x:c>
    </x:row>
    <x:row r="135">
      <x:c r="A135" s="18" t="str">
        <x:v>HID-09-02-01</x:v>
      </x:c>
      <x:c r="B135" t="str">
        <x:v>Equipe HID-067</x:v>
      </x:c>
      <x:c r="C135" t="str">
        <x:v>Bruno Teixeira</x:v>
      </x:c>
      <x:c r="D135" t="str">
        <x:v>Base Serra Talhada</x:v>
      </x:c>
      <x:c r="E135" t="str">
        <x:v>Jatobá</x:v>
      </x:c>
      <x:c r="F135" t="str">
        <x:v>Serra Talhada</x:v>
      </x:c>
      <x:c r="G135" t="str">
        <x:v>MR02</x:v>
      </x:c>
      <x:c r="H135" t="str">
        <x:v>Jatobá</x:v>
      </x:c>
      <x:c r="I135" t="str">
        <x:v>Equipe Simples</x:v>
      </x:c>
      <x:c r="J135" t="str">
        <x:v>Instalação / Substituição de Hidrômetro</x:v>
      </x:c>
      <x:c r="K135" t="str">
        <x:v>Em contratação</x:v>
      </x:c>
      <x:c r="L135" t="str">
        <x:v>Hidrometria</x:v>
      </x:c>
      <x:c r="M135" t="str">
        <x:v>Sim</x:v>
      </x:c>
      <x:c r="N135" t="str">
        <x:v>DADO FICTÍCIO – teste do painel; ID repetido em outra microrrota</x:v>
      </x:c>
      <x:c r="O135" s="15" t="n">
        <x:f>IF(A135="","",--(COUNTIF($A$2:A135,A135)=1))</x:f>
        <x:v>0</x:v>
      </x:c>
      <x:c r="P135" s="15" t="n">
        <x:f>IF(A135="","",--(COUNTIFS($A$2:A135,A135,$F$2:F135,F135)=1))</x:f>
        <x:v>0</x:v>
      </x:c>
    </x:row>
    <x:row r="136">
      <x:c r="A136" s="18" t="str">
        <x:v>HID-09-02-02</x:v>
      </x:c>
      <x:c r="B136" t="str">
        <x:v>Equipe HID-068</x:v>
      </x:c>
      <x:c r="C136" t="str">
        <x:v>Eduardo Almeida</x:v>
      </x:c>
      <x:c r="D136" t="str">
        <x:v>Base Serra Talhada</x:v>
      </x:c>
      <x:c r="E136" t="str">
        <x:v>Jatobá</x:v>
      </x:c>
      <x:c r="F136" t="str">
        <x:v>Serra Talhada</x:v>
      </x:c>
      <x:c r="G136" t="str">
        <x:v>MR02</x:v>
      </x:c>
      <x:c r="H136" t="str">
        <x:v>Jatobá</x:v>
      </x:c>
      <x:c r="I136" t="str">
        <x:v>Equipe Dupla</x:v>
      </x:c>
      <x:c r="J136" t="str">
        <x:v>Instalação / Substituição de Hidrômetro</x:v>
      </x:c>
      <x:c r="K136" t="str">
        <x:v>Em contratação</x:v>
      </x:c>
      <x:c r="L136" t="str">
        <x:v>Hidrometria</x:v>
      </x:c>
      <x:c r="M136" t="str">
        <x:v>Não</x:v>
      </x:c>
      <x:c r="N136" t="str">
        <x:v>DADO FICTÍCIO – teste do painel; ID repetido em outra microrrota</x:v>
      </x:c>
      <x:c r="O136" s="15" t="n">
        <x:f>IF(A136="","",--(COUNTIF($A$2:A136,A136)=1))</x:f>
        <x:v>1</x:v>
      </x:c>
      <x:c r="P136" s="15" t="n">
        <x:f>IF(A136="","",--(COUNTIFS($A$2:A136,A136,$F$2:F136,F136)=1))</x:f>
        <x:v>1</x:v>
      </x:c>
    </x:row>
    <x:row r="137">
      <x:c r="A137" s="18" t="str">
        <x:v>HID-09-02-02</x:v>
      </x:c>
      <x:c r="B137" t="str">
        <x:v>Equipe HID-068</x:v>
      </x:c>
      <x:c r="C137" t="str">
        <x:v>Eduardo Almeida</x:v>
      </x:c>
      <x:c r="D137" t="str">
        <x:v>Base Serra Talhada</x:v>
      </x:c>
      <x:c r="E137" t="str">
        <x:v>Belém do São Francisco</x:v>
      </x:c>
      <x:c r="F137" t="str">
        <x:v>Serra Talhada</x:v>
      </x:c>
      <x:c r="G137" t="str">
        <x:v>MR03</x:v>
      </x:c>
      <x:c r="H137" t="str">
        <x:v>Belém do São Francisco</x:v>
      </x:c>
      <x:c r="I137" t="str">
        <x:v>Equipe Dupla</x:v>
      </x:c>
      <x:c r="J137" t="str">
        <x:v>Instalação / Substituição de Hidrômetro</x:v>
      </x:c>
      <x:c r="K137" t="str">
        <x:v>Em contratação</x:v>
      </x:c>
      <x:c r="L137" t="str">
        <x:v>Hidrometria</x:v>
      </x:c>
      <x:c r="M137" t="str">
        <x:v>Não</x:v>
      </x:c>
      <x:c r="N137" t="str">
        <x:v>DADO FICTÍCIO – teste do painel; ID repetido em outra microrrota</x:v>
      </x:c>
      <x:c r="O137" s="15" t="n">
        <x:f>IF(A137="","",--(COUNTIF($A$2:A137,A137)=1))</x:f>
        <x:v>0</x:v>
      </x:c>
      <x:c r="P137" s="15" t="n">
        <x:f>IF(A137="","",--(COUNTIFS($A$2:A137,A137,$F$2:F137,F137)=1))</x:f>
        <x:v>0</x:v>
      </x:c>
    </x:row>
    <x:row r="138">
      <x:c r="A138" s="18" t="str">
        <x:v>HID-09-03-01</x:v>
      </x:c>
      <x:c r="B138" t="str">
        <x:v>Equipe HID-069</x:v>
      </x:c>
      <x:c r="C138" t="str">
        <x:v>Henrique Gomes</x:v>
      </x:c>
      <x:c r="D138" t="str">
        <x:v>Base Serra Talhada</x:v>
      </x:c>
      <x:c r="E138" t="str">
        <x:v>Belém do São Francisco</x:v>
      </x:c>
      <x:c r="F138" t="str">
        <x:v>Serra Talhada</x:v>
      </x:c>
      <x:c r="G138" t="str">
        <x:v>MR03</x:v>
      </x:c>
      <x:c r="H138" t="str">
        <x:v>Belém do São Francisco</x:v>
      </x:c>
      <x:c r="I138" t="str">
        <x:v>Equipe Dupla</x:v>
      </x:c>
      <x:c r="J138" t="str">
        <x:v>Instalação / Substituição de Hidrômetro</x:v>
      </x:c>
      <x:c r="K138" t="str">
        <x:v>Contratada</x:v>
      </x:c>
      <x:c r="L138" t="str">
        <x:v>Hidrometria</x:v>
      </x:c>
      <x:c r="M138" t="str">
        <x:v>Sim</x:v>
      </x:c>
      <x:c r="N138" t="str">
        <x:v>DADO FICTÍCIO – teste do painel; ID repetido em outra microrrota</x:v>
      </x:c>
      <x:c r="O138" s="15" t="n">
        <x:f>IF(A138="","",--(COUNTIF($A$2:A138,A138)=1))</x:f>
        <x:v>1</x:v>
      </x:c>
      <x:c r="P138" s="15" t="n">
        <x:f>IF(A138="","",--(COUNTIFS($A$2:A138,A138,$F$2:F138,F138)=1))</x:f>
        <x:v>1</x:v>
      </x:c>
    </x:row>
    <x:row r="139">
      <x:c r="A139" s="18" t="str">
        <x:v>HID-09-03-01</x:v>
      </x:c>
      <x:c r="B139" t="str">
        <x:v>Equipe HID-069</x:v>
      </x:c>
      <x:c r="C139" t="str">
        <x:v>Henrique Gomes</x:v>
      </x:c>
      <x:c r="D139" t="str">
        <x:v>Base Serra Talhada</x:v>
      </x:c>
      <x:c r="E139" t="str">
        <x:v>Betânia</x:v>
      </x:c>
      <x:c r="F139" t="str">
        <x:v>Serra Talhada</x:v>
      </x:c>
      <x:c r="G139" t="str">
        <x:v>MR01</x:v>
      </x:c>
      <x:c r="H139" t="str">
        <x:v>Betânia</x:v>
      </x:c>
      <x:c r="I139" t="str">
        <x:v>Equipe Dupla</x:v>
      </x:c>
      <x:c r="J139" t="str">
        <x:v>Instalação / Substituição de Hidrômetro</x:v>
      </x:c>
      <x:c r="K139" t="str">
        <x:v>Contratada</x:v>
      </x:c>
      <x:c r="L139" t="str">
        <x:v>Hidrometria</x:v>
      </x:c>
      <x:c r="M139" t="str">
        <x:v>Sim</x:v>
      </x:c>
      <x:c r="N139" t="str">
        <x:v>DADO FICTÍCIO – teste do painel; ID repetido em outra microrrota</x:v>
      </x:c>
      <x:c r="O139" s="15" t="n">
        <x:f>IF(A139="","",--(COUNTIF($A$2:A139,A139)=1))</x:f>
        <x:v>0</x:v>
      </x:c>
      <x:c r="P139" s="15" t="n">
        <x:f>IF(A139="","",--(COUNTIFS($A$2:A139,A139,$F$2:F139,F139)=1))</x:f>
        <x:v>0</x:v>
      </x:c>
    </x:row>
    <x:row r="140">
      <x:c r="A140" s="18" t="str">
        <x:v>HID-09-03-02</x:v>
      </x:c>
      <x:c r="B140" t="str">
        <x:v>Equipe HID-070</x:v>
      </x:c>
      <x:c r="C140" t="str">
        <x:v>Lucas Pereira</x:v>
      </x:c>
      <x:c r="D140" t="str">
        <x:v>Base Serra Talhada</x:v>
      </x:c>
      <x:c r="E140" t="str">
        <x:v>Betânia</x:v>
      </x:c>
      <x:c r="F140" t="str">
        <x:v>Serra Talhada</x:v>
      </x:c>
      <x:c r="G140" t="str">
        <x:v>MR01</x:v>
      </x:c>
      <x:c r="H140" t="str">
        <x:v>Betânia</x:v>
      </x:c>
      <x:c r="I140" t="str">
        <x:v>Equipe Simples</x:v>
      </x:c>
      <x:c r="J140" t="str">
        <x:v>Instalação / Substituição de Hidrômetro</x:v>
      </x:c>
      <x:c r="K140" t="str">
        <x:v>Contratada</x:v>
      </x:c>
      <x:c r="L140" t="str">
        <x:v>Hidrometria</x:v>
      </x:c>
      <x:c r="M140" t="str">
        <x:v>Sim</x:v>
      </x:c>
      <x:c r="N140" t="str">
        <x:v>DADO FICTÍCIO – teste do painel; ID repetido em outra microrrota</x:v>
      </x:c>
      <x:c r="O140" s="15" t="n">
        <x:f>IF(A140="","",--(COUNTIF($A$2:A140,A140)=1))</x:f>
        <x:v>1</x:v>
      </x:c>
      <x:c r="P140" s="15" t="n">
        <x:f>IF(A140="","",--(COUNTIFS($A$2:A140,A140,$F$2:F140,F140)=1))</x:f>
        <x:v>1</x:v>
      </x:c>
    </x:row>
    <x:row r="141">
      <x:c r="A141" s="18" t="str">
        <x:v>HID-09-03-02</x:v>
      </x:c>
      <x:c r="B141" t="str">
        <x:v>Equipe HID-070</x:v>
      </x:c>
      <x:c r="C141" t="str">
        <x:v>Lucas Pereira</x:v>
      </x:c>
      <x:c r="D141" t="str">
        <x:v>Base Serra Talhada</x:v>
      </x:c>
      <x:c r="E141" t="str">
        <x:v>Jatobá</x:v>
      </x:c>
      <x:c r="F141" t="str">
        <x:v>Serra Talhada</x:v>
      </x:c>
      <x:c r="G141" t="str">
        <x:v>MR02</x:v>
      </x:c>
      <x:c r="H141" t="str">
        <x:v>Jatobá</x:v>
      </x:c>
      <x:c r="I141" t="str">
        <x:v>Equipe Simples</x:v>
      </x:c>
      <x:c r="J141" t="str">
        <x:v>Instalação / Substituição de Hidrômetro</x:v>
      </x:c>
      <x:c r="K141" t="str">
        <x:v>Contratada</x:v>
      </x:c>
      <x:c r="L141" t="str">
        <x:v>Hidrometria</x:v>
      </x:c>
      <x:c r="M141" t="str">
        <x:v>Sim</x:v>
      </x:c>
      <x:c r="N141" t="str">
        <x:v>DADO FICTÍCIO – teste do painel; ID repetido em outra microrrota</x:v>
      </x:c>
      <x:c r="O141" s="15" t="n">
        <x:f>IF(A141="","",--(COUNTIF($A$2:A141,A141)=1))</x:f>
        <x:v>0</x:v>
      </x:c>
      <x:c r="P141" s="15" t="n">
        <x:f>IF(A141="","",--(COUNTIFS($A$2:A141,A141,$F$2:F141,F141)=1))</x:f>
        <x:v>0</x:v>
      </x:c>
    </x:row>
    <x:row r="142">
      <x:c r="A142" s="18" t="str">
        <x:v>HID-09-04-01</x:v>
      </x:c>
      <x:c r="B142" t="str">
        <x:v>Equipe HID-071</x:v>
      </x:c>
      <x:c r="C142" t="str">
        <x:v>Rafael Teixeira</x:v>
      </x:c>
      <x:c r="D142" t="str">
        <x:v>Base Serra Talhada</x:v>
      </x:c>
      <x:c r="E142" t="str">
        <x:v>Jatobá</x:v>
      </x:c>
      <x:c r="F142" t="str">
        <x:v>Serra Talhada</x:v>
      </x:c>
      <x:c r="G142" t="str">
        <x:v>MR02</x:v>
      </x:c>
      <x:c r="H142" t="str">
        <x:v>Jatobá</x:v>
      </x:c>
      <x:c r="I142" t="str">
        <x:v>Equipe Simples</x:v>
      </x:c>
      <x:c r="J142" t="str">
        <x:v>Instalação / Substituição de Hidrômetro</x:v>
      </x:c>
      <x:c r="K142" t="str">
        <x:v>Mobilizada</x:v>
      </x:c>
      <x:c r="L142" t="str">
        <x:v>Hidrometria</x:v>
      </x:c>
      <x:c r="M142" t="str">
        <x:v>Sim</x:v>
      </x:c>
      <x:c r="N142" t="str">
        <x:v>DADO FICTÍCIO – teste do painel; ID repetido em outra microrrota</x:v>
      </x:c>
      <x:c r="O142" s="15" t="n">
        <x:f>IF(A142="","",--(COUNTIF($A$2:A142,A142)=1))</x:f>
        <x:v>1</x:v>
      </x:c>
      <x:c r="P142" s="15" t="n">
        <x:f>IF(A142="","",--(COUNTIFS($A$2:A142,A142,$F$2:F142,F142)=1))</x:f>
        <x:v>1</x:v>
      </x:c>
    </x:row>
    <x:row r="143">
      <x:c r="A143" s="18" t="str">
        <x:v>HID-09-04-01</x:v>
      </x:c>
      <x:c r="B143" t="str">
        <x:v>Equipe HID-071</x:v>
      </x:c>
      <x:c r="C143" t="str">
        <x:v>Rafael Teixeira</x:v>
      </x:c>
      <x:c r="D143" t="str">
        <x:v>Base Serra Talhada</x:v>
      </x:c>
      <x:c r="E143" t="str">
        <x:v>Belém do São Francisco</x:v>
      </x:c>
      <x:c r="F143" t="str">
        <x:v>Serra Talhada</x:v>
      </x:c>
      <x:c r="G143" t="str">
        <x:v>MR03</x:v>
      </x:c>
      <x:c r="H143" t="str">
        <x:v>Belém do São Francisco</x:v>
      </x:c>
      <x:c r="I143" t="str">
        <x:v>Equipe Simples</x:v>
      </x:c>
      <x:c r="J143" t="str">
        <x:v>Instalação / Substituição de Hidrômetro</x:v>
      </x:c>
      <x:c r="K143" t="str">
        <x:v>Mobilizada</x:v>
      </x:c>
      <x:c r="L143" t="str">
        <x:v>Hidrometria</x:v>
      </x:c>
      <x:c r="M143" t="str">
        <x:v>Sim</x:v>
      </x:c>
      <x:c r="N143" t="str">
        <x:v>DADO FICTÍCIO – teste do painel; ID repetido em outra microrrota</x:v>
      </x:c>
      <x:c r="O143" s="15" t="n">
        <x:f>IF(A143="","",--(COUNTIF($A$2:A143,A143)=1))</x:f>
        <x:v>0</x:v>
      </x:c>
      <x:c r="P143" s="15" t="n">
        <x:f>IF(A143="","",--(COUNTIFS($A$2:A143,A143,$F$2:F143,F143)=1))</x:f>
        <x:v>0</x:v>
      </x:c>
    </x:row>
    <x:row r="144">
      <x:c r="A144" s="18" t="str">
        <x:v>HID-09-04-02</x:v>
      </x:c>
      <x:c r="B144" t="str">
        <x:v>Equipe HID-072</x:v>
      </x:c>
      <x:c r="C144" t="str">
        <x:v>Vinícius Almeida</x:v>
      </x:c>
      <x:c r="D144" t="str">
        <x:v>Base Serra Talhada</x:v>
      </x:c>
      <x:c r="E144" t="str">
        <x:v>Belém do São Francisco</x:v>
      </x:c>
      <x:c r="F144" t="str">
        <x:v>Serra Talhada</x:v>
      </x:c>
      <x:c r="G144" t="str">
        <x:v>MR03</x:v>
      </x:c>
      <x:c r="H144" t="str">
        <x:v>Belém do São Francisco</x:v>
      </x:c>
      <x:c r="I144" t="str">
        <x:v>Equipe Dupla</x:v>
      </x:c>
      <x:c r="J144" t="str">
        <x:v>Instalação / Substituição de Hidrômetro</x:v>
      </x:c>
      <x:c r="K144" t="str">
        <x:v>Mobilizada</x:v>
      </x:c>
      <x:c r="L144" t="str">
        <x:v>Hidrometria</x:v>
      </x:c>
      <x:c r="M144" t="str">
        <x:v>Sim</x:v>
      </x:c>
      <x:c r="N144" t="str">
        <x:v>DADO FICTÍCIO – teste do painel; ID repetido em outra microrrota</x:v>
      </x:c>
      <x:c r="O144" s="15" t="n">
        <x:f>IF(A144="","",--(COUNTIF($A$2:A144,A144)=1))</x:f>
        <x:v>1</x:v>
      </x:c>
      <x:c r="P144" s="15" t="n">
        <x:f>IF(A144="","",--(COUNTIFS($A$2:A144,A144,$F$2:F144,F144)=1))</x:f>
        <x:v>1</x:v>
      </x:c>
    </x:row>
    <x:row r="145">
      <x:c r="A145" s="18" t="str">
        <x:v>HID-09-04-02</x:v>
      </x:c>
      <x:c r="B145" t="str">
        <x:v>Equipe HID-072</x:v>
      </x:c>
      <x:c r="C145" t="str">
        <x:v>Vinícius Almeida</x:v>
      </x:c>
      <x:c r="D145" t="str">
        <x:v>Base Serra Talhada</x:v>
      </x:c>
      <x:c r="E145" t="str">
        <x:v>Betânia</x:v>
      </x:c>
      <x:c r="F145" t="str">
        <x:v>Serra Talhada</x:v>
      </x:c>
      <x:c r="G145" t="str">
        <x:v>MR01</x:v>
      </x:c>
      <x:c r="H145" t="str">
        <x:v>Betânia</x:v>
      </x:c>
      <x:c r="I145" t="str">
        <x:v>Equipe Dupla</x:v>
      </x:c>
      <x:c r="J145" t="str">
        <x:v>Instalação / Substituição de Hidrômetro</x:v>
      </x:c>
      <x:c r="K145" t="str">
        <x:v>Mobilizada</x:v>
      </x:c>
      <x:c r="L145" t="str">
        <x:v>Hidrometria</x:v>
      </x:c>
      <x:c r="M145" t="str">
        <x:v>Sim</x:v>
      </x:c>
      <x:c r="N145" t="str">
        <x:v>DADO FICTÍCIO – teste do painel; ID repetido em outra microrrota</x:v>
      </x:c>
      <x:c r="O145" s="15" t="n">
        <x:f>IF(A145="","",--(COUNTIF($A$2:A145,A145)=1))</x:f>
        <x:v>0</x:v>
      </x:c>
      <x:c r="P145" s="15" t="n">
        <x:f>IF(A145="","",--(COUNTIFS($A$2:A145,A145,$F$2:F145,F145)=1))</x:f>
        <x:v>0</x:v>
      </x:c>
    </x:row>
    <x:row r="146">
      <x:c r="A146" s="18"/>
      <x:c r="O146" s="15" t="str">
        <x:f>IF(A146="","",--(COUNTIF($A$2:A146,A146)=1))</x:f>
      </x:c>
      <x:c r="P146" s="15" t="str">
        <x:f>IF(A146="","",--(COUNTIFS($A$2:A146,A146,$F$2:F146,F146)=1))</x:f>
      </x:c>
    </x:row>
    <x:row r="147">
      <x:c r="A147" s="18"/>
      <x:c r="O147" s="15" t="str">
        <x:f>IF(A147="","",--(COUNTIF($A$2:A147,A147)=1))</x:f>
      </x:c>
      <x:c r="P147" s="15" t="str">
        <x:f>IF(A147="","",--(COUNTIFS($A$2:A147,A147,$F$2:F147,F147)=1))</x:f>
      </x:c>
    </x:row>
    <x:row r="148">
      <x:c r="A148" s="18"/>
      <x:c r="O148" s="15" t="str">
        <x:f>IF(A148="","",--(COUNTIF($A$2:A148,A148)=1))</x:f>
      </x:c>
      <x:c r="P148" s="15" t="str">
        <x:f>IF(A148="","",--(COUNTIFS($A$2:A148,A148,$F$2:F148,F148)=1))</x:f>
      </x:c>
    </x:row>
    <x:row r="149">
      <x:c r="A149" s="18"/>
      <x:c r="O149" s="15" t="str">
        <x:f>IF(A149="","",--(COUNTIF($A$2:A149,A149)=1))</x:f>
      </x:c>
      <x:c r="P149" s="15" t="str">
        <x:f>IF(A149="","",--(COUNTIFS($A$2:A149,A149,$F$2:F149,F149)=1))</x:f>
      </x:c>
    </x:row>
    <x:row r="150">
      <x:c r="A150" s="18"/>
      <x:c r="O150" s="15" t="str">
        <x:f>IF(A150="","",--(COUNTIF($A$2:A150,A150)=1))</x:f>
      </x:c>
      <x:c r="P150" s="15" t="str">
        <x:f>IF(A150="","",--(COUNTIFS($A$2:A150,A150,$F$2:F150,F150)=1))</x:f>
      </x:c>
    </x:row>
    <x:row r="151">
      <x:c r="A151" s="18"/>
      <x:c r="O151" s="15" t="str">
        <x:f>IF(A151="","",--(COUNTIF($A$2:A151,A151)=1))</x:f>
      </x:c>
      <x:c r="P151" s="15" t="str">
        <x:f>IF(A151="","",--(COUNTIFS($A$2:A151,A151,$F$2:F151,F151)=1))</x:f>
      </x:c>
    </x:row>
    <x:row r="152">
      <x:c r="A152" s="18"/>
      <x:c r="O152" s="15" t="str">
        <x:f>IF(A152="","",--(COUNTIF($A$2:A152,A152)=1))</x:f>
      </x:c>
      <x:c r="P152" s="15" t="str">
        <x:f>IF(A152="","",--(COUNTIFS($A$2:A152,A152,$F$2:F152,F152)=1))</x:f>
      </x:c>
    </x:row>
    <x:row r="153">
      <x:c r="A153" s="18"/>
      <x:c r="O153" s="15" t="str">
        <x:f>IF(A153="","",--(COUNTIF($A$2:A153,A153)=1))</x:f>
      </x:c>
      <x:c r="P153" s="15" t="str">
        <x:f>IF(A153="","",--(COUNTIFS($A$2:A153,A153,$F$2:F153,F153)=1))</x:f>
      </x:c>
    </x:row>
    <x:row r="154">
      <x:c r="A154" s="18"/>
      <x:c r="O154" s="15" t="str">
        <x:f>IF(A154="","",--(COUNTIF($A$2:A154,A154)=1))</x:f>
      </x:c>
      <x:c r="P154" s="15" t="str">
        <x:f>IF(A154="","",--(COUNTIFS($A$2:A154,A154,$F$2:F154,F154)=1))</x:f>
      </x:c>
    </x:row>
    <x:row r="155">
      <x:c r="A155" s="18"/>
      <x:c r="O155" s="15" t="str">
        <x:f>IF(A155="","",--(COUNTIF($A$2:A155,A155)=1))</x:f>
      </x:c>
      <x:c r="P155" s="15" t="str">
        <x:f>IF(A155="","",--(COUNTIFS($A$2:A155,A155,$F$2:F155,F155)=1))</x:f>
      </x:c>
    </x:row>
    <x:row r="156">
      <x:c r="A156" s="18"/>
      <x:c r="O156" s="15" t="str">
        <x:f>IF(A156="","",--(COUNTIF($A$2:A156,A156)=1))</x:f>
      </x:c>
      <x:c r="P156" s="15" t="str">
        <x:f>IF(A156="","",--(COUNTIFS($A$2:A156,A156,$F$2:F156,F156)=1))</x:f>
      </x:c>
    </x:row>
    <x:row r="157">
      <x:c r="A157" s="18"/>
      <x:c r="O157" s="15" t="str">
        <x:f>IF(A157="","",--(COUNTIF($A$2:A157,A157)=1))</x:f>
      </x:c>
      <x:c r="P157" s="15" t="str">
        <x:f>IF(A157="","",--(COUNTIFS($A$2:A157,A157,$F$2:F157,F157)=1))</x:f>
      </x:c>
    </x:row>
    <x:row r="158">
      <x:c r="A158" s="18"/>
      <x:c r="O158" s="15" t="str">
        <x:f>IF(A158="","",--(COUNTIF($A$2:A158,A158)=1))</x:f>
      </x:c>
      <x:c r="P158" s="15" t="str">
        <x:f>IF(A158="","",--(COUNTIFS($A$2:A158,A158,$F$2:F158,F158)=1))</x:f>
      </x:c>
    </x:row>
    <x:row r="159">
      <x:c r="A159" s="18"/>
      <x:c r="O159" s="15" t="str">
        <x:f>IF(A159="","",--(COUNTIF($A$2:A159,A159)=1))</x:f>
      </x:c>
      <x:c r="P159" s="15" t="str">
        <x:f>IF(A159="","",--(COUNTIFS($A$2:A159,A159,$F$2:F159,F159)=1))</x:f>
      </x:c>
    </x:row>
    <x:row r="160">
      <x:c r="A160" s="18"/>
      <x:c r="O160" s="15" t="str">
        <x:f>IF(A160="","",--(COUNTIF($A$2:A160,A160)=1))</x:f>
      </x:c>
      <x:c r="P160" s="15" t="str">
        <x:f>IF(A160="","",--(COUNTIFS($A$2:A160,A160,$F$2:F160,F160)=1))</x:f>
      </x:c>
    </x:row>
    <x:row r="161">
      <x:c r="A161" s="18"/>
      <x:c r="O161" s="15" t="str">
        <x:f>IF(A161="","",--(COUNTIF($A$2:A161,A161)=1))</x:f>
      </x:c>
      <x:c r="P161" s="15" t="str">
        <x:f>IF(A161="","",--(COUNTIFS($A$2:A161,A161,$F$2:F161,F161)=1))</x:f>
      </x:c>
    </x:row>
    <x:row r="162">
      <x:c r="A162" s="18"/>
      <x:c r="O162" s="15" t="str">
        <x:f>IF(A162="","",--(COUNTIF($A$2:A162,A162)=1))</x:f>
      </x:c>
      <x:c r="P162" s="15" t="str">
        <x:f>IF(A162="","",--(COUNTIFS($A$2:A162,A162,$F$2:F162,F162)=1))</x:f>
      </x:c>
    </x:row>
    <x:row r="163">
      <x:c r="A163" s="18"/>
      <x:c r="O163" s="15" t="str">
        <x:f>IF(A163="","",--(COUNTIF($A$2:A163,A163)=1))</x:f>
      </x:c>
      <x:c r="P163" s="15" t="str">
        <x:f>IF(A163="","",--(COUNTIFS($A$2:A163,A163,$F$2:F163,F163)=1))</x:f>
      </x:c>
    </x:row>
    <x:row r="164">
      <x:c r="A164" s="18"/>
      <x:c r="O164" s="15" t="str">
        <x:f>IF(A164="","",--(COUNTIF($A$2:A164,A164)=1))</x:f>
      </x:c>
      <x:c r="P164" s="15" t="str">
        <x:f>IF(A164="","",--(COUNTIFS($A$2:A164,A164,$F$2:F164,F164)=1))</x:f>
      </x:c>
    </x:row>
    <x:row r="165">
      <x:c r="A165" s="18"/>
      <x:c r="O165" s="15" t="str">
        <x:f>IF(A165="","",--(COUNTIF($A$2:A165,A165)=1))</x:f>
      </x:c>
      <x:c r="P165" s="15" t="str">
        <x:f>IF(A165="","",--(COUNTIFS($A$2:A165,A165,$F$2:F165,F165)=1))</x:f>
      </x:c>
    </x:row>
    <x:row r="166">
      <x:c r="A166" s="18"/>
      <x:c r="O166" s="15" t="str">
        <x:f>IF(A166="","",--(COUNTIF($A$2:A166,A166)=1))</x:f>
      </x:c>
      <x:c r="P166" s="15" t="str">
        <x:f>IF(A166="","",--(COUNTIFS($A$2:A166,A166,$F$2:F166,F166)=1))</x:f>
      </x:c>
    </x:row>
    <x:row r="167">
      <x:c r="A167" s="18"/>
      <x:c r="O167" s="15" t="str">
        <x:f>IF(A167="","",--(COUNTIF($A$2:A167,A167)=1))</x:f>
      </x:c>
      <x:c r="P167" s="15" t="str">
        <x:f>IF(A167="","",--(COUNTIFS($A$2:A167,A167,$F$2:F167,F167)=1))</x:f>
      </x:c>
    </x:row>
    <x:row r="168">
      <x:c r="A168" s="18"/>
      <x:c r="O168" s="15" t="str">
        <x:f>IF(A168="","",--(COUNTIF($A$2:A168,A168)=1))</x:f>
      </x:c>
      <x:c r="P168" s="15" t="str">
        <x:f>IF(A168="","",--(COUNTIFS($A$2:A168,A168,$F$2:F168,F168)=1))</x:f>
      </x:c>
    </x:row>
    <x:row r="169">
      <x:c r="A169" s="18"/>
      <x:c r="O169" s="15" t="str">
        <x:f>IF(A169="","",--(COUNTIF($A$2:A169,A169)=1))</x:f>
      </x:c>
      <x:c r="P169" s="15" t="str">
        <x:f>IF(A169="","",--(COUNTIFS($A$2:A169,A169,$F$2:F169,F169)=1))</x:f>
      </x:c>
    </x:row>
    <x:row r="170">
      <x:c r="A170" s="18"/>
      <x:c r="O170" s="15" t="str">
        <x:f>IF(A170="","",--(COUNTIF($A$2:A170,A170)=1))</x:f>
      </x:c>
      <x:c r="P170" s="15" t="str">
        <x:f>IF(A170="","",--(COUNTIFS($A$2:A170,A170,$F$2:F170,F170)=1))</x:f>
      </x:c>
    </x:row>
    <x:row r="171">
      <x:c r="A171" s="18"/>
      <x:c r="O171" s="15" t="str">
        <x:f>IF(A171="","",--(COUNTIF($A$2:A171,A171)=1))</x:f>
      </x:c>
      <x:c r="P171" s="15" t="str">
        <x:f>IF(A171="","",--(COUNTIFS($A$2:A171,A171,$F$2:F171,F171)=1))</x:f>
      </x:c>
    </x:row>
    <x:row r="172">
      <x:c r="A172" s="18"/>
      <x:c r="O172" s="15" t="str">
        <x:f>IF(A172="","",--(COUNTIF($A$2:A172,A172)=1))</x:f>
      </x:c>
      <x:c r="P172" s="15" t="str">
        <x:f>IF(A172="","",--(COUNTIFS($A$2:A172,A172,$F$2:F172,F172)=1))</x:f>
      </x:c>
    </x:row>
    <x:row r="173">
      <x:c r="A173" s="18"/>
      <x:c r="O173" s="15" t="str">
        <x:f>IF(A173="","",--(COUNTIF($A$2:A173,A173)=1))</x:f>
      </x:c>
      <x:c r="P173" s="15" t="str">
        <x:f>IF(A173="","",--(COUNTIFS($A$2:A173,A173,$F$2:F173,F173)=1))</x:f>
      </x:c>
    </x:row>
    <x:row r="174">
      <x:c r="A174" s="18"/>
      <x:c r="O174" s="15" t="str">
        <x:f>IF(A174="","",--(COUNTIF($A$2:A174,A174)=1))</x:f>
      </x:c>
      <x:c r="P174" s="15" t="str">
        <x:f>IF(A174="","",--(COUNTIFS($A$2:A174,A174,$F$2:F174,F174)=1))</x:f>
      </x:c>
    </x:row>
    <x:row r="175">
      <x:c r="A175" s="18"/>
      <x:c r="O175" s="15" t="str">
        <x:f>IF(A175="","",--(COUNTIF($A$2:A175,A175)=1))</x:f>
      </x:c>
      <x:c r="P175" s="15" t="str">
        <x:f>IF(A175="","",--(COUNTIFS($A$2:A175,A175,$F$2:F175,F175)=1))</x:f>
      </x:c>
    </x:row>
    <x:row r="176">
      <x:c r="A176" s="18"/>
      <x:c r="O176" s="15" t="str">
        <x:f>IF(A176="","",--(COUNTIF($A$2:A176,A176)=1))</x:f>
      </x:c>
      <x:c r="P176" s="15" t="str">
        <x:f>IF(A176="","",--(COUNTIFS($A$2:A176,A176,$F$2:F176,F176)=1))</x:f>
      </x:c>
    </x:row>
    <x:row r="177">
      <x:c r="A177" s="18"/>
      <x:c r="O177" s="15" t="str">
        <x:f>IF(A177="","",--(COUNTIF($A$2:A177,A177)=1))</x:f>
      </x:c>
      <x:c r="P177" s="15" t="str">
        <x:f>IF(A177="","",--(COUNTIFS($A$2:A177,A177,$F$2:F177,F177)=1))</x:f>
      </x:c>
    </x:row>
    <x:row r="178">
      <x:c r="A178" s="18"/>
      <x:c r="O178" s="15" t="str">
        <x:f>IF(A178="","",--(COUNTIF($A$2:A178,A178)=1))</x:f>
      </x:c>
      <x:c r="P178" s="15" t="str">
        <x:f>IF(A178="","",--(COUNTIFS($A$2:A178,A178,$F$2:F178,F178)=1))</x:f>
      </x:c>
    </x:row>
    <x:row r="179">
      <x:c r="A179" s="18"/>
      <x:c r="O179" s="15" t="str">
        <x:f>IF(A179="","",--(COUNTIF($A$2:A179,A179)=1))</x:f>
      </x:c>
      <x:c r="P179" s="15" t="str">
        <x:f>IF(A179="","",--(COUNTIFS($A$2:A179,A179,$F$2:F179,F179)=1))</x:f>
      </x:c>
    </x:row>
    <x:row r="180">
      <x:c r="A180" s="18"/>
      <x:c r="O180" s="15" t="str">
        <x:f>IF(A180="","",--(COUNTIF($A$2:A180,A180)=1))</x:f>
      </x:c>
      <x:c r="P180" s="15" t="str">
        <x:f>IF(A180="","",--(COUNTIFS($A$2:A180,A180,$F$2:F180,F180)=1))</x:f>
      </x:c>
    </x:row>
    <x:row r="181">
      <x:c r="A181" s="18"/>
      <x:c r="O181" s="15" t="str">
        <x:f>IF(A181="","",--(COUNTIF($A$2:A181,A181)=1))</x:f>
      </x:c>
      <x:c r="P181" s="15" t="str">
        <x:f>IF(A181="","",--(COUNTIFS($A$2:A181,A181,$F$2:F181,F181)=1))</x:f>
      </x:c>
    </x:row>
    <x:row r="182">
      <x:c r="A182" s="18"/>
      <x:c r="O182" s="15" t="str">
        <x:f>IF(A182="","",--(COUNTIF($A$2:A182,A182)=1))</x:f>
      </x:c>
      <x:c r="P182" s="15" t="str">
        <x:f>IF(A182="","",--(COUNTIFS($A$2:A182,A182,$F$2:F182,F182)=1))</x:f>
      </x:c>
    </x:row>
    <x:row r="183">
      <x:c r="A183" s="18"/>
      <x:c r="O183" s="15" t="str">
        <x:f>IF(A183="","",--(COUNTIF($A$2:A183,A183)=1))</x:f>
      </x:c>
      <x:c r="P183" s="15" t="str">
        <x:f>IF(A183="","",--(COUNTIFS($A$2:A183,A183,$F$2:F183,F183)=1))</x:f>
      </x:c>
    </x:row>
    <x:row r="184">
      <x:c r="A184" s="18"/>
      <x:c r="O184" s="15" t="str">
        <x:f>IF(A184="","",--(COUNTIF($A$2:A184,A184)=1))</x:f>
      </x:c>
      <x:c r="P184" s="15" t="str">
        <x:f>IF(A184="","",--(COUNTIFS($A$2:A184,A184,$F$2:F184,F184)=1))</x:f>
      </x:c>
    </x:row>
    <x:row r="185">
      <x:c r="A185" s="18"/>
      <x:c r="O185" s="15" t="str">
        <x:f>IF(A185="","",--(COUNTIF($A$2:A185,A185)=1))</x:f>
      </x:c>
      <x:c r="P185" s="15" t="str">
        <x:f>IF(A185="","",--(COUNTIFS($A$2:A185,A185,$F$2:F185,F185)=1))</x:f>
      </x:c>
    </x:row>
    <x:row r="186">
      <x:c r="A186" s="18"/>
      <x:c r="O186" s="15" t="str">
        <x:f>IF(A186="","",--(COUNTIF($A$2:A186,A186)=1))</x:f>
      </x:c>
      <x:c r="P186" s="15" t="str">
        <x:f>IF(A186="","",--(COUNTIFS($A$2:A186,A186,$F$2:F186,F186)=1))</x:f>
      </x:c>
    </x:row>
    <x:row r="187">
      <x:c r="A187" s="18"/>
      <x:c r="O187" s="15" t="str">
        <x:f>IF(A187="","",--(COUNTIF($A$2:A187,A187)=1))</x:f>
      </x:c>
      <x:c r="P187" s="15" t="str">
        <x:f>IF(A187="","",--(COUNTIFS($A$2:A187,A187,$F$2:F187,F187)=1))</x:f>
      </x:c>
    </x:row>
    <x:row r="188">
      <x:c r="A188" s="18"/>
      <x:c r="O188" s="15" t="str">
        <x:f>IF(A188="","",--(COUNTIF($A$2:A188,A188)=1))</x:f>
      </x:c>
      <x:c r="P188" s="15" t="str">
        <x:f>IF(A188="","",--(COUNTIFS($A$2:A188,A188,$F$2:F188,F188)=1))</x:f>
      </x:c>
    </x:row>
    <x:row r="189">
      <x:c r="A189" s="18"/>
      <x:c r="O189" s="15" t="str">
        <x:f>IF(A189="","",--(COUNTIF($A$2:A189,A189)=1))</x:f>
      </x:c>
      <x:c r="P189" s="15" t="str">
        <x:f>IF(A189="","",--(COUNTIFS($A$2:A189,A189,$F$2:F189,F189)=1))</x:f>
      </x:c>
    </x:row>
    <x:row r="190">
      <x:c r="A190" s="18"/>
      <x:c r="O190" s="15" t="str">
        <x:f>IF(A190="","",--(COUNTIF($A$2:A190,A190)=1))</x:f>
      </x:c>
      <x:c r="P190" s="15" t="str">
        <x:f>IF(A190="","",--(COUNTIFS($A$2:A190,A190,$F$2:F190,F190)=1))</x:f>
      </x:c>
    </x:row>
    <x:row r="191">
      <x:c r="A191" s="18"/>
      <x:c r="O191" s="15" t="str">
        <x:f>IF(A191="","",--(COUNTIF($A$2:A191,A191)=1))</x:f>
      </x:c>
      <x:c r="P191" s="15" t="str">
        <x:f>IF(A191="","",--(COUNTIFS($A$2:A191,A191,$F$2:F191,F191)=1))</x:f>
      </x:c>
    </x:row>
    <x:row r="192">
      <x:c r="A192" s="18"/>
      <x:c r="O192" s="15" t="str">
        <x:f>IF(A192="","",--(COUNTIF($A$2:A192,A192)=1))</x:f>
      </x:c>
      <x:c r="P192" s="15" t="str">
        <x:f>IF(A192="","",--(COUNTIFS($A$2:A192,A192,$F$2:F192,F192)=1))</x:f>
      </x:c>
    </x:row>
    <x:row r="193">
      <x:c r="A193" s="18"/>
      <x:c r="O193" s="15" t="str">
        <x:f>IF(A193="","",--(COUNTIF($A$2:A193,A193)=1))</x:f>
      </x:c>
      <x:c r="P193" s="15" t="str">
        <x:f>IF(A193="","",--(COUNTIFS($A$2:A193,A193,$F$2:F193,F193)=1))</x:f>
      </x:c>
    </x:row>
    <x:row r="194">
      <x:c r="A194" s="18"/>
      <x:c r="O194" s="15" t="str">
        <x:f>IF(A194="","",--(COUNTIF($A$2:A194,A194)=1))</x:f>
      </x:c>
      <x:c r="P194" s="15" t="str">
        <x:f>IF(A194="","",--(COUNTIFS($A$2:A194,A194,$F$2:F194,F194)=1))</x:f>
      </x:c>
    </x:row>
    <x:row r="195">
      <x:c r="A195" s="18"/>
      <x:c r="O195" s="15" t="str">
        <x:f>IF(A195="","",--(COUNTIF($A$2:A195,A195)=1))</x:f>
      </x:c>
      <x:c r="P195" s="15" t="str">
        <x:f>IF(A195="","",--(COUNTIFS($A$2:A195,A195,$F$2:F195,F195)=1))</x:f>
      </x:c>
    </x:row>
    <x:row r="196">
      <x:c r="A196" s="18"/>
      <x:c r="O196" s="15" t="str">
        <x:f>IF(A196="","",--(COUNTIF($A$2:A196,A196)=1))</x:f>
      </x:c>
      <x:c r="P196" s="15" t="str">
        <x:f>IF(A196="","",--(COUNTIFS($A$2:A196,A196,$F$2:F196,F196)=1))</x:f>
      </x:c>
    </x:row>
    <x:row r="197">
      <x:c r="A197" s="18"/>
      <x:c r="O197" s="15" t="str">
        <x:f>IF(A197="","",--(COUNTIF($A$2:A197,A197)=1))</x:f>
      </x:c>
      <x:c r="P197" s="15" t="str">
        <x:f>IF(A197="","",--(COUNTIFS($A$2:A197,A197,$F$2:F197,F197)=1))</x:f>
      </x:c>
    </x:row>
    <x:row r="198">
      <x:c r="A198" s="18"/>
      <x:c r="O198" s="15" t="str">
        <x:f>IF(A198="","",--(COUNTIF($A$2:A198,A198)=1))</x:f>
      </x:c>
      <x:c r="P198" s="15" t="str">
        <x:f>IF(A198="","",--(COUNTIFS($A$2:A198,A198,$F$2:F198,F198)=1))</x:f>
      </x:c>
    </x:row>
    <x:row r="199">
      <x:c r="A199" s="18"/>
      <x:c r="O199" s="15" t="str">
        <x:f>IF(A199="","",--(COUNTIF($A$2:A199,A199)=1))</x:f>
      </x:c>
      <x:c r="P199" s="15" t="str">
        <x:f>IF(A199="","",--(COUNTIFS($A$2:A199,A199,$F$2:F199,F199)=1))</x:f>
      </x:c>
    </x:row>
    <x:row r="200">
      <x:c r="A200" s="18"/>
      <x:c r="O200" s="15" t="str">
        <x:f>IF(A200="","",--(COUNTIF($A$2:A200,A200)=1))</x:f>
      </x:c>
      <x:c r="P200" s="15" t="str">
        <x:f>IF(A200="","",--(COUNTIFS($A$2:A200,A200,$F$2:F200,F200)=1))</x:f>
      </x:c>
    </x:row>
    <x:row r="201">
      <x:c r="A201" s="18"/>
      <x:c r="O201" s="15" t="str">
        <x:f>IF(A201="","",--(COUNTIF($A$2:A201,A201)=1))</x:f>
      </x:c>
      <x:c r="P201" s="15" t="str">
        <x:f>IF(A201="","",--(COUNTIFS($A$2:A201,A201,$F$2:F201,F201)=1))</x:f>
      </x:c>
    </x:row>
    <x:row r="202">
      <x:c r="A202" s="18"/>
      <x:c r="O202" s="15" t="str">
        <x:f>IF(A202="","",--(COUNTIF($A$2:A202,A202)=1))</x:f>
      </x:c>
      <x:c r="P202" s="15" t="str">
        <x:f>IF(A202="","",--(COUNTIFS($A$2:A202,A202,$F$2:F202,F202)=1))</x:f>
      </x:c>
    </x:row>
    <x:row r="203">
      <x:c r="A203" s="18"/>
      <x:c r="O203" s="15" t="str">
        <x:f>IF(A203="","",--(COUNTIF($A$2:A203,A203)=1))</x:f>
      </x:c>
      <x:c r="P203" s="15" t="str">
        <x:f>IF(A203="","",--(COUNTIFS($A$2:A203,A203,$F$2:F203,F203)=1))</x:f>
      </x:c>
    </x:row>
    <x:row r="204">
      <x:c r="A204" s="18"/>
      <x:c r="O204" s="15" t="str">
        <x:f>IF(A204="","",--(COUNTIF($A$2:A204,A204)=1))</x:f>
      </x:c>
      <x:c r="P204" s="15" t="str">
        <x:f>IF(A204="","",--(COUNTIFS($A$2:A204,A204,$F$2:F204,F204)=1))</x:f>
      </x:c>
    </x:row>
    <x:row r="205">
      <x:c r="A205" s="18"/>
      <x:c r="O205" s="15" t="str">
        <x:f>IF(A205="","",--(COUNTIF($A$2:A205,A205)=1))</x:f>
      </x:c>
      <x:c r="P205" s="15" t="str">
        <x:f>IF(A205="","",--(COUNTIFS($A$2:A205,A205,$F$2:F205,F205)=1))</x:f>
      </x:c>
    </x:row>
    <x:row r="206">
      <x:c r="A206" s="18"/>
      <x:c r="O206" s="15" t="str">
        <x:f>IF(A206="","",--(COUNTIF($A$2:A206,A206)=1))</x:f>
      </x:c>
      <x:c r="P206" s="15" t="str">
        <x:f>IF(A206="","",--(COUNTIFS($A$2:A206,A206,$F$2:F206,F206)=1))</x:f>
      </x:c>
    </x:row>
    <x:row r="207">
      <x:c r="A207" s="18"/>
      <x:c r="O207" s="15" t="str">
        <x:f>IF(A207="","",--(COUNTIF($A$2:A207,A207)=1))</x:f>
      </x:c>
      <x:c r="P207" s="15" t="str">
        <x:f>IF(A207="","",--(COUNTIFS($A$2:A207,A207,$F$2:F207,F207)=1))</x:f>
      </x:c>
    </x:row>
    <x:row r="208">
      <x:c r="A208" s="18"/>
      <x:c r="O208" s="15" t="str">
        <x:f>IF(A208="","",--(COUNTIF($A$2:A208,A208)=1))</x:f>
      </x:c>
      <x:c r="P208" s="15" t="str">
        <x:f>IF(A208="","",--(COUNTIFS($A$2:A208,A208,$F$2:F208,F208)=1))</x:f>
      </x:c>
    </x:row>
    <x:row r="209">
      <x:c r="A209" s="18"/>
      <x:c r="O209" s="15" t="str">
        <x:f>IF(A209="","",--(COUNTIF($A$2:A209,A209)=1))</x:f>
      </x:c>
      <x:c r="P209" s="15" t="str">
        <x:f>IF(A209="","",--(COUNTIFS($A$2:A209,A209,$F$2:F209,F209)=1))</x:f>
      </x:c>
    </x:row>
    <x:row r="210">
      <x:c r="A210" s="18"/>
      <x:c r="O210" s="15" t="str">
        <x:f>IF(A210="","",--(COUNTIF($A$2:A210,A210)=1))</x:f>
      </x:c>
      <x:c r="P210" s="15" t="str">
        <x:f>IF(A210="","",--(COUNTIFS($A$2:A210,A210,$F$2:F210,F210)=1))</x:f>
      </x:c>
    </x:row>
    <x:row r="211">
      <x:c r="A211" s="18"/>
      <x:c r="O211" s="15" t="str">
        <x:f>IF(A211="","",--(COUNTIF($A$2:A211,A211)=1))</x:f>
      </x:c>
      <x:c r="P211" s="15" t="str">
        <x:f>IF(A211="","",--(COUNTIFS($A$2:A211,A211,$F$2:F211,F211)=1))</x:f>
      </x:c>
    </x:row>
    <x:row r="212">
      <x:c r="A212" s="18"/>
      <x:c r="O212" s="15" t="str">
        <x:f>IF(A212="","",--(COUNTIF($A$2:A212,A212)=1))</x:f>
      </x:c>
      <x:c r="P212" s="15" t="str">
        <x:f>IF(A212="","",--(COUNTIFS($A$2:A212,A212,$F$2:F212,F212)=1))</x:f>
      </x:c>
    </x:row>
    <x:row r="213">
      <x:c r="A213" s="18"/>
      <x:c r="O213" s="15" t="str">
        <x:f>IF(A213="","",--(COUNTIF($A$2:A213,A213)=1))</x:f>
      </x:c>
      <x:c r="P213" s="15" t="str">
        <x:f>IF(A213="","",--(COUNTIFS($A$2:A213,A213,$F$2:F213,F213)=1))</x:f>
      </x:c>
    </x:row>
    <x:row r="214">
      <x:c r="A214" s="18"/>
      <x:c r="O214" s="15" t="str">
        <x:f>IF(A214="","",--(COUNTIF($A$2:A214,A214)=1))</x:f>
      </x:c>
      <x:c r="P214" s="15" t="str">
        <x:f>IF(A214="","",--(COUNTIFS($A$2:A214,A214,$F$2:F214,F214)=1))</x:f>
      </x:c>
    </x:row>
    <x:row r="215">
      <x:c r="A215" s="18"/>
      <x:c r="O215" s="15" t="str">
        <x:f>IF(A215="","",--(COUNTIF($A$2:A215,A215)=1))</x:f>
      </x:c>
      <x:c r="P215" s="15" t="str">
        <x:f>IF(A215="","",--(COUNTIFS($A$2:A215,A215,$F$2:F215,F215)=1))</x:f>
      </x:c>
    </x:row>
    <x:row r="216">
      <x:c r="A216" s="18"/>
      <x:c r="O216" s="15" t="str">
        <x:f>IF(A216="","",--(COUNTIF($A$2:A216,A216)=1))</x:f>
      </x:c>
      <x:c r="P216" s="15" t="str">
        <x:f>IF(A216="","",--(COUNTIFS($A$2:A216,A216,$F$2:F216,F216)=1))</x:f>
      </x:c>
    </x:row>
    <x:row r="217">
      <x:c r="A217" s="18"/>
      <x:c r="O217" s="15" t="str">
        <x:f>IF(A217="","",--(COUNTIF($A$2:A217,A217)=1))</x:f>
      </x:c>
      <x:c r="P217" s="15" t="str">
        <x:f>IF(A217="","",--(COUNTIFS($A$2:A217,A217,$F$2:F217,F217)=1))</x:f>
      </x:c>
    </x:row>
    <x:row r="218">
      <x:c r="A218" s="18"/>
      <x:c r="O218" s="15" t="str">
        <x:f>IF(A218="","",--(COUNTIF($A$2:A218,A218)=1))</x:f>
      </x:c>
      <x:c r="P218" s="15" t="str">
        <x:f>IF(A218="","",--(COUNTIFS($A$2:A218,A218,$F$2:F218,F218)=1))</x:f>
      </x:c>
    </x:row>
    <x:row r="219">
      <x:c r="A219" s="18"/>
      <x:c r="O219" s="15" t="str">
        <x:f>IF(A219="","",--(COUNTIF($A$2:A219,A219)=1))</x:f>
      </x:c>
      <x:c r="P219" s="15" t="str">
        <x:f>IF(A219="","",--(COUNTIFS($A$2:A219,A219,$F$2:F219,F219)=1))</x:f>
      </x:c>
    </x:row>
    <x:row r="220">
      <x:c r="A220" s="18"/>
      <x:c r="O220" s="15" t="str">
        <x:f>IF(A220="","",--(COUNTIF($A$2:A220,A220)=1))</x:f>
      </x:c>
      <x:c r="P220" s="15" t="str">
        <x:f>IF(A220="","",--(COUNTIFS($A$2:A220,A220,$F$2:F220,F220)=1))</x:f>
      </x:c>
    </x:row>
    <x:row r="221">
      <x:c r="A221" s="18"/>
      <x:c r="O221" s="15" t="str">
        <x:f>IF(A221="","",--(COUNTIF($A$2:A221,A221)=1))</x:f>
      </x:c>
      <x:c r="P221" s="15" t="str">
        <x:f>IF(A221="","",--(COUNTIFS($A$2:A221,A221,$F$2:F221,F221)=1))</x:f>
      </x:c>
    </x:row>
    <x:row r="222">
      <x:c r="A222" s="18"/>
      <x:c r="O222" s="15" t="str">
        <x:f>IF(A222="","",--(COUNTIF($A$2:A222,A222)=1))</x:f>
      </x:c>
      <x:c r="P222" s="15" t="str">
        <x:f>IF(A222="","",--(COUNTIFS($A$2:A222,A222,$F$2:F222,F222)=1))</x:f>
      </x:c>
    </x:row>
    <x:row r="223">
      <x:c r="A223" s="18"/>
      <x:c r="O223" s="15" t="str">
        <x:f>IF(A223="","",--(COUNTIF($A$2:A223,A223)=1))</x:f>
      </x:c>
      <x:c r="P223" s="15" t="str">
        <x:f>IF(A223="","",--(COUNTIFS($A$2:A223,A223,$F$2:F223,F223)=1))</x:f>
      </x:c>
    </x:row>
    <x:row r="224">
      <x:c r="A224" s="18"/>
      <x:c r="O224" s="15" t="str">
        <x:f>IF(A224="","",--(COUNTIF($A$2:A224,A224)=1))</x:f>
      </x:c>
      <x:c r="P224" s="15" t="str">
        <x:f>IF(A224="","",--(COUNTIFS($A$2:A224,A224,$F$2:F224,F224)=1))</x:f>
      </x:c>
    </x:row>
    <x:row r="225">
      <x:c r="A225" s="18"/>
      <x:c r="O225" s="15" t="str">
        <x:f>IF(A225="","",--(COUNTIF($A$2:A225,A225)=1))</x:f>
      </x:c>
      <x:c r="P225" s="15" t="str">
        <x:f>IF(A225="","",--(COUNTIFS($A$2:A225,A225,$F$2:F225,F225)=1))</x:f>
      </x:c>
    </x:row>
    <x:row r="226">
      <x:c r="A226" s="18"/>
      <x:c r="O226" s="15" t="str">
        <x:f>IF(A226="","",--(COUNTIF($A$2:A226,A226)=1))</x:f>
      </x:c>
      <x:c r="P226" s="15" t="str">
        <x:f>IF(A226="","",--(COUNTIFS($A$2:A226,A226,$F$2:F226,F226)=1))</x:f>
      </x:c>
    </x:row>
    <x:row r="227">
      <x:c r="A227" s="18"/>
      <x:c r="O227" s="15" t="str">
        <x:f>IF(A227="","",--(COUNTIF($A$2:A227,A227)=1))</x:f>
      </x:c>
      <x:c r="P227" s="15" t="str">
        <x:f>IF(A227="","",--(COUNTIFS($A$2:A227,A227,$F$2:F227,F227)=1))</x:f>
      </x:c>
    </x:row>
    <x:row r="228">
      <x:c r="A228" s="18"/>
      <x:c r="O228" s="15" t="str">
        <x:f>IF(A228="","",--(COUNTIF($A$2:A228,A228)=1))</x:f>
      </x:c>
      <x:c r="P228" s="15" t="str">
        <x:f>IF(A228="","",--(COUNTIFS($A$2:A228,A228,$F$2:F228,F228)=1))</x:f>
      </x:c>
    </x:row>
    <x:row r="229">
      <x:c r="A229" s="18"/>
      <x:c r="O229" s="15" t="str">
        <x:f>IF(A229="","",--(COUNTIF($A$2:A229,A229)=1))</x:f>
      </x:c>
      <x:c r="P229" s="15" t="str">
        <x:f>IF(A229="","",--(COUNTIFS($A$2:A229,A229,$F$2:F229,F229)=1))</x:f>
      </x:c>
    </x:row>
    <x:row r="230">
      <x:c r="A230" s="18"/>
      <x:c r="O230" s="15" t="str">
        <x:f>IF(A230="","",--(COUNTIF($A$2:A230,A230)=1))</x:f>
      </x:c>
      <x:c r="P230" s="15" t="str">
        <x:f>IF(A230="","",--(COUNTIFS($A$2:A230,A230,$F$2:F230,F230)=1))</x:f>
      </x:c>
    </x:row>
    <x:row r="231">
      <x:c r="A231" s="18"/>
      <x:c r="O231" s="15" t="str">
        <x:f>IF(A231="","",--(COUNTIF($A$2:A231,A231)=1))</x:f>
      </x:c>
      <x:c r="P231" s="15" t="str">
        <x:f>IF(A231="","",--(COUNTIFS($A$2:A231,A231,$F$2:F231,F231)=1))</x:f>
      </x:c>
    </x:row>
    <x:row r="232">
      <x:c r="A232" s="18"/>
      <x:c r="O232" s="15" t="str">
        <x:f>IF(A232="","",--(COUNTIF($A$2:A232,A232)=1))</x:f>
      </x:c>
      <x:c r="P232" s="15" t="str">
        <x:f>IF(A232="","",--(COUNTIFS($A$2:A232,A232,$F$2:F232,F232)=1))</x:f>
      </x:c>
    </x:row>
    <x:row r="233">
      <x:c r="A233" s="18"/>
      <x:c r="O233" s="15" t="str">
        <x:f>IF(A233="","",--(COUNTIF($A$2:A233,A233)=1))</x:f>
      </x:c>
      <x:c r="P233" s="15" t="str">
        <x:f>IF(A233="","",--(COUNTIFS($A$2:A233,A233,$F$2:F233,F233)=1))</x:f>
      </x:c>
    </x:row>
    <x:row r="234">
      <x:c r="A234" s="18"/>
      <x:c r="O234" s="15" t="str">
        <x:f>IF(A234="","",--(COUNTIF($A$2:A234,A234)=1))</x:f>
      </x:c>
      <x:c r="P234" s="15" t="str">
        <x:f>IF(A234="","",--(COUNTIFS($A$2:A234,A234,$F$2:F234,F234)=1))</x:f>
      </x:c>
    </x:row>
    <x:row r="235">
      <x:c r="A235" s="18"/>
      <x:c r="O235" s="15" t="str">
        <x:f>IF(A235="","",--(COUNTIF($A$2:A235,A235)=1))</x:f>
      </x:c>
      <x:c r="P235" s="15" t="str">
        <x:f>IF(A235="","",--(COUNTIFS($A$2:A235,A235,$F$2:F235,F235)=1))</x:f>
      </x:c>
    </x:row>
    <x:row r="236">
      <x:c r="A236" s="18"/>
      <x:c r="O236" s="15" t="str">
        <x:f>IF(A236="","",--(COUNTIF($A$2:A236,A236)=1))</x:f>
      </x:c>
      <x:c r="P236" s="15" t="str">
        <x:f>IF(A236="","",--(COUNTIFS($A$2:A236,A236,$F$2:F236,F236)=1))</x:f>
      </x:c>
    </x:row>
    <x:row r="237">
      <x:c r="A237" s="18"/>
      <x:c r="O237" s="15" t="str">
        <x:f>IF(A237="","",--(COUNTIF($A$2:A237,A237)=1))</x:f>
      </x:c>
      <x:c r="P237" s="15" t="str">
        <x:f>IF(A237="","",--(COUNTIFS($A$2:A237,A237,$F$2:F237,F237)=1))</x:f>
      </x:c>
    </x:row>
    <x:row r="238">
      <x:c r="A238" s="18"/>
      <x:c r="O238" s="15" t="str">
        <x:f>IF(A238="","",--(COUNTIF($A$2:A238,A238)=1))</x:f>
      </x:c>
      <x:c r="P238" s="15" t="str">
        <x:f>IF(A238="","",--(COUNTIFS($A$2:A238,A238,$F$2:F238,F238)=1))</x:f>
      </x:c>
    </x:row>
    <x:row r="239">
      <x:c r="A239" s="18"/>
      <x:c r="O239" s="15" t="str">
        <x:f>IF(A239="","",--(COUNTIF($A$2:A239,A239)=1))</x:f>
      </x:c>
      <x:c r="P239" s="15" t="str">
        <x:f>IF(A239="","",--(COUNTIFS($A$2:A239,A239,$F$2:F239,F239)=1))</x:f>
      </x:c>
    </x:row>
    <x:row r="240">
      <x:c r="A240" s="18"/>
      <x:c r="O240" s="15" t="str">
        <x:f>IF(A240="","",--(COUNTIF($A$2:A240,A240)=1))</x:f>
      </x:c>
      <x:c r="P240" s="15" t="str">
        <x:f>IF(A240="","",--(COUNTIFS($A$2:A240,A240,$F$2:F240,F240)=1))</x:f>
      </x:c>
    </x:row>
    <x:row r="241">
      <x:c r="A241" s="18"/>
      <x:c r="O241" s="15" t="str">
        <x:f>IF(A241="","",--(COUNTIF($A$2:A241,A241)=1))</x:f>
      </x:c>
      <x:c r="P241" s="15" t="str">
        <x:f>IF(A241="","",--(COUNTIFS($A$2:A241,A241,$F$2:F241,F241)=1))</x:f>
      </x:c>
    </x:row>
    <x:row r="242">
      <x:c r="A242" s="18"/>
      <x:c r="O242" s="15" t="str">
        <x:f>IF(A242="","",--(COUNTIF($A$2:A242,A242)=1))</x:f>
      </x:c>
      <x:c r="P242" s="15" t="str">
        <x:f>IF(A242="","",--(COUNTIFS($A$2:A242,A242,$F$2:F242,F242)=1))</x:f>
      </x:c>
    </x:row>
    <x:row r="243">
      <x:c r="A243" s="18"/>
      <x:c r="O243" s="15" t="str">
        <x:f>IF(A243="","",--(COUNTIF($A$2:A243,A243)=1))</x:f>
      </x:c>
      <x:c r="P243" s="15" t="str">
        <x:f>IF(A243="","",--(COUNTIFS($A$2:A243,A243,$F$2:F243,F243)=1))</x:f>
      </x:c>
    </x:row>
    <x:row r="244">
      <x:c r="A244" s="18"/>
      <x:c r="O244" s="15" t="str">
        <x:f>IF(A244="","",--(COUNTIF($A$2:A244,A244)=1))</x:f>
      </x:c>
      <x:c r="P244" s="15" t="str">
        <x:f>IF(A244="","",--(COUNTIFS($A$2:A244,A244,$F$2:F244,F244)=1))</x:f>
      </x:c>
    </x:row>
    <x:row r="245">
      <x:c r="A245" s="18"/>
      <x:c r="O245" s="15" t="str">
        <x:f>IF(A245="","",--(COUNTIF($A$2:A245,A245)=1))</x:f>
      </x:c>
      <x:c r="P245" s="15" t="str">
        <x:f>IF(A245="","",--(COUNTIFS($A$2:A245,A245,$F$2:F245,F245)=1))</x:f>
      </x:c>
    </x:row>
    <x:row r="246">
      <x:c r="A246" s="18"/>
      <x:c r="O246" s="15" t="str">
        <x:f>IF(A246="","",--(COUNTIF($A$2:A246,A246)=1))</x:f>
      </x:c>
      <x:c r="P246" s="15" t="str">
        <x:f>IF(A246="","",--(COUNTIFS($A$2:A246,A246,$F$2:F246,F246)=1))</x:f>
      </x:c>
    </x:row>
    <x:row r="247">
      <x:c r="A247" s="18"/>
      <x:c r="O247" s="15" t="str">
        <x:f>IF(A247="","",--(COUNTIF($A$2:A247,A247)=1))</x:f>
      </x:c>
      <x:c r="P247" s="15" t="str">
        <x:f>IF(A247="","",--(COUNTIFS($A$2:A247,A247,$F$2:F247,F247)=1))</x:f>
      </x:c>
    </x:row>
    <x:row r="248">
      <x:c r="A248" s="18"/>
      <x:c r="O248" s="15" t="str">
        <x:f>IF(A248="","",--(COUNTIF($A$2:A248,A248)=1))</x:f>
      </x:c>
      <x:c r="P248" s="15" t="str">
        <x:f>IF(A248="","",--(COUNTIFS($A$2:A248,A248,$F$2:F248,F248)=1))</x:f>
      </x:c>
    </x:row>
    <x:row r="249">
      <x:c r="A249" s="18"/>
      <x:c r="O249" s="15" t="str">
        <x:f>IF(A249="","",--(COUNTIF($A$2:A249,A249)=1))</x:f>
      </x:c>
      <x:c r="P249" s="15" t="str">
        <x:f>IF(A249="","",--(COUNTIFS($A$2:A249,A249,$F$2:F249,F249)=1))</x:f>
      </x:c>
    </x:row>
    <x:row r="250">
      <x:c r="A250" s="18"/>
      <x:c r="O250" s="15" t="str">
        <x:f>IF(A250="","",--(COUNTIF($A$2:A250,A250)=1))</x:f>
      </x:c>
      <x:c r="P250" s="15" t="str">
        <x:f>IF(A250="","",--(COUNTIFS($A$2:A250,A250,$F$2:F250,F250)=1))</x:f>
      </x:c>
    </x:row>
    <x:row r="251">
      <x:c r="A251" s="18"/>
      <x:c r="O251" s="15" t="str">
        <x:f>IF(A251="","",--(COUNTIF($A$2:A251,A251)=1))</x:f>
      </x:c>
      <x:c r="P251" s="15" t="str">
        <x:f>IF(A251="","",--(COUNTIFS($A$2:A251,A251,$F$2:F251,F251)=1))</x:f>
      </x:c>
    </x:row>
    <x:row r="252">
      <x:c r="A252" s="18"/>
      <x:c r="O252" s="15" t="str">
        <x:f>IF(A252="","",--(COUNTIF($A$2:A252,A252)=1))</x:f>
      </x:c>
      <x:c r="P252" s="15" t="str">
        <x:f>IF(A252="","",--(COUNTIFS($A$2:A252,A252,$F$2:F252,F252)=1))</x:f>
      </x:c>
    </x:row>
    <x:row r="253">
      <x:c r="A253" s="18"/>
      <x:c r="O253" s="15" t="str">
        <x:f>IF(A253="","",--(COUNTIF($A$2:A253,A253)=1))</x:f>
      </x:c>
      <x:c r="P253" s="15" t="str">
        <x:f>IF(A253="","",--(COUNTIFS($A$2:A253,A253,$F$2:F253,F253)=1))</x:f>
      </x:c>
    </x:row>
    <x:row r="254">
      <x:c r="A254" s="18"/>
      <x:c r="O254" s="15" t="str">
        <x:f>IF(A254="","",--(COUNTIF($A$2:A254,A254)=1))</x:f>
      </x:c>
      <x:c r="P254" s="15" t="str">
        <x:f>IF(A254="","",--(COUNTIFS($A$2:A254,A254,$F$2:F254,F254)=1))</x:f>
      </x:c>
    </x:row>
    <x:row r="255">
      <x:c r="A255" s="18"/>
      <x:c r="O255" s="15" t="str">
        <x:f>IF(A255="","",--(COUNTIF($A$2:A255,A255)=1))</x:f>
      </x:c>
      <x:c r="P255" s="15" t="str">
        <x:f>IF(A255="","",--(COUNTIFS($A$2:A255,A255,$F$2:F255,F255)=1))</x:f>
      </x:c>
    </x:row>
    <x:row r="256">
      <x:c r="A256" s="18"/>
      <x:c r="O256" s="15" t="str">
        <x:f>IF(A256="","",--(COUNTIF($A$2:A256,A256)=1))</x:f>
      </x:c>
      <x:c r="P256" s="15" t="str">
        <x:f>IF(A256="","",--(COUNTIFS($A$2:A256,A256,$F$2:F256,F256)=1))</x:f>
      </x:c>
    </x:row>
    <x:row r="257">
      <x:c r="A257" s="18"/>
      <x:c r="O257" s="15" t="str">
        <x:f>IF(A257="","",--(COUNTIF($A$2:A257,A257)=1))</x:f>
      </x:c>
      <x:c r="P257" s="15" t="str">
        <x:f>IF(A257="","",--(COUNTIFS($A$2:A257,A257,$F$2:F257,F257)=1))</x:f>
      </x:c>
    </x:row>
    <x:row r="258">
      <x:c r="A258" s="18"/>
      <x:c r="O258" s="15" t="str">
        <x:f>IF(A258="","",--(COUNTIF($A$2:A258,A258)=1))</x:f>
      </x:c>
      <x:c r="P258" s="15" t="str">
        <x:f>IF(A258="","",--(COUNTIFS($A$2:A258,A258,$F$2:F258,F258)=1))</x:f>
      </x:c>
    </x:row>
    <x:row r="259">
      <x:c r="A259" s="18"/>
      <x:c r="O259" s="15" t="str">
        <x:f>IF(A259="","",--(COUNTIF($A$2:A259,A259)=1))</x:f>
      </x:c>
      <x:c r="P259" s="15" t="str">
        <x:f>IF(A259="","",--(COUNTIFS($A$2:A259,A259,$F$2:F259,F259)=1))</x:f>
      </x:c>
    </x:row>
    <x:row r="260">
      <x:c r="A260" s="18"/>
      <x:c r="O260" s="15" t="str">
        <x:f>IF(A260="","",--(COUNTIF($A$2:A260,A260)=1))</x:f>
      </x:c>
      <x:c r="P260" s="15" t="str">
        <x:f>IF(A260="","",--(COUNTIFS($A$2:A260,A260,$F$2:F260,F260)=1))</x:f>
      </x:c>
    </x:row>
    <x:row r="261">
      <x:c r="A261" s="18"/>
      <x:c r="O261" s="15" t="str">
        <x:f>IF(A261="","",--(COUNTIF($A$2:A261,A261)=1))</x:f>
      </x:c>
      <x:c r="P261" s="15" t="str">
        <x:f>IF(A261="","",--(COUNTIFS($A$2:A261,A261,$F$2:F261,F261)=1))</x:f>
      </x:c>
    </x:row>
    <x:row r="262">
      <x:c r="A262" s="18"/>
      <x:c r="O262" s="15" t="str">
        <x:f>IF(A262="","",--(COUNTIF($A$2:A262,A262)=1))</x:f>
      </x:c>
      <x:c r="P262" s="15" t="str">
        <x:f>IF(A262="","",--(COUNTIFS($A$2:A262,A262,$F$2:F262,F262)=1))</x:f>
      </x:c>
    </x:row>
    <x:row r="263">
      <x:c r="A263" s="18"/>
      <x:c r="O263" s="15" t="str">
        <x:f>IF(A263="","",--(COUNTIF($A$2:A263,A263)=1))</x:f>
      </x:c>
      <x:c r="P263" s="15" t="str">
        <x:f>IF(A263="","",--(COUNTIFS($A$2:A263,A263,$F$2:F263,F263)=1))</x:f>
      </x:c>
    </x:row>
    <x:row r="264">
      <x:c r="A264" s="18"/>
      <x:c r="O264" s="15" t="str">
        <x:f>IF(A264="","",--(COUNTIF($A$2:A264,A264)=1))</x:f>
      </x:c>
      <x:c r="P264" s="15" t="str">
        <x:f>IF(A264="","",--(COUNTIFS($A$2:A264,A264,$F$2:F264,F264)=1))</x:f>
      </x:c>
    </x:row>
    <x:row r="265">
      <x:c r="A265" s="18"/>
      <x:c r="O265" s="15" t="str">
        <x:f>IF(A265="","",--(COUNTIF($A$2:A265,A265)=1))</x:f>
      </x:c>
      <x:c r="P265" s="15" t="str">
        <x:f>IF(A265="","",--(COUNTIFS($A$2:A265,A265,$F$2:F265,F265)=1))</x:f>
      </x:c>
    </x:row>
    <x:row r="266">
      <x:c r="A266" s="18"/>
      <x:c r="O266" s="15" t="str">
        <x:f>IF(A266="","",--(COUNTIF($A$2:A266,A266)=1))</x:f>
      </x:c>
      <x:c r="P266" s="15" t="str">
        <x:f>IF(A266="","",--(COUNTIFS($A$2:A266,A266,$F$2:F266,F266)=1))</x:f>
      </x:c>
    </x:row>
    <x:row r="267">
      <x:c r="A267" s="18"/>
      <x:c r="O267" s="15" t="str">
        <x:f>IF(A267="","",--(COUNTIF($A$2:A267,A267)=1))</x:f>
      </x:c>
      <x:c r="P267" s="15" t="str">
        <x:f>IF(A267="","",--(COUNTIFS($A$2:A267,A267,$F$2:F267,F267)=1))</x:f>
      </x:c>
    </x:row>
    <x:row r="268">
      <x:c r="A268" s="18"/>
      <x:c r="O268" s="15" t="str">
        <x:f>IF(A268="","",--(COUNTIF($A$2:A268,A268)=1))</x:f>
      </x:c>
      <x:c r="P268" s="15" t="str">
        <x:f>IF(A268="","",--(COUNTIFS($A$2:A268,A268,$F$2:F268,F268)=1))</x:f>
      </x:c>
    </x:row>
    <x:row r="269">
      <x:c r="A269" s="18"/>
      <x:c r="O269" s="15" t="str">
        <x:f>IF(A269="","",--(COUNTIF($A$2:A269,A269)=1))</x:f>
      </x:c>
      <x:c r="P269" s="15" t="str">
        <x:f>IF(A269="","",--(COUNTIFS($A$2:A269,A269,$F$2:F269,F269)=1))</x:f>
      </x:c>
    </x:row>
    <x:row r="270">
      <x:c r="A270" s="18"/>
      <x:c r="O270" s="15" t="str">
        <x:f>IF(A270="","",--(COUNTIF($A$2:A270,A270)=1))</x:f>
      </x:c>
      <x:c r="P270" s="15" t="str">
        <x:f>IF(A270="","",--(COUNTIFS($A$2:A270,A270,$F$2:F270,F270)=1))</x:f>
      </x:c>
    </x:row>
    <x:row r="271">
      <x:c r="A271" s="18"/>
      <x:c r="O271" s="15" t="str">
        <x:f>IF(A271="","",--(COUNTIF($A$2:A271,A271)=1))</x:f>
      </x:c>
      <x:c r="P271" s="15" t="str">
        <x:f>IF(A271="","",--(COUNTIFS($A$2:A271,A271,$F$2:F271,F271)=1))</x:f>
      </x:c>
    </x:row>
    <x:row r="272">
      <x:c r="A272" s="18"/>
      <x:c r="O272" s="15" t="str">
        <x:f>IF(A272="","",--(COUNTIF($A$2:A272,A272)=1))</x:f>
      </x:c>
      <x:c r="P272" s="15" t="str">
        <x:f>IF(A272="","",--(COUNTIFS($A$2:A272,A272,$F$2:F272,F272)=1))</x:f>
      </x:c>
    </x:row>
    <x:row r="273">
      <x:c r="A273" s="18"/>
      <x:c r="O273" s="15" t="str">
        <x:f>IF(A273="","",--(COUNTIF($A$2:A273,A273)=1))</x:f>
      </x:c>
      <x:c r="P273" s="15" t="str">
        <x:f>IF(A273="","",--(COUNTIFS($A$2:A273,A273,$F$2:F273,F273)=1))</x:f>
      </x:c>
    </x:row>
    <x:row r="274">
      <x:c r="A274" s="18"/>
      <x:c r="O274" s="15" t="str">
        <x:f>IF(A274="","",--(COUNTIF($A$2:A274,A274)=1))</x:f>
      </x:c>
      <x:c r="P274" s="15" t="str">
        <x:f>IF(A274="","",--(COUNTIFS($A$2:A274,A274,$F$2:F274,F274)=1))</x:f>
      </x:c>
    </x:row>
    <x:row r="275">
      <x:c r="A275" s="18"/>
      <x:c r="O275" s="15" t="str">
        <x:f>IF(A275="","",--(COUNTIF($A$2:A275,A275)=1))</x:f>
      </x:c>
      <x:c r="P275" s="15" t="str">
        <x:f>IF(A275="","",--(COUNTIFS($A$2:A275,A275,$F$2:F275,F275)=1))</x:f>
      </x:c>
    </x:row>
    <x:row r="276">
      <x:c r="A276" s="18"/>
      <x:c r="O276" s="15" t="str">
        <x:f>IF(A276="","",--(COUNTIF($A$2:A276,A276)=1))</x:f>
      </x:c>
      <x:c r="P276" s="15" t="str">
        <x:f>IF(A276="","",--(COUNTIFS($A$2:A276,A276,$F$2:F276,F276)=1))</x:f>
      </x:c>
    </x:row>
    <x:row r="277">
      <x:c r="A277" s="18"/>
      <x:c r="O277" s="15" t="str">
        <x:f>IF(A277="","",--(COUNTIF($A$2:A277,A277)=1))</x:f>
      </x:c>
      <x:c r="P277" s="15" t="str">
        <x:f>IF(A277="","",--(COUNTIFS($A$2:A277,A277,$F$2:F277,F277)=1))</x:f>
      </x:c>
    </x:row>
    <x:row r="278">
      <x:c r="A278" s="18"/>
      <x:c r="O278" s="15" t="str">
        <x:f>IF(A278="","",--(COUNTIF($A$2:A278,A278)=1))</x:f>
      </x:c>
      <x:c r="P278" s="15" t="str">
        <x:f>IF(A278="","",--(COUNTIFS($A$2:A278,A278,$F$2:F278,F278)=1))</x:f>
      </x:c>
    </x:row>
    <x:row r="279">
      <x:c r="A279" s="18"/>
      <x:c r="O279" s="15" t="str">
        <x:f>IF(A279="","",--(COUNTIF($A$2:A279,A279)=1))</x:f>
      </x:c>
      <x:c r="P279" s="15" t="str">
        <x:f>IF(A279="","",--(COUNTIFS($A$2:A279,A279,$F$2:F279,F279)=1))</x:f>
      </x:c>
    </x:row>
    <x:row r="280">
      <x:c r="A280" s="18"/>
      <x:c r="O280" s="15" t="str">
        <x:f>IF(A280="","",--(COUNTIF($A$2:A280,A280)=1))</x:f>
      </x:c>
      <x:c r="P280" s="15" t="str">
        <x:f>IF(A280="","",--(COUNTIFS($A$2:A280,A280,$F$2:F280,F280)=1))</x:f>
      </x:c>
    </x:row>
    <x:row r="281">
      <x:c r="A281" s="18"/>
      <x:c r="O281" s="15" t="str">
        <x:f>IF(A281="","",--(COUNTIF($A$2:A281,A281)=1))</x:f>
      </x:c>
      <x:c r="P281" s="15" t="str">
        <x:f>IF(A281="","",--(COUNTIFS($A$2:A281,A281,$F$2:F281,F281)=1))</x:f>
      </x:c>
    </x:row>
    <x:row r="282">
      <x:c r="A282" s="18"/>
      <x:c r="O282" s="15" t="str">
        <x:f>IF(A282="","",--(COUNTIF($A$2:A282,A282)=1))</x:f>
      </x:c>
      <x:c r="P282" s="15" t="str">
        <x:f>IF(A282="","",--(COUNTIFS($A$2:A282,A282,$F$2:F282,F282)=1))</x:f>
      </x:c>
    </x:row>
    <x:row r="283">
      <x:c r="A283" s="18"/>
      <x:c r="O283" s="15" t="str">
        <x:f>IF(A283="","",--(COUNTIF($A$2:A283,A283)=1))</x:f>
      </x:c>
      <x:c r="P283" s="15" t="str">
        <x:f>IF(A283="","",--(COUNTIFS($A$2:A283,A283,$F$2:F283,F283)=1))</x:f>
      </x:c>
    </x:row>
    <x:row r="284">
      <x:c r="A284" s="18"/>
      <x:c r="O284" s="15" t="str">
        <x:f>IF(A284="","",--(COUNTIF($A$2:A284,A284)=1))</x:f>
      </x:c>
      <x:c r="P284" s="15" t="str">
        <x:f>IF(A284="","",--(COUNTIFS($A$2:A284,A284,$F$2:F284,F284)=1))</x:f>
      </x:c>
    </x:row>
    <x:row r="285">
      <x:c r="A285" s="18"/>
      <x:c r="O285" s="15" t="str">
        <x:f>IF(A285="","",--(COUNTIF($A$2:A285,A285)=1))</x:f>
      </x:c>
      <x:c r="P285" s="15" t="str">
        <x:f>IF(A285="","",--(COUNTIFS($A$2:A285,A285,$F$2:F285,F285)=1))</x:f>
      </x:c>
    </x:row>
    <x:row r="286">
      <x:c r="A286" s="18"/>
      <x:c r="O286" s="15" t="str">
        <x:f>IF(A286="","",--(COUNTIF($A$2:A286,A286)=1))</x:f>
      </x:c>
      <x:c r="P286" s="15" t="str">
        <x:f>IF(A286="","",--(COUNTIFS($A$2:A286,A286,$F$2:F286,F286)=1))</x:f>
      </x:c>
    </x:row>
    <x:row r="287">
      <x:c r="A287" s="18"/>
      <x:c r="O287" s="15" t="str">
        <x:f>IF(A287="","",--(COUNTIF($A$2:A287,A287)=1))</x:f>
      </x:c>
      <x:c r="P287" s="15" t="str">
        <x:f>IF(A287="","",--(COUNTIFS($A$2:A287,A287,$F$2:F287,F287)=1))</x:f>
      </x:c>
    </x:row>
    <x:row r="288">
      <x:c r="A288" s="18"/>
      <x:c r="O288" s="15" t="str">
        <x:f>IF(A288="","",--(COUNTIF($A$2:A288,A288)=1))</x:f>
      </x:c>
      <x:c r="P288" s="15" t="str">
        <x:f>IF(A288="","",--(COUNTIFS($A$2:A288,A288,$F$2:F288,F288)=1))</x:f>
      </x:c>
    </x:row>
    <x:row r="289">
      <x:c r="A289" s="18"/>
      <x:c r="O289" s="15" t="str">
        <x:f>IF(A289="","",--(COUNTIF($A$2:A289,A289)=1))</x:f>
      </x:c>
      <x:c r="P289" s="15" t="str">
        <x:f>IF(A289="","",--(COUNTIFS($A$2:A289,A289,$F$2:F289,F289)=1))</x:f>
      </x:c>
    </x:row>
    <x:row r="290">
      <x:c r="A290" s="18"/>
      <x:c r="O290" s="15" t="str">
        <x:f>IF(A290="","",--(COUNTIF($A$2:A290,A290)=1))</x:f>
      </x:c>
      <x:c r="P290" s="15" t="str">
        <x:f>IF(A290="","",--(COUNTIFS($A$2:A290,A290,$F$2:F290,F290)=1))</x:f>
      </x:c>
    </x:row>
    <x:row r="291">
      <x:c r="A291" s="18"/>
      <x:c r="O291" s="15" t="str">
        <x:f>IF(A291="","",--(COUNTIF($A$2:A291,A291)=1))</x:f>
      </x:c>
      <x:c r="P291" s="15" t="str">
        <x:f>IF(A291="","",--(COUNTIFS($A$2:A291,A291,$F$2:F291,F291)=1))</x:f>
      </x:c>
    </x:row>
    <x:row r="292">
      <x:c r="A292" s="18"/>
      <x:c r="O292" s="15" t="str">
        <x:f>IF(A292="","",--(COUNTIF($A$2:A292,A292)=1))</x:f>
      </x:c>
      <x:c r="P292" s="15" t="str">
        <x:f>IF(A292="","",--(COUNTIFS($A$2:A292,A292,$F$2:F292,F292)=1))</x:f>
      </x:c>
    </x:row>
    <x:row r="293">
      <x:c r="A293" s="18"/>
      <x:c r="O293" s="15" t="str">
        <x:f>IF(A293="","",--(COUNTIF($A$2:A293,A293)=1))</x:f>
      </x:c>
      <x:c r="P293" s="15" t="str">
        <x:f>IF(A293="","",--(COUNTIFS($A$2:A293,A293,$F$2:F293,F293)=1))</x:f>
      </x:c>
    </x:row>
    <x:row r="294">
      <x:c r="A294" s="18"/>
      <x:c r="O294" s="15" t="str">
        <x:f>IF(A294="","",--(COUNTIF($A$2:A294,A294)=1))</x:f>
      </x:c>
      <x:c r="P294" s="15" t="str">
        <x:f>IF(A294="","",--(COUNTIFS($A$2:A294,A294,$F$2:F294,F294)=1))</x:f>
      </x:c>
    </x:row>
    <x:row r="295">
      <x:c r="A295" s="18"/>
      <x:c r="O295" s="15" t="str">
        <x:f>IF(A295="","",--(COUNTIF($A$2:A295,A295)=1))</x:f>
      </x:c>
      <x:c r="P295" s="15" t="str">
        <x:f>IF(A295="","",--(COUNTIFS($A$2:A295,A295,$F$2:F295,F295)=1))</x:f>
      </x:c>
    </x:row>
    <x:row r="296">
      <x:c r="A296" s="18"/>
      <x:c r="O296" s="15" t="str">
        <x:f>IF(A296="","",--(COUNTIF($A$2:A296,A296)=1))</x:f>
      </x:c>
      <x:c r="P296" s="15" t="str">
        <x:f>IF(A296="","",--(COUNTIFS($A$2:A296,A296,$F$2:F296,F296)=1))</x:f>
      </x:c>
    </x:row>
    <x:row r="297">
      <x:c r="A297" s="18"/>
      <x:c r="O297" s="15" t="str">
        <x:f>IF(A297="","",--(COUNTIF($A$2:A297,A297)=1))</x:f>
      </x:c>
      <x:c r="P297" s="15" t="str">
        <x:f>IF(A297="","",--(COUNTIFS($A$2:A297,A297,$F$2:F297,F297)=1))</x:f>
      </x:c>
    </x:row>
    <x:row r="298">
      <x:c r="A298" s="18"/>
      <x:c r="O298" s="15" t="str">
        <x:f>IF(A298="","",--(COUNTIF($A$2:A298,A298)=1))</x:f>
      </x:c>
      <x:c r="P298" s="15" t="str">
        <x:f>IF(A298="","",--(COUNTIFS($A$2:A298,A298,$F$2:F298,F298)=1))</x:f>
      </x:c>
    </x:row>
    <x:row r="299">
      <x:c r="A299" s="18"/>
      <x:c r="O299" s="15" t="str">
        <x:f>IF(A299="","",--(COUNTIF($A$2:A299,A299)=1))</x:f>
      </x:c>
      <x:c r="P299" s="15" t="str">
        <x:f>IF(A299="","",--(COUNTIFS($A$2:A299,A299,$F$2:F299,F299)=1))</x:f>
      </x:c>
    </x:row>
    <x:row r="300">
      <x:c r="A300" s="18"/>
      <x:c r="O300" s="15" t="str">
        <x:f>IF(A300="","",--(COUNTIF($A$2:A300,A300)=1))</x:f>
      </x:c>
      <x:c r="P300" s="15" t="str">
        <x:f>IF(A300="","",--(COUNTIFS($A$2:A300,A300,$F$2:F300,F300)=1))</x:f>
      </x:c>
    </x:row>
    <x:row r="301">
      <x:c r="A301" s="18"/>
      <x:c r="O301" s="15" t="str">
        <x:f>IF(A301="","",--(COUNTIF($A$2:A301,A301)=1))</x:f>
      </x:c>
      <x:c r="P301" s="15" t="str">
        <x:f>IF(A301="","",--(COUNTIFS($A$2:A301,A301,$F$2:F301,F301)=1))</x:f>
      </x:c>
    </x:row>
    <x:row r="302">
      <x:c r="A302" s="18"/>
      <x:c r="O302" s="15" t="str">
        <x:f>IF(A302="","",--(COUNTIF($A$2:A302,A302)=1))</x:f>
      </x:c>
      <x:c r="P302" s="15" t="str">
        <x:f>IF(A302="","",--(COUNTIFS($A$2:A302,A302,$F$2:F302,F302)=1))</x:f>
      </x:c>
    </x:row>
    <x:row r="303">
      <x:c r="A303" s="18"/>
      <x:c r="O303" s="15" t="str">
        <x:f>IF(A303="","",--(COUNTIF($A$2:A303,A303)=1))</x:f>
      </x:c>
      <x:c r="P303" s="15" t="str">
        <x:f>IF(A303="","",--(COUNTIFS($A$2:A303,A303,$F$2:F303,F303)=1))</x:f>
      </x:c>
    </x:row>
    <x:row r="304">
      <x:c r="A304" s="18"/>
      <x:c r="O304" s="15" t="str">
        <x:f>IF(A304="","",--(COUNTIF($A$2:A304,A304)=1))</x:f>
      </x:c>
      <x:c r="P304" s="15" t="str">
        <x:f>IF(A304="","",--(COUNTIFS($A$2:A304,A304,$F$2:F304,F304)=1))</x:f>
      </x:c>
    </x:row>
    <x:row r="305">
      <x:c r="A305" s="18"/>
      <x:c r="O305" s="15" t="str">
        <x:f>IF(A305="","",--(COUNTIF($A$2:A305,A305)=1))</x:f>
      </x:c>
      <x:c r="P305" s="15" t="str">
        <x:f>IF(A305="","",--(COUNTIFS($A$2:A305,A305,$F$2:F305,F305)=1))</x:f>
      </x:c>
    </x:row>
    <x:row r="306">
      <x:c r="A306" s="18"/>
      <x:c r="O306" s="15" t="str">
        <x:f>IF(A306="","",--(COUNTIF($A$2:A306,A306)=1))</x:f>
      </x:c>
      <x:c r="P306" s="15" t="str">
        <x:f>IF(A306="","",--(COUNTIFS($A$2:A306,A306,$F$2:F306,F306)=1))</x:f>
      </x:c>
    </x:row>
    <x:row r="307">
      <x:c r="A307" s="18"/>
      <x:c r="O307" s="15" t="str">
        <x:f>IF(A307="","",--(COUNTIF($A$2:A307,A307)=1))</x:f>
      </x:c>
      <x:c r="P307" s="15" t="str">
        <x:f>IF(A307="","",--(COUNTIFS($A$2:A307,A307,$F$2:F307,F307)=1))</x:f>
      </x:c>
    </x:row>
    <x:row r="308">
      <x:c r="A308" s="18"/>
      <x:c r="O308" s="15" t="str">
        <x:f>IF(A308="","",--(COUNTIF($A$2:A308,A308)=1))</x:f>
      </x:c>
      <x:c r="P308" s="15" t="str">
        <x:f>IF(A308="","",--(COUNTIFS($A$2:A308,A308,$F$2:F308,F308)=1))</x:f>
      </x:c>
    </x:row>
    <x:row r="309">
      <x:c r="A309" s="18"/>
      <x:c r="O309" s="15" t="str">
        <x:f>IF(A309="","",--(COUNTIF($A$2:A309,A309)=1))</x:f>
      </x:c>
      <x:c r="P309" s="15" t="str">
        <x:f>IF(A309="","",--(COUNTIFS($A$2:A309,A309,$F$2:F309,F309)=1))</x:f>
      </x:c>
    </x:row>
    <x:row r="310">
      <x:c r="A310" s="18"/>
      <x:c r="O310" s="15" t="str">
        <x:f>IF(A310="","",--(COUNTIF($A$2:A310,A310)=1))</x:f>
      </x:c>
      <x:c r="P310" s="15" t="str">
        <x:f>IF(A310="","",--(COUNTIFS($A$2:A310,A310,$F$2:F310,F310)=1))</x:f>
      </x:c>
    </x:row>
    <x:row r="311">
      <x:c r="A311" s="18"/>
      <x:c r="O311" s="15" t="str">
        <x:f>IF(A311="","",--(COUNTIF($A$2:A311,A311)=1))</x:f>
      </x:c>
      <x:c r="P311" s="15" t="str">
        <x:f>IF(A311="","",--(COUNTIFS($A$2:A311,A311,$F$2:F311,F311)=1))</x:f>
      </x:c>
    </x:row>
    <x:row r="312">
      <x:c r="A312" s="18"/>
      <x:c r="O312" s="15" t="str">
        <x:f>IF(A312="","",--(COUNTIF($A$2:A312,A312)=1))</x:f>
      </x:c>
      <x:c r="P312" s="15" t="str">
        <x:f>IF(A312="","",--(COUNTIFS($A$2:A312,A312,$F$2:F312,F312)=1))</x:f>
      </x:c>
    </x:row>
    <x:row r="313">
      <x:c r="A313" s="18"/>
      <x:c r="O313" s="15" t="str">
        <x:f>IF(A313="","",--(COUNTIF($A$2:A313,A313)=1))</x:f>
      </x:c>
      <x:c r="P313" s="15" t="str">
        <x:f>IF(A313="","",--(COUNTIFS($A$2:A313,A313,$F$2:F313,F313)=1))</x:f>
      </x:c>
    </x:row>
    <x:row r="314">
      <x:c r="A314" s="18"/>
      <x:c r="O314" s="15" t="str">
        <x:f>IF(A314="","",--(COUNTIF($A$2:A314,A314)=1))</x:f>
      </x:c>
      <x:c r="P314" s="15" t="str">
        <x:f>IF(A314="","",--(COUNTIFS($A$2:A314,A314,$F$2:F314,F314)=1))</x:f>
      </x:c>
    </x:row>
    <x:row r="315">
      <x:c r="A315" s="18"/>
      <x:c r="O315" s="15" t="str">
        <x:f>IF(A315="","",--(COUNTIF($A$2:A315,A315)=1))</x:f>
      </x:c>
      <x:c r="P315" s="15" t="str">
        <x:f>IF(A315="","",--(COUNTIFS($A$2:A315,A315,$F$2:F315,F315)=1))</x:f>
      </x:c>
    </x:row>
    <x:row r="316">
      <x:c r="A316" s="18"/>
      <x:c r="O316" s="15" t="str">
        <x:f>IF(A316="","",--(COUNTIF($A$2:A316,A316)=1))</x:f>
      </x:c>
      <x:c r="P316" s="15" t="str">
        <x:f>IF(A316="","",--(COUNTIFS($A$2:A316,A316,$F$2:F316,F316)=1))</x:f>
      </x:c>
    </x:row>
    <x:row r="317">
      <x:c r="A317" s="18"/>
      <x:c r="O317" s="15" t="str">
        <x:f>IF(A317="","",--(COUNTIF($A$2:A317,A317)=1))</x:f>
      </x:c>
      <x:c r="P317" s="15" t="str">
        <x:f>IF(A317="","",--(COUNTIFS($A$2:A317,A317,$F$2:F317,F317)=1))</x:f>
      </x:c>
    </x:row>
    <x:row r="318">
      <x:c r="A318" s="18"/>
      <x:c r="O318" s="15" t="str">
        <x:f>IF(A318="","",--(COUNTIF($A$2:A318,A318)=1))</x:f>
      </x:c>
      <x:c r="P318" s="15" t="str">
        <x:f>IF(A318="","",--(COUNTIFS($A$2:A318,A318,$F$2:F318,F318)=1))</x:f>
      </x:c>
    </x:row>
    <x:row r="319">
      <x:c r="A319" s="18"/>
      <x:c r="O319" s="15" t="str">
        <x:f>IF(A319="","",--(COUNTIF($A$2:A319,A319)=1))</x:f>
      </x:c>
      <x:c r="P319" s="15" t="str">
        <x:f>IF(A319="","",--(COUNTIFS($A$2:A319,A319,$F$2:F319,F319)=1))</x:f>
      </x:c>
    </x:row>
    <x:row r="320">
      <x:c r="A320" s="18"/>
      <x:c r="O320" s="15" t="str">
        <x:f>IF(A320="","",--(COUNTIF($A$2:A320,A320)=1))</x:f>
      </x:c>
      <x:c r="P320" s="15" t="str">
        <x:f>IF(A320="","",--(COUNTIFS($A$2:A320,A320,$F$2:F320,F320)=1))</x:f>
      </x:c>
    </x:row>
    <x:row r="321">
      <x:c r="A321" s="18"/>
      <x:c r="O321" s="15" t="str">
        <x:f>IF(A321="","",--(COUNTIF($A$2:A321,A321)=1))</x:f>
      </x:c>
      <x:c r="P321" s="15" t="str">
        <x:f>IF(A321="","",--(COUNTIFS($A$2:A321,A321,$F$2:F321,F321)=1))</x:f>
      </x:c>
    </x:row>
    <x:row r="322">
      <x:c r="A322" s="18"/>
      <x:c r="O322" s="15" t="str">
        <x:f>IF(A322="","",--(COUNTIF($A$2:A322,A322)=1))</x:f>
      </x:c>
      <x:c r="P322" s="15" t="str">
        <x:f>IF(A322="","",--(COUNTIFS($A$2:A322,A322,$F$2:F322,F322)=1))</x:f>
      </x:c>
    </x:row>
    <x:row r="323">
      <x:c r="A323" s="18"/>
      <x:c r="O323" s="15" t="str">
        <x:f>IF(A323="","",--(COUNTIF($A$2:A323,A323)=1))</x:f>
      </x:c>
      <x:c r="P323" s="15" t="str">
        <x:f>IF(A323="","",--(COUNTIFS($A$2:A323,A323,$F$2:F323,F323)=1))</x:f>
      </x:c>
    </x:row>
    <x:row r="324">
      <x:c r="A324" s="18"/>
      <x:c r="O324" s="15" t="str">
        <x:f>IF(A324="","",--(COUNTIF($A$2:A324,A324)=1))</x:f>
      </x:c>
      <x:c r="P324" s="15" t="str">
        <x:f>IF(A324="","",--(COUNTIFS($A$2:A324,A324,$F$2:F324,F324)=1))</x:f>
      </x:c>
    </x:row>
    <x:row r="325">
      <x:c r="A325" s="18"/>
      <x:c r="O325" s="15" t="str">
        <x:f>IF(A325="","",--(COUNTIF($A$2:A325,A325)=1))</x:f>
      </x:c>
      <x:c r="P325" s="15" t="str">
        <x:f>IF(A325="","",--(COUNTIFS($A$2:A325,A325,$F$2:F325,F325)=1))</x:f>
      </x:c>
    </x:row>
    <x:row r="326">
      <x:c r="A326" s="18"/>
      <x:c r="O326" s="15" t="str">
        <x:f>IF(A326="","",--(COUNTIF($A$2:A326,A326)=1))</x:f>
      </x:c>
      <x:c r="P326" s="15" t="str">
        <x:f>IF(A326="","",--(COUNTIFS($A$2:A326,A326,$F$2:F326,F326)=1))</x:f>
      </x:c>
    </x:row>
    <x:row r="327">
      <x:c r="A327" s="18"/>
      <x:c r="O327" s="15" t="str">
        <x:f>IF(A327="","",--(COUNTIF($A$2:A327,A327)=1))</x:f>
      </x:c>
      <x:c r="P327" s="15" t="str">
        <x:f>IF(A327="","",--(COUNTIFS($A$2:A327,A327,$F$2:F327,F327)=1))</x:f>
      </x:c>
    </x:row>
    <x:row r="328">
      <x:c r="A328" s="18"/>
      <x:c r="O328" s="15" t="str">
        <x:f>IF(A328="","",--(COUNTIF($A$2:A328,A328)=1))</x:f>
      </x:c>
      <x:c r="P328" s="15" t="str">
        <x:f>IF(A328="","",--(COUNTIFS($A$2:A328,A328,$F$2:F328,F328)=1))</x:f>
      </x:c>
    </x:row>
    <x:row r="329">
      <x:c r="A329" s="18"/>
      <x:c r="O329" s="15" t="str">
        <x:f>IF(A329="","",--(COUNTIF($A$2:A329,A329)=1))</x:f>
      </x:c>
      <x:c r="P329" s="15" t="str">
        <x:f>IF(A329="","",--(COUNTIFS($A$2:A329,A329,$F$2:F329,F329)=1))</x:f>
      </x:c>
    </x:row>
    <x:row r="330">
      <x:c r="A330" s="18"/>
      <x:c r="O330" s="15" t="str">
        <x:f>IF(A330="","",--(COUNTIF($A$2:A330,A330)=1))</x:f>
      </x:c>
      <x:c r="P330" s="15" t="str">
        <x:f>IF(A330="","",--(COUNTIFS($A$2:A330,A330,$F$2:F330,F330)=1))</x:f>
      </x:c>
    </x:row>
    <x:row r="331">
      <x:c r="A331" s="18"/>
      <x:c r="O331" s="15" t="str">
        <x:f>IF(A331="","",--(COUNTIF($A$2:A331,A331)=1))</x:f>
      </x:c>
      <x:c r="P331" s="15" t="str">
        <x:f>IF(A331="","",--(COUNTIFS($A$2:A331,A331,$F$2:F331,F331)=1))</x:f>
      </x:c>
    </x:row>
    <x:row r="332">
      <x:c r="A332" s="18"/>
      <x:c r="O332" s="15" t="str">
        <x:f>IF(A332="","",--(COUNTIF($A$2:A332,A332)=1))</x:f>
      </x:c>
      <x:c r="P332" s="15" t="str">
        <x:f>IF(A332="","",--(COUNTIFS($A$2:A332,A332,$F$2:F332,F332)=1))</x:f>
      </x:c>
    </x:row>
    <x:row r="333">
      <x:c r="A333" s="18"/>
      <x:c r="O333" s="15" t="str">
        <x:f>IF(A333="","",--(COUNTIF($A$2:A333,A333)=1))</x:f>
      </x:c>
      <x:c r="P333" s="15" t="str">
        <x:f>IF(A333="","",--(COUNTIFS($A$2:A333,A333,$F$2:F333,F333)=1))</x:f>
      </x:c>
    </x:row>
    <x:row r="334">
      <x:c r="A334" s="18"/>
      <x:c r="O334" s="15" t="str">
        <x:f>IF(A334="","",--(COUNTIF($A$2:A334,A334)=1))</x:f>
      </x:c>
      <x:c r="P334" s="15" t="str">
        <x:f>IF(A334="","",--(COUNTIFS($A$2:A334,A334,$F$2:F334,F334)=1))</x:f>
      </x:c>
    </x:row>
    <x:row r="335">
      <x:c r="A335" s="18"/>
      <x:c r="O335" s="15" t="str">
        <x:f>IF(A335="","",--(COUNTIF($A$2:A335,A335)=1))</x:f>
      </x:c>
      <x:c r="P335" s="15" t="str">
        <x:f>IF(A335="","",--(COUNTIFS($A$2:A335,A335,$F$2:F335,F335)=1))</x:f>
      </x:c>
    </x:row>
    <x:row r="336">
      <x:c r="A336" s="18"/>
      <x:c r="O336" s="15" t="str">
        <x:f>IF(A336="","",--(COUNTIF($A$2:A336,A336)=1))</x:f>
      </x:c>
      <x:c r="P336" s="15" t="str">
        <x:f>IF(A336="","",--(COUNTIFS($A$2:A336,A336,$F$2:F336,F336)=1))</x:f>
      </x:c>
    </x:row>
    <x:row r="337">
      <x:c r="A337" s="18"/>
      <x:c r="O337" s="15" t="str">
        <x:f>IF(A337="","",--(COUNTIF($A$2:A337,A337)=1))</x:f>
      </x:c>
      <x:c r="P337" s="15" t="str">
        <x:f>IF(A337="","",--(COUNTIFS($A$2:A337,A337,$F$2:F337,F337)=1))</x:f>
      </x:c>
    </x:row>
    <x:row r="338">
      <x:c r="A338" s="18"/>
      <x:c r="O338" s="15" t="str">
        <x:f>IF(A338="","",--(COUNTIF($A$2:A338,A338)=1))</x:f>
      </x:c>
      <x:c r="P338" s="15" t="str">
        <x:f>IF(A338="","",--(COUNTIFS($A$2:A338,A338,$F$2:F338,F338)=1))</x:f>
      </x:c>
    </x:row>
    <x:row r="339">
      <x:c r="A339" s="18"/>
      <x:c r="O339" s="15" t="str">
        <x:f>IF(A339="","",--(COUNTIF($A$2:A339,A339)=1))</x:f>
      </x:c>
      <x:c r="P339" s="15" t="str">
        <x:f>IF(A339="","",--(COUNTIFS($A$2:A339,A339,$F$2:F339,F339)=1))</x:f>
      </x:c>
    </x:row>
    <x:row r="340">
      <x:c r="A340" s="18"/>
      <x:c r="O340" s="15" t="str">
        <x:f>IF(A340="","",--(COUNTIF($A$2:A340,A340)=1))</x:f>
      </x:c>
      <x:c r="P340" s="15" t="str">
        <x:f>IF(A340="","",--(COUNTIFS($A$2:A340,A340,$F$2:F340,F340)=1))</x:f>
      </x:c>
    </x:row>
    <x:row r="341">
      <x:c r="A341" s="18"/>
      <x:c r="O341" s="15" t="str">
        <x:f>IF(A341="","",--(COUNTIF($A$2:A341,A341)=1))</x:f>
      </x:c>
      <x:c r="P341" s="15" t="str">
        <x:f>IF(A341="","",--(COUNTIFS($A$2:A341,A341,$F$2:F341,F341)=1))</x:f>
      </x:c>
    </x:row>
    <x:row r="342">
      <x:c r="A342" s="18"/>
      <x:c r="O342" s="15" t="str">
        <x:f>IF(A342="","",--(COUNTIF($A$2:A342,A342)=1))</x:f>
      </x:c>
      <x:c r="P342" s="15" t="str">
        <x:f>IF(A342="","",--(COUNTIFS($A$2:A342,A342,$F$2:F342,F342)=1))</x:f>
      </x:c>
    </x:row>
    <x:row r="343">
      <x:c r="A343" s="18"/>
      <x:c r="O343" s="15" t="str">
        <x:f>IF(A343="","",--(COUNTIF($A$2:A343,A343)=1))</x:f>
      </x:c>
      <x:c r="P343" s="15" t="str">
        <x:f>IF(A343="","",--(COUNTIFS($A$2:A343,A343,$F$2:F343,F343)=1))</x:f>
      </x:c>
    </x:row>
    <x:row r="344">
      <x:c r="A344" s="18"/>
      <x:c r="O344" s="15" t="str">
        <x:f>IF(A344="","",--(COUNTIF($A$2:A344,A344)=1))</x:f>
      </x:c>
      <x:c r="P344" s="15" t="str">
        <x:f>IF(A344="","",--(COUNTIFS($A$2:A344,A344,$F$2:F344,F344)=1))</x:f>
      </x:c>
    </x:row>
    <x:row r="345">
      <x:c r="A345" s="18"/>
      <x:c r="O345" s="15" t="str">
        <x:f>IF(A345="","",--(COUNTIF($A$2:A345,A345)=1))</x:f>
      </x:c>
      <x:c r="P345" s="15" t="str">
        <x:f>IF(A345="","",--(COUNTIFS($A$2:A345,A345,$F$2:F345,F345)=1))</x:f>
      </x:c>
    </x:row>
    <x:row r="346">
      <x:c r="A346" s="18"/>
      <x:c r="O346" s="15" t="str">
        <x:f>IF(A346="","",--(COUNTIF($A$2:A346,A346)=1))</x:f>
      </x:c>
      <x:c r="P346" s="15" t="str">
        <x:f>IF(A346="","",--(COUNTIFS($A$2:A346,A346,$F$2:F346,F346)=1))</x:f>
      </x:c>
    </x:row>
    <x:row r="347">
      <x:c r="A347" s="18"/>
      <x:c r="O347" s="15" t="str">
        <x:f>IF(A347="","",--(COUNTIF($A$2:A347,A347)=1))</x:f>
      </x:c>
      <x:c r="P347" s="15" t="str">
        <x:f>IF(A347="","",--(COUNTIFS($A$2:A347,A347,$F$2:F347,F347)=1))</x:f>
      </x:c>
    </x:row>
    <x:row r="348">
      <x:c r="A348" s="18"/>
      <x:c r="O348" s="15" t="str">
        <x:f>IF(A348="","",--(COUNTIF($A$2:A348,A348)=1))</x:f>
      </x:c>
      <x:c r="P348" s="15" t="str">
        <x:f>IF(A348="","",--(COUNTIFS($A$2:A348,A348,$F$2:F348,F348)=1))</x:f>
      </x:c>
    </x:row>
    <x:row r="349">
      <x:c r="A349" s="18"/>
      <x:c r="O349" s="15" t="str">
        <x:f>IF(A349="","",--(COUNTIF($A$2:A349,A349)=1))</x:f>
      </x:c>
      <x:c r="P349" s="15" t="str">
        <x:f>IF(A349="","",--(COUNTIFS($A$2:A349,A349,$F$2:F349,F349)=1))</x:f>
      </x:c>
    </x:row>
    <x:row r="350">
      <x:c r="A350" s="18"/>
      <x:c r="O350" s="15" t="str">
        <x:f>IF(A350="","",--(COUNTIF($A$2:A350,A350)=1))</x:f>
      </x:c>
      <x:c r="P350" s="15" t="str">
        <x:f>IF(A350="","",--(COUNTIFS($A$2:A350,A350,$F$2:F350,F350)=1))</x:f>
      </x:c>
    </x:row>
    <x:row r="351">
      <x:c r="A351" s="18"/>
      <x:c r="O351" s="15" t="str">
        <x:f>IF(A351="","",--(COUNTIF($A$2:A351,A351)=1))</x:f>
      </x:c>
      <x:c r="P351" s="15" t="str">
        <x:f>IF(A351="","",--(COUNTIFS($A$2:A351,A351,$F$2:F351,F351)=1))</x:f>
      </x:c>
    </x:row>
    <x:row r="352">
      <x:c r="A352" s="18"/>
      <x:c r="O352" s="15" t="str">
        <x:f>IF(A352="","",--(COUNTIF($A$2:A352,A352)=1))</x:f>
      </x:c>
      <x:c r="P352" s="15" t="str">
        <x:f>IF(A352="","",--(COUNTIFS($A$2:A352,A352,$F$2:F352,F352)=1))</x:f>
      </x:c>
    </x:row>
    <x:row r="353">
      <x:c r="A353" s="18"/>
      <x:c r="O353" s="15" t="str">
        <x:f>IF(A353="","",--(COUNTIF($A$2:A353,A353)=1))</x:f>
      </x:c>
      <x:c r="P353" s="15" t="str">
        <x:f>IF(A353="","",--(COUNTIFS($A$2:A353,A353,$F$2:F353,F353)=1))</x:f>
      </x:c>
    </x:row>
    <x:row r="354">
      <x:c r="A354" s="18"/>
      <x:c r="O354" s="15" t="str">
        <x:f>IF(A354="","",--(COUNTIF($A$2:A354,A354)=1))</x:f>
      </x:c>
      <x:c r="P354" s="15" t="str">
        <x:f>IF(A354="","",--(COUNTIFS($A$2:A354,A354,$F$2:F354,F354)=1))</x:f>
      </x:c>
    </x:row>
    <x:row r="355">
      <x:c r="A355" s="18"/>
      <x:c r="O355" s="15" t="str">
        <x:f>IF(A355="","",--(COUNTIF($A$2:A355,A355)=1))</x:f>
      </x:c>
      <x:c r="P355" s="15" t="str">
        <x:f>IF(A355="","",--(COUNTIFS($A$2:A355,A355,$F$2:F355,F355)=1))</x:f>
      </x:c>
    </x:row>
    <x:row r="356">
      <x:c r="A356" s="18"/>
      <x:c r="O356" s="15" t="str">
        <x:f>IF(A356="","",--(COUNTIF($A$2:A356,A356)=1))</x:f>
      </x:c>
      <x:c r="P356" s="15" t="str">
        <x:f>IF(A356="","",--(COUNTIFS($A$2:A356,A356,$F$2:F356,F356)=1))</x:f>
      </x:c>
    </x:row>
    <x:row r="357">
      <x:c r="A357" s="18"/>
      <x:c r="O357" s="15" t="str">
        <x:f>IF(A357="","",--(COUNTIF($A$2:A357,A357)=1))</x:f>
      </x:c>
      <x:c r="P357" s="15" t="str">
        <x:f>IF(A357="","",--(COUNTIFS($A$2:A357,A357,$F$2:F357,F357)=1))</x:f>
      </x:c>
    </x:row>
    <x:row r="358">
      <x:c r="A358" s="18"/>
      <x:c r="O358" s="15" t="str">
        <x:f>IF(A358="","",--(COUNTIF($A$2:A358,A358)=1))</x:f>
      </x:c>
      <x:c r="P358" s="15" t="str">
        <x:f>IF(A358="","",--(COUNTIFS($A$2:A358,A358,$F$2:F358,F358)=1))</x:f>
      </x:c>
    </x:row>
    <x:row r="359">
      <x:c r="A359" s="18"/>
      <x:c r="O359" s="15" t="str">
        <x:f>IF(A359="","",--(COUNTIF($A$2:A359,A359)=1))</x:f>
      </x:c>
      <x:c r="P359" s="15" t="str">
        <x:f>IF(A359="","",--(COUNTIFS($A$2:A359,A359,$F$2:F359,F359)=1))</x:f>
      </x:c>
    </x:row>
    <x:row r="360">
      <x:c r="A360" s="18"/>
      <x:c r="O360" s="15" t="str">
        <x:f>IF(A360="","",--(COUNTIF($A$2:A360,A360)=1))</x:f>
      </x:c>
      <x:c r="P360" s="15" t="str">
        <x:f>IF(A360="","",--(COUNTIFS($A$2:A360,A360,$F$2:F360,F360)=1))</x:f>
      </x:c>
    </x:row>
    <x:row r="361">
      <x:c r="A361" s="18"/>
      <x:c r="O361" s="15" t="str">
        <x:f>IF(A361="","",--(COUNTIF($A$2:A361,A361)=1))</x:f>
      </x:c>
      <x:c r="P361" s="15" t="str">
        <x:f>IF(A361="","",--(COUNTIFS($A$2:A361,A361,$F$2:F361,F361)=1))</x:f>
      </x:c>
    </x:row>
    <x:row r="362">
      <x:c r="A362" s="18"/>
      <x:c r="O362" s="15" t="str">
        <x:f>IF(A362="","",--(COUNTIF($A$2:A362,A362)=1))</x:f>
      </x:c>
      <x:c r="P362" s="15" t="str">
        <x:f>IF(A362="","",--(COUNTIFS($A$2:A362,A362,$F$2:F362,F362)=1))</x:f>
      </x:c>
    </x:row>
    <x:row r="363">
      <x:c r="A363" s="18"/>
      <x:c r="O363" s="15" t="str">
        <x:f>IF(A363="","",--(COUNTIF($A$2:A363,A363)=1))</x:f>
      </x:c>
      <x:c r="P363" s="15" t="str">
        <x:f>IF(A363="","",--(COUNTIFS($A$2:A363,A363,$F$2:F363,F363)=1))</x:f>
      </x:c>
    </x:row>
    <x:row r="364">
      <x:c r="A364" s="18"/>
      <x:c r="O364" s="15" t="str">
        <x:f>IF(A364="","",--(COUNTIF($A$2:A364,A364)=1))</x:f>
      </x:c>
      <x:c r="P364" s="15" t="str">
        <x:f>IF(A364="","",--(COUNTIFS($A$2:A364,A364,$F$2:F364,F364)=1))</x:f>
      </x:c>
    </x:row>
    <x:row r="365">
      <x:c r="A365" s="18"/>
      <x:c r="O365" s="15" t="str">
        <x:f>IF(A365="","",--(COUNTIF($A$2:A365,A365)=1))</x:f>
      </x:c>
      <x:c r="P365" s="15" t="str">
        <x:f>IF(A365="","",--(COUNTIFS($A$2:A365,A365,$F$2:F365,F365)=1))</x:f>
      </x:c>
    </x:row>
    <x:row r="366">
      <x:c r="A366" s="18"/>
      <x:c r="O366" s="15" t="str">
        <x:f>IF(A366="","",--(COUNTIF($A$2:A366,A366)=1))</x:f>
      </x:c>
      <x:c r="P366" s="15" t="str">
        <x:f>IF(A366="","",--(COUNTIFS($A$2:A366,A366,$F$2:F366,F366)=1))</x:f>
      </x:c>
    </x:row>
    <x:row r="367">
      <x:c r="A367" s="18"/>
      <x:c r="O367" s="15" t="str">
        <x:f>IF(A367="","",--(COUNTIF($A$2:A367,A367)=1))</x:f>
      </x:c>
      <x:c r="P367" s="15" t="str">
        <x:f>IF(A367="","",--(COUNTIFS($A$2:A367,A367,$F$2:F367,F367)=1))</x:f>
      </x:c>
    </x:row>
    <x:row r="368">
      <x:c r="A368" s="18"/>
      <x:c r="O368" s="15" t="str">
        <x:f>IF(A368="","",--(COUNTIF($A$2:A368,A368)=1))</x:f>
      </x:c>
      <x:c r="P368" s="15" t="str">
        <x:f>IF(A368="","",--(COUNTIFS($A$2:A368,A368,$F$2:F368,F368)=1))</x:f>
      </x:c>
    </x:row>
    <x:row r="369">
      <x:c r="A369" s="18"/>
      <x:c r="O369" s="15" t="str">
        <x:f>IF(A369="","",--(COUNTIF($A$2:A369,A369)=1))</x:f>
      </x:c>
      <x:c r="P369" s="15" t="str">
        <x:f>IF(A369="","",--(COUNTIFS($A$2:A369,A369,$F$2:F369,F369)=1))</x:f>
      </x:c>
    </x:row>
    <x:row r="370">
      <x:c r="A370" s="18"/>
      <x:c r="O370" s="15" t="str">
        <x:f>IF(A370="","",--(COUNTIF($A$2:A370,A370)=1))</x:f>
      </x:c>
      <x:c r="P370" s="15" t="str">
        <x:f>IF(A370="","",--(COUNTIFS($A$2:A370,A370,$F$2:F370,F370)=1))</x:f>
      </x:c>
    </x:row>
    <x:row r="371">
      <x:c r="A371" s="18"/>
      <x:c r="O371" s="15" t="str">
        <x:f>IF(A371="","",--(COUNTIF($A$2:A371,A371)=1))</x:f>
      </x:c>
      <x:c r="P371" s="15" t="str">
        <x:f>IF(A371="","",--(COUNTIFS($A$2:A371,A371,$F$2:F371,F371)=1))</x:f>
      </x:c>
    </x:row>
    <x:row r="372">
      <x:c r="A372" s="18"/>
      <x:c r="O372" s="15" t="str">
        <x:f>IF(A372="","",--(COUNTIF($A$2:A372,A372)=1))</x:f>
      </x:c>
      <x:c r="P372" s="15" t="str">
        <x:f>IF(A372="","",--(COUNTIFS($A$2:A372,A372,$F$2:F372,F372)=1))</x:f>
      </x:c>
    </x:row>
    <x:row r="373">
      <x:c r="A373" s="18"/>
      <x:c r="O373" s="15" t="str">
        <x:f>IF(A373="","",--(COUNTIF($A$2:A373,A373)=1))</x:f>
      </x:c>
      <x:c r="P373" s="15" t="str">
        <x:f>IF(A373="","",--(COUNTIFS($A$2:A373,A373,$F$2:F373,F373)=1))</x:f>
      </x:c>
    </x:row>
    <x:row r="374">
      <x:c r="A374" s="18"/>
      <x:c r="O374" s="15" t="str">
        <x:f>IF(A374="","",--(COUNTIF($A$2:A374,A374)=1))</x:f>
      </x:c>
      <x:c r="P374" s="15" t="str">
        <x:f>IF(A374="","",--(COUNTIFS($A$2:A374,A374,$F$2:F374,F374)=1))</x:f>
      </x:c>
    </x:row>
    <x:row r="375">
      <x:c r="A375" s="18"/>
      <x:c r="O375" s="15" t="str">
        <x:f>IF(A375="","",--(COUNTIF($A$2:A375,A375)=1))</x:f>
      </x:c>
      <x:c r="P375" s="15" t="str">
        <x:f>IF(A375="","",--(COUNTIFS($A$2:A375,A375,$F$2:F375,F375)=1))</x:f>
      </x:c>
    </x:row>
    <x:row r="376">
      <x:c r="A376" s="18"/>
      <x:c r="O376" s="15" t="str">
        <x:f>IF(A376="","",--(COUNTIF($A$2:A376,A376)=1))</x:f>
      </x:c>
      <x:c r="P376" s="15" t="str">
        <x:f>IF(A376="","",--(COUNTIFS($A$2:A376,A376,$F$2:F376,F376)=1))</x:f>
      </x:c>
    </x:row>
    <x:row r="377">
      <x:c r="A377" s="18"/>
      <x:c r="O377" s="15" t="str">
        <x:f>IF(A377="","",--(COUNTIF($A$2:A377,A377)=1))</x:f>
      </x:c>
      <x:c r="P377" s="15" t="str">
        <x:f>IF(A377="","",--(COUNTIFS($A$2:A377,A377,$F$2:F377,F377)=1))</x:f>
      </x:c>
    </x:row>
    <x:row r="378">
      <x:c r="A378" s="18"/>
      <x:c r="O378" s="15" t="str">
        <x:f>IF(A378="","",--(COUNTIF($A$2:A378,A378)=1))</x:f>
      </x:c>
      <x:c r="P378" s="15" t="str">
        <x:f>IF(A378="","",--(COUNTIFS($A$2:A378,A378,$F$2:F378,F378)=1))</x:f>
      </x:c>
    </x:row>
    <x:row r="379">
      <x:c r="A379" s="18"/>
      <x:c r="O379" s="15" t="str">
        <x:f>IF(A379="","",--(COUNTIF($A$2:A379,A379)=1))</x:f>
      </x:c>
      <x:c r="P379" s="15" t="str">
        <x:f>IF(A379="","",--(COUNTIFS($A$2:A379,A379,$F$2:F379,F379)=1))</x:f>
      </x:c>
    </x:row>
    <x:row r="380">
      <x:c r="A380" s="18"/>
      <x:c r="O380" s="15" t="str">
        <x:f>IF(A380="","",--(COUNTIF($A$2:A380,A380)=1))</x:f>
      </x:c>
      <x:c r="P380" s="15" t="str">
        <x:f>IF(A380="","",--(COUNTIFS($A$2:A380,A380,$F$2:F380,F380)=1))</x:f>
      </x:c>
    </x:row>
    <x:row r="381">
      <x:c r="A381" s="18"/>
      <x:c r="O381" s="15" t="str">
        <x:f>IF(A381="","",--(COUNTIF($A$2:A381,A381)=1))</x:f>
      </x:c>
      <x:c r="P381" s="15" t="str">
        <x:f>IF(A381="","",--(COUNTIFS($A$2:A381,A381,$F$2:F381,F381)=1))</x:f>
      </x:c>
    </x:row>
    <x:row r="382">
      <x:c r="A382" s="18"/>
      <x:c r="O382" s="15" t="str">
        <x:f>IF(A382="","",--(COUNTIF($A$2:A382,A382)=1))</x:f>
      </x:c>
      <x:c r="P382" s="15" t="str">
        <x:f>IF(A382="","",--(COUNTIFS($A$2:A382,A382,$F$2:F382,F382)=1))</x:f>
      </x:c>
    </x:row>
    <x:row r="383">
      <x:c r="A383" s="18"/>
      <x:c r="O383" s="15" t="str">
        <x:f>IF(A383="","",--(COUNTIF($A$2:A383,A383)=1))</x:f>
      </x:c>
      <x:c r="P383" s="15" t="str">
        <x:f>IF(A383="","",--(COUNTIFS($A$2:A383,A383,$F$2:F383,F383)=1))</x:f>
      </x:c>
    </x:row>
    <x:row r="384">
      <x:c r="A384" s="18"/>
      <x:c r="O384" s="15" t="str">
        <x:f>IF(A384="","",--(COUNTIF($A$2:A384,A384)=1))</x:f>
      </x:c>
      <x:c r="P384" s="15" t="str">
        <x:f>IF(A384="","",--(COUNTIFS($A$2:A384,A384,$F$2:F384,F384)=1))</x:f>
      </x:c>
    </x:row>
    <x:row r="385">
      <x:c r="A385" s="18"/>
      <x:c r="O385" s="15" t="str">
        <x:f>IF(A385="","",--(COUNTIF($A$2:A385,A385)=1))</x:f>
      </x:c>
      <x:c r="P385" s="15" t="str">
        <x:f>IF(A385="","",--(COUNTIFS($A$2:A385,A385,$F$2:F385,F385)=1))</x:f>
      </x:c>
    </x:row>
    <x:row r="386">
      <x:c r="A386" s="18"/>
      <x:c r="O386" s="15" t="str">
        <x:f>IF(A386="","",--(COUNTIF($A$2:A386,A386)=1))</x:f>
      </x:c>
      <x:c r="P386" s="15" t="str">
        <x:f>IF(A386="","",--(COUNTIFS($A$2:A386,A386,$F$2:F386,F386)=1))</x:f>
      </x:c>
    </x:row>
    <x:row r="387">
      <x:c r="A387" s="18"/>
      <x:c r="O387" s="15" t="str">
        <x:f>IF(A387="","",--(COUNTIF($A$2:A387,A387)=1))</x:f>
      </x:c>
      <x:c r="P387" s="15" t="str">
        <x:f>IF(A387="","",--(COUNTIFS($A$2:A387,A387,$F$2:F387,F387)=1))</x:f>
      </x:c>
    </x:row>
    <x:row r="388">
      <x:c r="A388" s="18"/>
      <x:c r="O388" s="15" t="str">
        <x:f>IF(A388="","",--(COUNTIF($A$2:A388,A388)=1))</x:f>
      </x:c>
      <x:c r="P388" s="15" t="str">
        <x:f>IF(A388="","",--(COUNTIFS($A$2:A388,A388,$F$2:F388,F388)=1))</x:f>
      </x:c>
    </x:row>
    <x:row r="389">
      <x:c r="A389" s="18"/>
      <x:c r="O389" s="15" t="str">
        <x:f>IF(A389="","",--(COUNTIF($A$2:A389,A389)=1))</x:f>
      </x:c>
      <x:c r="P389" s="15" t="str">
        <x:f>IF(A389="","",--(COUNTIFS($A$2:A389,A389,$F$2:F389,F389)=1))</x:f>
      </x:c>
    </x:row>
    <x:row r="390">
      <x:c r="A390" s="18"/>
      <x:c r="O390" s="15" t="str">
        <x:f>IF(A390="","",--(COUNTIF($A$2:A390,A390)=1))</x:f>
      </x:c>
      <x:c r="P390" s="15" t="str">
        <x:f>IF(A390="","",--(COUNTIFS($A$2:A390,A390,$F$2:F390,F390)=1))</x:f>
      </x:c>
    </x:row>
    <x:row r="391">
      <x:c r="A391" s="18"/>
      <x:c r="O391" s="15" t="str">
        <x:f>IF(A391="","",--(COUNTIF($A$2:A391,A391)=1))</x:f>
      </x:c>
      <x:c r="P391" s="15" t="str">
        <x:f>IF(A391="","",--(COUNTIFS($A$2:A391,A391,$F$2:F391,F391)=1))</x:f>
      </x:c>
    </x:row>
    <x:row r="392">
      <x:c r="A392" s="18"/>
      <x:c r="O392" s="15" t="str">
        <x:f>IF(A392="","",--(COUNTIF($A$2:A392,A392)=1))</x:f>
      </x:c>
      <x:c r="P392" s="15" t="str">
        <x:f>IF(A392="","",--(COUNTIFS($A$2:A392,A392,$F$2:F392,F392)=1))</x:f>
      </x:c>
    </x:row>
    <x:row r="393">
      <x:c r="A393" s="18"/>
      <x:c r="O393" s="15" t="str">
        <x:f>IF(A393="","",--(COUNTIF($A$2:A393,A393)=1))</x:f>
      </x:c>
      <x:c r="P393" s="15" t="str">
        <x:f>IF(A393="","",--(COUNTIFS($A$2:A393,A393,$F$2:F393,F393)=1))</x:f>
      </x:c>
    </x:row>
    <x:row r="394">
      <x:c r="A394" s="18"/>
      <x:c r="O394" s="15" t="str">
        <x:f>IF(A394="","",--(COUNTIF($A$2:A394,A394)=1))</x:f>
      </x:c>
      <x:c r="P394" s="15" t="str">
        <x:f>IF(A394="","",--(COUNTIFS($A$2:A394,A394,$F$2:F394,F394)=1))</x:f>
      </x:c>
    </x:row>
    <x:row r="395">
      <x:c r="A395" s="18"/>
      <x:c r="O395" s="15" t="str">
        <x:f>IF(A395="","",--(COUNTIF($A$2:A395,A395)=1))</x:f>
      </x:c>
      <x:c r="P395" s="15" t="str">
        <x:f>IF(A395="","",--(COUNTIFS($A$2:A395,A395,$F$2:F395,F395)=1))</x:f>
      </x:c>
    </x:row>
    <x:row r="396">
      <x:c r="A396" s="18"/>
      <x:c r="O396" s="15" t="str">
        <x:f>IF(A396="","",--(COUNTIF($A$2:A396,A396)=1))</x:f>
      </x:c>
      <x:c r="P396" s="15" t="str">
        <x:f>IF(A396="","",--(COUNTIFS($A$2:A396,A396,$F$2:F396,F396)=1))</x:f>
      </x:c>
    </x:row>
    <x:row r="397">
      <x:c r="A397" s="18"/>
      <x:c r="O397" s="15" t="str">
        <x:f>IF(A397="","",--(COUNTIF($A$2:A397,A397)=1))</x:f>
      </x:c>
      <x:c r="P397" s="15" t="str">
        <x:f>IF(A397="","",--(COUNTIFS($A$2:A397,A397,$F$2:F397,F397)=1))</x:f>
      </x:c>
    </x:row>
    <x:row r="398">
      <x:c r="A398" s="18"/>
      <x:c r="O398" s="15" t="str">
        <x:f>IF(A398="","",--(COUNTIF($A$2:A398,A398)=1))</x:f>
      </x:c>
      <x:c r="P398" s="15" t="str">
        <x:f>IF(A398="","",--(COUNTIFS($A$2:A398,A398,$F$2:F398,F398)=1))</x:f>
      </x:c>
    </x:row>
    <x:row r="399">
      <x:c r="A399" s="18"/>
      <x:c r="O399" s="15" t="str">
        <x:f>IF(A399="","",--(COUNTIF($A$2:A399,A399)=1))</x:f>
      </x:c>
      <x:c r="P399" s="15" t="str">
        <x:f>IF(A399="","",--(COUNTIFS($A$2:A399,A399,$F$2:F399,F399)=1))</x:f>
      </x:c>
    </x:row>
    <x:row r="400">
      <x:c r="A400" s="18"/>
      <x:c r="O400" s="15" t="str">
        <x:f>IF(A400="","",--(COUNTIF($A$2:A400,A400)=1))</x:f>
      </x:c>
      <x:c r="P400" s="15" t="str">
        <x:f>IF(A400="","",--(COUNTIFS($A$2:A400,A400,$F$2:F400,F400)=1))</x:f>
      </x:c>
    </x:row>
    <x:row r="401">
      <x:c r="A401" s="18"/>
      <x:c r="O401" s="15" t="str">
        <x:f>IF(A401="","",--(COUNTIF($A$2:A401,A401)=1))</x:f>
      </x:c>
      <x:c r="P401" s="15" t="str">
        <x:f>IF(A401="","",--(COUNTIFS($A$2:A401,A401,$F$2:F401,F401)=1))</x:f>
      </x:c>
    </x:row>
    <x:row r="402">
      <x:c r="A402" s="18"/>
      <x:c r="O402" s="15" t="str">
        <x:f>IF(A402="","",--(COUNTIF($A$2:A402,A402)=1))</x:f>
      </x:c>
      <x:c r="P402" s="15" t="str">
        <x:f>IF(A402="","",--(COUNTIFS($A$2:A402,A402,$F$2:F402,F402)=1))</x:f>
      </x:c>
    </x:row>
    <x:row r="403">
      <x:c r="A403" s="18"/>
      <x:c r="O403" s="15" t="str">
        <x:f>IF(A403="","",--(COUNTIF($A$2:A403,A403)=1))</x:f>
      </x:c>
      <x:c r="P403" s="15" t="str">
        <x:f>IF(A403="","",--(COUNTIFS($A$2:A403,A403,$F$2:F403,F403)=1))</x:f>
      </x:c>
    </x:row>
    <x:row r="404">
      <x:c r="A404" s="18"/>
      <x:c r="O404" s="15" t="str">
        <x:f>IF(A404="","",--(COUNTIF($A$2:A404,A404)=1))</x:f>
      </x:c>
      <x:c r="P404" s="15" t="str">
        <x:f>IF(A404="","",--(COUNTIFS($A$2:A404,A404,$F$2:F404,F404)=1))</x:f>
      </x:c>
    </x:row>
    <x:row r="405">
      <x:c r="A405" s="18"/>
      <x:c r="O405" s="15" t="str">
        <x:f>IF(A405="","",--(COUNTIF($A$2:A405,A405)=1))</x:f>
      </x:c>
      <x:c r="P405" s="15" t="str">
        <x:f>IF(A405="","",--(COUNTIFS($A$2:A405,A405,$F$2:F405,F405)=1))</x:f>
      </x:c>
    </x:row>
    <x:row r="406">
      <x:c r="A406" s="18"/>
      <x:c r="O406" s="15" t="str">
        <x:f>IF(A406="","",--(COUNTIF($A$2:A406,A406)=1))</x:f>
      </x:c>
      <x:c r="P406" s="15" t="str">
        <x:f>IF(A406="","",--(COUNTIFS($A$2:A406,A406,$F$2:F406,F406)=1))</x:f>
      </x:c>
    </x:row>
    <x:row r="407">
      <x:c r="A407" s="18"/>
      <x:c r="O407" s="15" t="str">
        <x:f>IF(A407="","",--(COUNTIF($A$2:A407,A407)=1))</x:f>
      </x:c>
      <x:c r="P407" s="15" t="str">
        <x:f>IF(A407="","",--(COUNTIFS($A$2:A407,A407,$F$2:F407,F407)=1))</x:f>
      </x:c>
    </x:row>
    <x:row r="408">
      <x:c r="A408" s="18"/>
      <x:c r="O408" s="15" t="str">
        <x:f>IF(A408="","",--(COUNTIF($A$2:A408,A408)=1))</x:f>
      </x:c>
      <x:c r="P408" s="15" t="str">
        <x:f>IF(A408="","",--(COUNTIFS($A$2:A408,A408,$F$2:F408,F408)=1))</x:f>
      </x:c>
    </x:row>
    <x:row r="409">
      <x:c r="A409" s="18"/>
      <x:c r="O409" s="15" t="str">
        <x:f>IF(A409="","",--(COUNTIF($A$2:A409,A409)=1))</x:f>
      </x:c>
      <x:c r="P409" s="15" t="str">
        <x:f>IF(A409="","",--(COUNTIFS($A$2:A409,A409,$F$2:F409,F409)=1))</x:f>
      </x:c>
    </x:row>
    <x:row r="410">
      <x:c r="A410" s="18"/>
      <x:c r="O410" s="15" t="str">
        <x:f>IF(A410="","",--(COUNTIF($A$2:A410,A410)=1))</x:f>
      </x:c>
      <x:c r="P410" s="15" t="str">
        <x:f>IF(A410="","",--(COUNTIFS($A$2:A410,A410,$F$2:F410,F410)=1))</x:f>
      </x:c>
    </x:row>
    <x:row r="411">
      <x:c r="A411" s="18"/>
      <x:c r="O411" s="15" t="str">
        <x:f>IF(A411="","",--(COUNTIF($A$2:A411,A411)=1))</x:f>
      </x:c>
      <x:c r="P411" s="15" t="str">
        <x:f>IF(A411="","",--(COUNTIFS($A$2:A411,A411,$F$2:F411,F411)=1))</x:f>
      </x:c>
    </x:row>
    <x:row r="412">
      <x:c r="A412" s="18"/>
      <x:c r="O412" s="15" t="str">
        <x:f>IF(A412="","",--(COUNTIF($A$2:A412,A412)=1))</x:f>
      </x:c>
      <x:c r="P412" s="15" t="str">
        <x:f>IF(A412="","",--(COUNTIFS($A$2:A412,A412,$F$2:F412,F412)=1))</x:f>
      </x:c>
    </x:row>
    <x:row r="413">
      <x:c r="A413" s="18"/>
      <x:c r="O413" s="15" t="str">
        <x:f>IF(A413="","",--(COUNTIF($A$2:A413,A413)=1))</x:f>
      </x:c>
      <x:c r="P413" s="15" t="str">
        <x:f>IF(A413="","",--(COUNTIFS($A$2:A413,A413,$F$2:F413,F413)=1))</x:f>
      </x:c>
    </x:row>
    <x:row r="414">
      <x:c r="A414" s="18"/>
      <x:c r="O414" s="15" t="str">
        <x:f>IF(A414="","",--(COUNTIF($A$2:A414,A414)=1))</x:f>
      </x:c>
      <x:c r="P414" s="15" t="str">
        <x:f>IF(A414="","",--(COUNTIFS($A$2:A414,A414,$F$2:F414,F414)=1))</x:f>
      </x:c>
    </x:row>
    <x:row r="415">
      <x:c r="A415" s="18"/>
      <x:c r="O415" s="15" t="str">
        <x:f>IF(A415="","",--(COUNTIF($A$2:A415,A415)=1))</x:f>
      </x:c>
      <x:c r="P415" s="15" t="str">
        <x:f>IF(A415="","",--(COUNTIFS($A$2:A415,A415,$F$2:F415,F415)=1))</x:f>
      </x:c>
    </x:row>
    <x:row r="416">
      <x:c r="A416" s="18"/>
      <x:c r="O416" s="15" t="str">
        <x:f>IF(A416="","",--(COUNTIF($A$2:A416,A416)=1))</x:f>
      </x:c>
      <x:c r="P416" s="15" t="str">
        <x:f>IF(A416="","",--(COUNTIFS($A$2:A416,A416,$F$2:F416,F416)=1))</x:f>
      </x:c>
    </x:row>
    <x:row r="417">
      <x:c r="A417" s="18"/>
      <x:c r="O417" s="15" t="str">
        <x:f>IF(A417="","",--(COUNTIF($A$2:A417,A417)=1))</x:f>
      </x:c>
      <x:c r="P417" s="15" t="str">
        <x:f>IF(A417="","",--(COUNTIFS($A$2:A417,A417,$F$2:F417,F417)=1))</x:f>
      </x:c>
    </x:row>
    <x:row r="418">
      <x:c r="A418" s="18"/>
      <x:c r="O418" s="15" t="str">
        <x:f>IF(A418="","",--(COUNTIF($A$2:A418,A418)=1))</x:f>
      </x:c>
      <x:c r="P418" s="15" t="str">
        <x:f>IF(A418="","",--(COUNTIFS($A$2:A418,A418,$F$2:F418,F418)=1))</x:f>
      </x:c>
    </x:row>
    <x:row r="419">
      <x:c r="A419" s="18"/>
      <x:c r="O419" s="15" t="str">
        <x:f>IF(A419="","",--(COUNTIF($A$2:A419,A419)=1))</x:f>
      </x:c>
      <x:c r="P419" s="15" t="str">
        <x:f>IF(A419="","",--(COUNTIFS($A$2:A419,A419,$F$2:F419,F419)=1))</x:f>
      </x:c>
    </x:row>
    <x:row r="420">
      <x:c r="A420" s="18"/>
      <x:c r="O420" s="15" t="str">
        <x:f>IF(A420="","",--(COUNTIF($A$2:A420,A420)=1))</x:f>
      </x:c>
      <x:c r="P420" s="15" t="str">
        <x:f>IF(A420="","",--(COUNTIFS($A$2:A420,A420,$F$2:F420,F420)=1))</x:f>
      </x:c>
    </x:row>
    <x:row r="421">
      <x:c r="A421" s="18"/>
      <x:c r="O421" s="15" t="str">
        <x:f>IF(A421="","",--(COUNTIF($A$2:A421,A421)=1))</x:f>
      </x:c>
      <x:c r="P421" s="15" t="str">
        <x:f>IF(A421="","",--(COUNTIFS($A$2:A421,A421,$F$2:F421,F421)=1))</x:f>
      </x:c>
    </x:row>
    <x:row r="422">
      <x:c r="A422" s="18"/>
      <x:c r="O422" s="15" t="str">
        <x:f>IF(A422="","",--(COUNTIF($A$2:A422,A422)=1))</x:f>
      </x:c>
      <x:c r="P422" s="15" t="str">
        <x:f>IF(A422="","",--(COUNTIFS($A$2:A422,A422,$F$2:F422,F422)=1))</x:f>
      </x:c>
    </x:row>
    <x:row r="423">
      <x:c r="A423" s="18"/>
      <x:c r="O423" s="15" t="str">
        <x:f>IF(A423="","",--(COUNTIF($A$2:A423,A423)=1))</x:f>
      </x:c>
      <x:c r="P423" s="15" t="str">
        <x:f>IF(A423="","",--(COUNTIFS($A$2:A423,A423,$F$2:F423,F423)=1))</x:f>
      </x:c>
    </x:row>
    <x:row r="424">
      <x:c r="A424" s="18"/>
      <x:c r="O424" s="15" t="str">
        <x:f>IF(A424="","",--(COUNTIF($A$2:A424,A424)=1))</x:f>
      </x:c>
      <x:c r="P424" s="15" t="str">
        <x:f>IF(A424="","",--(COUNTIFS($A$2:A424,A424,$F$2:F424,F424)=1))</x:f>
      </x:c>
    </x:row>
    <x:row r="425">
      <x:c r="A425" s="18"/>
      <x:c r="O425" s="15" t="str">
        <x:f>IF(A425="","",--(COUNTIF($A$2:A425,A425)=1))</x:f>
      </x:c>
      <x:c r="P425" s="15" t="str">
        <x:f>IF(A425="","",--(COUNTIFS($A$2:A425,A425,$F$2:F425,F425)=1))</x:f>
      </x:c>
    </x:row>
    <x:row r="426">
      <x:c r="A426" s="18"/>
      <x:c r="O426" s="15" t="str">
        <x:f>IF(A426="","",--(COUNTIF($A$2:A426,A426)=1))</x:f>
      </x:c>
      <x:c r="P426" s="15" t="str">
        <x:f>IF(A426="","",--(COUNTIFS($A$2:A426,A426,$F$2:F426,F426)=1))</x:f>
      </x:c>
    </x:row>
    <x:row r="427">
      <x:c r="A427" s="18"/>
      <x:c r="O427" s="15" t="str">
        <x:f>IF(A427="","",--(COUNTIF($A$2:A427,A427)=1))</x:f>
      </x:c>
      <x:c r="P427" s="15" t="str">
        <x:f>IF(A427="","",--(COUNTIFS($A$2:A427,A427,$F$2:F427,F427)=1))</x:f>
      </x:c>
    </x:row>
    <x:row r="428">
      <x:c r="A428" s="18"/>
      <x:c r="O428" s="15" t="str">
        <x:f>IF(A428="","",--(COUNTIF($A$2:A428,A428)=1))</x:f>
      </x:c>
      <x:c r="P428" s="15" t="str">
        <x:f>IF(A428="","",--(COUNTIFS($A$2:A428,A428,$F$2:F428,F428)=1))</x:f>
      </x:c>
    </x:row>
    <x:row r="429">
      <x:c r="A429" s="18"/>
      <x:c r="O429" s="15" t="str">
        <x:f>IF(A429="","",--(COUNTIF($A$2:A429,A429)=1))</x:f>
      </x:c>
      <x:c r="P429" s="15" t="str">
        <x:f>IF(A429="","",--(COUNTIFS($A$2:A429,A429,$F$2:F429,F429)=1))</x:f>
      </x:c>
    </x:row>
    <x:row r="430">
      <x:c r="A430" s="18"/>
      <x:c r="O430" s="15" t="str">
        <x:f>IF(A430="","",--(COUNTIF($A$2:A430,A430)=1))</x:f>
      </x:c>
      <x:c r="P430" s="15" t="str">
        <x:f>IF(A430="","",--(COUNTIFS($A$2:A430,A430,$F$2:F430,F430)=1))</x:f>
      </x:c>
    </x:row>
    <x:row r="431">
      <x:c r="A431" s="18"/>
      <x:c r="O431" s="15" t="str">
        <x:f>IF(A431="","",--(COUNTIF($A$2:A431,A431)=1))</x:f>
      </x:c>
      <x:c r="P431" s="15" t="str">
        <x:f>IF(A431="","",--(COUNTIFS($A$2:A431,A431,$F$2:F431,F431)=1))</x:f>
      </x:c>
    </x:row>
    <x:row r="432">
      <x:c r="A432" s="18"/>
      <x:c r="O432" s="15" t="str">
        <x:f>IF(A432="","",--(COUNTIF($A$2:A432,A432)=1))</x:f>
      </x:c>
      <x:c r="P432" s="15" t="str">
        <x:f>IF(A432="","",--(COUNTIFS($A$2:A432,A432,$F$2:F432,F432)=1))</x:f>
      </x:c>
    </x:row>
    <x:row r="433">
      <x:c r="A433" s="18"/>
      <x:c r="O433" s="15" t="str">
        <x:f>IF(A433="","",--(COUNTIF($A$2:A433,A433)=1))</x:f>
      </x:c>
      <x:c r="P433" s="15" t="str">
        <x:f>IF(A433="","",--(COUNTIFS($A$2:A433,A433,$F$2:F433,F433)=1))</x:f>
      </x:c>
    </x:row>
    <x:row r="434">
      <x:c r="A434" s="18"/>
      <x:c r="O434" s="15" t="str">
        <x:f>IF(A434="","",--(COUNTIF($A$2:A434,A434)=1))</x:f>
      </x:c>
      <x:c r="P434" s="15" t="str">
        <x:f>IF(A434="","",--(COUNTIFS($A$2:A434,A434,$F$2:F434,F434)=1))</x:f>
      </x:c>
    </x:row>
    <x:row r="435">
      <x:c r="A435" s="18"/>
      <x:c r="O435" s="15" t="str">
        <x:f>IF(A435="","",--(COUNTIF($A$2:A435,A435)=1))</x:f>
      </x:c>
      <x:c r="P435" s="15" t="str">
        <x:f>IF(A435="","",--(COUNTIFS($A$2:A435,A435,$F$2:F435,F435)=1))</x:f>
      </x:c>
    </x:row>
    <x:row r="436">
      <x:c r="A436" s="18"/>
      <x:c r="O436" s="15" t="str">
        <x:f>IF(A436="","",--(COUNTIF($A$2:A436,A436)=1))</x:f>
      </x:c>
      <x:c r="P436" s="15" t="str">
        <x:f>IF(A436="","",--(COUNTIFS($A$2:A436,A436,$F$2:F436,F436)=1))</x:f>
      </x:c>
    </x:row>
    <x:row r="437">
      <x:c r="A437" s="18"/>
      <x:c r="O437" s="15" t="str">
        <x:f>IF(A437="","",--(COUNTIF($A$2:A437,A437)=1))</x:f>
      </x:c>
      <x:c r="P437" s="15" t="str">
        <x:f>IF(A437="","",--(COUNTIFS($A$2:A437,A437,$F$2:F437,F437)=1))</x:f>
      </x:c>
    </x:row>
    <x:row r="438">
      <x:c r="A438" s="18"/>
      <x:c r="O438" s="15" t="str">
        <x:f>IF(A438="","",--(COUNTIF($A$2:A438,A438)=1))</x:f>
      </x:c>
      <x:c r="P438" s="15" t="str">
        <x:f>IF(A438="","",--(COUNTIFS($A$2:A438,A438,$F$2:F438,F438)=1))</x:f>
      </x:c>
    </x:row>
    <x:row r="439">
      <x:c r="A439" s="18"/>
      <x:c r="O439" s="15" t="str">
        <x:f>IF(A439="","",--(COUNTIF($A$2:A439,A439)=1))</x:f>
      </x:c>
      <x:c r="P439" s="15" t="str">
        <x:f>IF(A439="","",--(COUNTIFS($A$2:A439,A439,$F$2:F439,F439)=1))</x:f>
      </x:c>
    </x:row>
    <x:row r="440">
      <x:c r="A440" s="18"/>
      <x:c r="O440" s="15" t="str">
        <x:f>IF(A440="","",--(COUNTIF($A$2:A440,A440)=1))</x:f>
      </x:c>
      <x:c r="P440" s="15" t="str">
        <x:f>IF(A440="","",--(COUNTIFS($A$2:A440,A440,$F$2:F440,F440)=1))</x:f>
      </x:c>
    </x:row>
    <x:row r="441">
      <x:c r="A441" s="18"/>
      <x:c r="O441" s="15" t="str">
        <x:f>IF(A441="","",--(COUNTIF($A$2:A441,A441)=1))</x:f>
      </x:c>
      <x:c r="P441" s="15" t="str">
        <x:f>IF(A441="","",--(COUNTIFS($A$2:A441,A441,$F$2:F441,F441)=1))</x:f>
      </x:c>
    </x:row>
    <x:row r="442">
      <x:c r="A442" s="18"/>
      <x:c r="O442" s="15" t="str">
        <x:f>IF(A442="","",--(COUNTIF($A$2:A442,A442)=1))</x:f>
      </x:c>
      <x:c r="P442" s="15" t="str">
        <x:f>IF(A442="","",--(COUNTIFS($A$2:A442,A442,$F$2:F442,F442)=1))</x:f>
      </x:c>
    </x:row>
    <x:row r="443">
      <x:c r="A443" s="18"/>
      <x:c r="O443" s="15" t="str">
        <x:f>IF(A443="","",--(COUNTIF($A$2:A443,A443)=1))</x:f>
      </x:c>
      <x:c r="P443" s="15" t="str">
        <x:f>IF(A443="","",--(COUNTIFS($A$2:A443,A443,$F$2:F443,F443)=1))</x:f>
      </x:c>
    </x:row>
    <x:row r="444">
      <x:c r="A444" s="18"/>
      <x:c r="O444" s="15" t="str">
        <x:f>IF(A444="","",--(COUNTIF($A$2:A444,A444)=1))</x:f>
      </x:c>
      <x:c r="P444" s="15" t="str">
        <x:f>IF(A444="","",--(COUNTIFS($A$2:A444,A444,$F$2:F444,F444)=1))</x:f>
      </x:c>
    </x:row>
    <x:row r="445">
      <x:c r="A445" s="18"/>
      <x:c r="O445" s="15" t="str">
        <x:f>IF(A445="","",--(COUNTIF($A$2:A445,A445)=1))</x:f>
      </x:c>
      <x:c r="P445" s="15" t="str">
        <x:f>IF(A445="","",--(COUNTIFS($A$2:A445,A445,$F$2:F445,F445)=1))</x:f>
      </x:c>
    </x:row>
    <x:row r="446">
      <x:c r="A446" s="18"/>
      <x:c r="O446" s="15" t="str">
        <x:f>IF(A446="","",--(COUNTIF($A$2:A446,A446)=1))</x:f>
      </x:c>
      <x:c r="P446" s="15" t="str">
        <x:f>IF(A446="","",--(COUNTIFS($A$2:A446,A446,$F$2:F446,F446)=1))</x:f>
      </x:c>
    </x:row>
    <x:row r="447">
      <x:c r="A447" s="18"/>
      <x:c r="O447" s="15" t="str">
        <x:f>IF(A447="","",--(COUNTIF($A$2:A447,A447)=1))</x:f>
      </x:c>
      <x:c r="P447" s="15" t="str">
        <x:f>IF(A447="","",--(COUNTIFS($A$2:A447,A447,$F$2:F447,F447)=1))</x:f>
      </x:c>
    </x:row>
    <x:row r="448">
      <x:c r="A448" s="18"/>
      <x:c r="O448" s="15" t="str">
        <x:f>IF(A448="","",--(COUNTIF($A$2:A448,A448)=1))</x:f>
      </x:c>
      <x:c r="P448" s="15" t="str">
        <x:f>IF(A448="","",--(COUNTIFS($A$2:A448,A448,$F$2:F448,F448)=1))</x:f>
      </x:c>
    </x:row>
    <x:row r="449">
      <x:c r="A449" s="18"/>
      <x:c r="O449" s="15" t="str">
        <x:f>IF(A449="","",--(COUNTIF($A$2:A449,A449)=1))</x:f>
      </x:c>
      <x:c r="P449" s="15" t="str">
        <x:f>IF(A449="","",--(COUNTIFS($A$2:A449,A449,$F$2:F449,F449)=1))</x:f>
      </x:c>
    </x:row>
    <x:row r="450">
      <x:c r="A450" s="18"/>
      <x:c r="O450" s="15" t="str">
        <x:f>IF(A450="","",--(COUNTIF($A$2:A450,A450)=1))</x:f>
      </x:c>
      <x:c r="P450" s="15" t="str">
        <x:f>IF(A450="","",--(COUNTIFS($A$2:A450,A450,$F$2:F450,F450)=1))</x:f>
      </x:c>
    </x:row>
    <x:row r="451">
      <x:c r="A451" s="18"/>
      <x:c r="O451" s="15" t="str">
        <x:f>IF(A451="","",--(COUNTIF($A$2:A451,A451)=1))</x:f>
      </x:c>
      <x:c r="P451" s="15" t="str">
        <x:f>IF(A451="","",--(COUNTIFS($A$2:A451,A451,$F$2:F451,F451)=1))</x:f>
      </x:c>
    </x:row>
    <x:row r="452">
      <x:c r="A452" s="18"/>
      <x:c r="O452" s="15" t="str">
        <x:f>IF(A452="","",--(COUNTIF($A$2:A452,A452)=1))</x:f>
      </x:c>
      <x:c r="P452" s="15" t="str">
        <x:f>IF(A452="","",--(COUNTIFS($A$2:A452,A452,$F$2:F452,F452)=1))</x:f>
      </x:c>
    </x:row>
    <x:row r="453">
      <x:c r="A453" s="18"/>
      <x:c r="O453" s="15" t="str">
        <x:f>IF(A453="","",--(COUNTIF($A$2:A453,A453)=1))</x:f>
      </x:c>
      <x:c r="P453" s="15" t="str">
        <x:f>IF(A453="","",--(COUNTIFS($A$2:A453,A453,$F$2:F453,F453)=1))</x:f>
      </x:c>
    </x:row>
    <x:row r="454">
      <x:c r="A454" s="18"/>
      <x:c r="O454" s="15" t="str">
        <x:f>IF(A454="","",--(COUNTIF($A$2:A454,A454)=1))</x:f>
      </x:c>
      <x:c r="P454" s="15" t="str">
        <x:f>IF(A454="","",--(COUNTIFS($A$2:A454,A454,$F$2:F454,F454)=1))</x:f>
      </x:c>
    </x:row>
    <x:row r="455">
      <x:c r="A455" s="18"/>
      <x:c r="O455" s="15" t="str">
        <x:f>IF(A455="","",--(COUNTIF($A$2:A455,A455)=1))</x:f>
      </x:c>
      <x:c r="P455" s="15" t="str">
        <x:f>IF(A455="","",--(COUNTIFS($A$2:A455,A455,$F$2:F455,F455)=1))</x:f>
      </x:c>
    </x:row>
    <x:row r="456">
      <x:c r="A456" s="18"/>
      <x:c r="O456" s="15" t="str">
        <x:f>IF(A456="","",--(COUNTIF($A$2:A456,A456)=1))</x:f>
      </x:c>
      <x:c r="P456" s="15" t="str">
        <x:f>IF(A456="","",--(COUNTIFS($A$2:A456,A456,$F$2:F456,F456)=1))</x:f>
      </x:c>
    </x:row>
    <x:row r="457">
      <x:c r="A457" s="18"/>
      <x:c r="O457" s="15" t="str">
        <x:f>IF(A457="","",--(COUNTIF($A$2:A457,A457)=1))</x:f>
      </x:c>
      <x:c r="P457" s="15" t="str">
        <x:f>IF(A457="","",--(COUNTIFS($A$2:A457,A457,$F$2:F457,F457)=1))</x:f>
      </x:c>
    </x:row>
    <x:row r="458">
      <x:c r="A458" s="18"/>
      <x:c r="O458" s="15" t="str">
        <x:f>IF(A458="","",--(COUNTIF($A$2:A458,A458)=1))</x:f>
      </x:c>
      <x:c r="P458" s="15" t="str">
        <x:f>IF(A458="","",--(COUNTIFS($A$2:A458,A458,$F$2:F458,F458)=1))</x:f>
      </x:c>
    </x:row>
    <x:row r="459">
      <x:c r="A459" s="18"/>
      <x:c r="O459" s="15" t="str">
        <x:f>IF(A459="","",--(COUNTIF($A$2:A459,A459)=1))</x:f>
      </x:c>
      <x:c r="P459" s="15" t="str">
        <x:f>IF(A459="","",--(COUNTIFS($A$2:A459,A459,$F$2:F459,F459)=1))</x:f>
      </x:c>
    </x:row>
    <x:row r="460">
      <x:c r="A460" s="18"/>
      <x:c r="O460" s="15" t="str">
        <x:f>IF(A460="","",--(COUNTIF($A$2:A460,A460)=1))</x:f>
      </x:c>
      <x:c r="P460" s="15" t="str">
        <x:f>IF(A460="","",--(COUNTIFS($A$2:A460,A460,$F$2:F460,F460)=1))</x:f>
      </x:c>
    </x:row>
    <x:row r="461">
      <x:c r="A461" s="18"/>
      <x:c r="O461" s="15" t="str">
        <x:f>IF(A461="","",--(COUNTIF($A$2:A461,A461)=1))</x:f>
      </x:c>
      <x:c r="P461" s="15" t="str">
        <x:f>IF(A461="","",--(COUNTIFS($A$2:A461,A461,$F$2:F461,F461)=1))</x:f>
      </x:c>
    </x:row>
    <x:row r="462">
      <x:c r="A462" s="18"/>
      <x:c r="O462" s="15" t="str">
        <x:f>IF(A462="","",--(COUNTIF($A$2:A462,A462)=1))</x:f>
      </x:c>
      <x:c r="P462" s="15" t="str">
        <x:f>IF(A462="","",--(COUNTIFS($A$2:A462,A462,$F$2:F462,F462)=1))</x:f>
      </x:c>
    </x:row>
    <x:row r="463">
      <x:c r="A463" s="18"/>
      <x:c r="O463" s="15" t="str">
        <x:f>IF(A463="","",--(COUNTIF($A$2:A463,A463)=1))</x:f>
      </x:c>
      <x:c r="P463" s="15" t="str">
        <x:f>IF(A463="","",--(COUNTIFS($A$2:A463,A463,$F$2:F463,F463)=1))</x:f>
      </x:c>
    </x:row>
    <x:row r="464">
      <x:c r="A464" s="18"/>
      <x:c r="O464" s="15" t="str">
        <x:f>IF(A464="","",--(COUNTIF($A$2:A464,A464)=1))</x:f>
      </x:c>
      <x:c r="P464" s="15" t="str">
        <x:f>IF(A464="","",--(COUNTIFS($A$2:A464,A464,$F$2:F464,F464)=1))</x:f>
      </x:c>
    </x:row>
    <x:row r="465">
      <x:c r="A465" s="18"/>
      <x:c r="O465" s="15" t="str">
        <x:f>IF(A465="","",--(COUNTIF($A$2:A465,A465)=1))</x:f>
      </x:c>
      <x:c r="P465" s="15" t="str">
        <x:f>IF(A465="","",--(COUNTIFS($A$2:A465,A465,$F$2:F465,F465)=1))</x:f>
      </x:c>
    </x:row>
    <x:row r="466">
      <x:c r="A466" s="18"/>
      <x:c r="O466" s="15" t="str">
        <x:f>IF(A466="","",--(COUNTIF($A$2:A466,A466)=1))</x:f>
      </x:c>
      <x:c r="P466" s="15" t="str">
        <x:f>IF(A466="","",--(COUNTIFS($A$2:A466,A466,$F$2:F466,F466)=1))</x:f>
      </x:c>
    </x:row>
    <x:row r="467">
      <x:c r="A467" s="18"/>
      <x:c r="O467" s="15" t="str">
        <x:f>IF(A467="","",--(COUNTIF($A$2:A467,A467)=1))</x:f>
      </x:c>
      <x:c r="P467" s="15" t="str">
        <x:f>IF(A467="","",--(COUNTIFS($A$2:A467,A467,$F$2:F467,F467)=1))</x:f>
      </x:c>
    </x:row>
    <x:row r="468">
      <x:c r="A468" s="18"/>
      <x:c r="O468" s="15" t="str">
        <x:f>IF(A468="","",--(COUNTIF($A$2:A468,A468)=1))</x:f>
      </x:c>
      <x:c r="P468" s="15" t="str">
        <x:f>IF(A468="","",--(COUNTIFS($A$2:A468,A468,$F$2:F468,F468)=1))</x:f>
      </x:c>
    </x:row>
    <x:row r="469">
      <x:c r="A469" s="18"/>
      <x:c r="O469" s="15" t="str">
        <x:f>IF(A469="","",--(COUNTIF($A$2:A469,A469)=1))</x:f>
      </x:c>
      <x:c r="P469" s="15" t="str">
        <x:f>IF(A469="","",--(COUNTIFS($A$2:A469,A469,$F$2:F469,F469)=1))</x:f>
      </x:c>
    </x:row>
    <x:row r="470">
      <x:c r="A470" s="18"/>
      <x:c r="O470" s="15" t="str">
        <x:f>IF(A470="","",--(COUNTIF($A$2:A470,A470)=1))</x:f>
      </x:c>
      <x:c r="P470" s="15" t="str">
        <x:f>IF(A470="","",--(COUNTIFS($A$2:A470,A470,$F$2:F470,F470)=1))</x:f>
      </x:c>
    </x:row>
    <x:row r="471">
      <x:c r="A471" s="18"/>
      <x:c r="O471" s="15" t="str">
        <x:f>IF(A471="","",--(COUNTIF($A$2:A471,A471)=1))</x:f>
      </x:c>
      <x:c r="P471" s="15" t="str">
        <x:f>IF(A471="","",--(COUNTIFS($A$2:A471,A471,$F$2:F471,F471)=1))</x:f>
      </x:c>
    </x:row>
    <x:row r="472">
      <x:c r="A472" s="18"/>
      <x:c r="O472" s="15" t="str">
        <x:f>IF(A472="","",--(COUNTIF($A$2:A472,A472)=1))</x:f>
      </x:c>
      <x:c r="P472" s="15" t="str">
        <x:f>IF(A472="","",--(COUNTIFS($A$2:A472,A472,$F$2:F472,F472)=1))</x:f>
      </x:c>
    </x:row>
    <x:row r="473">
      <x:c r="A473" s="18"/>
      <x:c r="O473" s="15" t="str">
        <x:f>IF(A473="","",--(COUNTIF($A$2:A473,A473)=1))</x:f>
      </x:c>
      <x:c r="P473" s="15" t="str">
        <x:f>IF(A473="","",--(COUNTIFS($A$2:A473,A473,$F$2:F473,F473)=1))</x:f>
      </x:c>
    </x:row>
    <x:row r="474">
      <x:c r="A474" s="18"/>
      <x:c r="O474" s="15" t="str">
        <x:f>IF(A474="","",--(COUNTIF($A$2:A474,A474)=1))</x:f>
      </x:c>
      <x:c r="P474" s="15" t="str">
        <x:f>IF(A474="","",--(COUNTIFS($A$2:A474,A474,$F$2:F474,F474)=1))</x:f>
      </x:c>
    </x:row>
    <x:row r="475">
      <x:c r="A475" s="18"/>
      <x:c r="O475" s="15" t="str">
        <x:f>IF(A475="","",--(COUNTIF($A$2:A475,A475)=1))</x:f>
      </x:c>
      <x:c r="P475" s="15" t="str">
        <x:f>IF(A475="","",--(COUNTIFS($A$2:A475,A475,$F$2:F475,F475)=1))</x:f>
      </x:c>
    </x:row>
    <x:row r="476">
      <x:c r="A476" s="18"/>
      <x:c r="O476" s="15" t="str">
        <x:f>IF(A476="","",--(COUNTIF($A$2:A476,A476)=1))</x:f>
      </x:c>
      <x:c r="P476" s="15" t="str">
        <x:f>IF(A476="","",--(COUNTIFS($A$2:A476,A476,$F$2:F476,F476)=1))</x:f>
      </x:c>
    </x:row>
    <x:row r="477">
      <x:c r="A477" s="18"/>
      <x:c r="O477" s="15" t="str">
        <x:f>IF(A477="","",--(COUNTIF($A$2:A477,A477)=1))</x:f>
      </x:c>
      <x:c r="P477" s="15" t="str">
        <x:f>IF(A477="","",--(COUNTIFS($A$2:A477,A477,$F$2:F477,F477)=1))</x:f>
      </x:c>
    </x:row>
    <x:row r="478">
      <x:c r="A478" s="18"/>
      <x:c r="O478" s="15" t="str">
        <x:f>IF(A478="","",--(COUNTIF($A$2:A478,A478)=1))</x:f>
      </x:c>
      <x:c r="P478" s="15" t="str">
        <x:f>IF(A478="","",--(COUNTIFS($A$2:A478,A478,$F$2:F478,F478)=1))</x:f>
      </x:c>
    </x:row>
    <x:row r="479">
      <x:c r="A479" s="18"/>
      <x:c r="O479" s="15" t="str">
        <x:f>IF(A479="","",--(COUNTIF($A$2:A479,A479)=1))</x:f>
      </x:c>
      <x:c r="P479" s="15" t="str">
        <x:f>IF(A479="","",--(COUNTIFS($A$2:A479,A479,$F$2:F479,F479)=1))</x:f>
      </x:c>
    </x:row>
    <x:row r="480">
      <x:c r="A480" s="18"/>
      <x:c r="O480" s="15" t="str">
        <x:f>IF(A480="","",--(COUNTIF($A$2:A480,A480)=1))</x:f>
      </x:c>
      <x:c r="P480" s="15" t="str">
        <x:f>IF(A480="","",--(COUNTIFS($A$2:A480,A480,$F$2:F480,F480)=1))</x:f>
      </x:c>
    </x:row>
    <x:row r="481">
      <x:c r="A481" s="18"/>
      <x:c r="O481" s="15" t="str">
        <x:f>IF(A481="","",--(COUNTIF($A$2:A481,A481)=1))</x:f>
      </x:c>
      <x:c r="P481" s="15" t="str">
        <x:f>IF(A481="","",--(COUNTIFS($A$2:A481,A481,$F$2:F481,F481)=1))</x:f>
      </x:c>
    </x:row>
    <x:row r="482">
      <x:c r="A482" s="18"/>
      <x:c r="O482" s="15" t="str">
        <x:f>IF(A482="","",--(COUNTIF($A$2:A482,A482)=1))</x:f>
      </x:c>
      <x:c r="P482" s="15" t="str">
        <x:f>IF(A482="","",--(COUNTIFS($A$2:A482,A482,$F$2:F482,F482)=1))</x:f>
      </x:c>
    </x:row>
    <x:row r="483">
      <x:c r="A483" s="18"/>
      <x:c r="O483" s="15" t="str">
        <x:f>IF(A483="","",--(COUNTIF($A$2:A483,A483)=1))</x:f>
      </x:c>
      <x:c r="P483" s="15" t="str">
        <x:f>IF(A483="","",--(COUNTIFS($A$2:A483,A483,$F$2:F483,F483)=1))</x:f>
      </x:c>
    </x:row>
    <x:row r="484">
      <x:c r="A484" s="18"/>
      <x:c r="O484" s="15" t="str">
        <x:f>IF(A484="","",--(COUNTIF($A$2:A484,A484)=1))</x:f>
      </x:c>
      <x:c r="P484" s="15" t="str">
        <x:f>IF(A484="","",--(COUNTIFS($A$2:A484,A484,$F$2:F484,F484)=1))</x:f>
      </x:c>
    </x:row>
    <x:row r="485">
      <x:c r="A485" s="18"/>
      <x:c r="O485" s="15" t="str">
        <x:f>IF(A485="","",--(COUNTIF($A$2:A485,A485)=1))</x:f>
      </x:c>
      <x:c r="P485" s="15" t="str">
        <x:f>IF(A485="","",--(COUNTIFS($A$2:A485,A485,$F$2:F485,F485)=1))</x:f>
      </x:c>
    </x:row>
    <x:row r="486">
      <x:c r="A486" s="18"/>
      <x:c r="O486" s="15" t="str">
        <x:f>IF(A486="","",--(COUNTIF($A$2:A486,A486)=1))</x:f>
      </x:c>
      <x:c r="P486" s="15" t="str">
        <x:f>IF(A486="","",--(COUNTIFS($A$2:A486,A486,$F$2:F486,F486)=1))</x:f>
      </x:c>
    </x:row>
    <x:row r="487">
      <x:c r="A487" s="18"/>
      <x:c r="O487" s="15" t="str">
        <x:f>IF(A487="","",--(COUNTIF($A$2:A487,A487)=1))</x:f>
      </x:c>
      <x:c r="P487" s="15" t="str">
        <x:f>IF(A487="","",--(COUNTIFS($A$2:A487,A487,$F$2:F487,F487)=1))</x:f>
      </x:c>
    </x:row>
    <x:row r="488">
      <x:c r="A488" s="18"/>
      <x:c r="O488" s="15" t="str">
        <x:f>IF(A488="","",--(COUNTIF($A$2:A488,A488)=1))</x:f>
      </x:c>
      <x:c r="P488" s="15" t="str">
        <x:f>IF(A488="","",--(COUNTIFS($A$2:A488,A488,$F$2:F488,F488)=1))</x:f>
      </x:c>
    </x:row>
    <x:row r="489">
      <x:c r="A489" s="18"/>
      <x:c r="O489" s="15" t="str">
        <x:f>IF(A489="","",--(COUNTIF($A$2:A489,A489)=1))</x:f>
      </x:c>
      <x:c r="P489" s="15" t="str">
        <x:f>IF(A489="","",--(COUNTIFS($A$2:A489,A489,$F$2:F489,F489)=1))</x:f>
      </x:c>
    </x:row>
    <x:row r="490">
      <x:c r="A490" s="18"/>
      <x:c r="O490" s="15" t="str">
        <x:f>IF(A490="","",--(COUNTIF($A$2:A490,A490)=1))</x:f>
      </x:c>
      <x:c r="P490" s="15" t="str">
        <x:f>IF(A490="","",--(COUNTIFS($A$2:A490,A490,$F$2:F490,F490)=1))</x:f>
      </x:c>
    </x:row>
    <x:row r="491">
      <x:c r="A491" s="18"/>
      <x:c r="O491" s="15" t="str">
        <x:f>IF(A491="","",--(COUNTIF($A$2:A491,A491)=1))</x:f>
      </x:c>
      <x:c r="P491" s="15" t="str">
        <x:f>IF(A491="","",--(COUNTIFS($A$2:A491,A491,$F$2:F491,F491)=1))</x:f>
      </x:c>
    </x:row>
    <x:row r="492">
      <x:c r="A492" s="18"/>
      <x:c r="O492" s="15" t="str">
        <x:f>IF(A492="","",--(COUNTIF($A$2:A492,A492)=1))</x:f>
      </x:c>
      <x:c r="P492" s="15" t="str">
        <x:f>IF(A492="","",--(COUNTIFS($A$2:A492,A492,$F$2:F492,F492)=1))</x:f>
      </x:c>
    </x:row>
    <x:row r="493">
      <x:c r="A493" s="18"/>
      <x:c r="O493" s="15" t="str">
        <x:f>IF(A493="","",--(COUNTIF($A$2:A493,A493)=1))</x:f>
      </x:c>
      <x:c r="P493" s="15" t="str">
        <x:f>IF(A493="","",--(COUNTIFS($A$2:A493,A493,$F$2:F493,F493)=1))</x:f>
      </x:c>
    </x:row>
    <x:row r="494">
      <x:c r="A494" s="18"/>
      <x:c r="O494" s="15" t="str">
        <x:f>IF(A494="","",--(COUNTIF($A$2:A494,A494)=1))</x:f>
      </x:c>
      <x:c r="P494" s="15" t="str">
        <x:f>IF(A494="","",--(COUNTIFS($A$2:A494,A494,$F$2:F494,F494)=1))</x:f>
      </x:c>
    </x:row>
    <x:row r="495">
      <x:c r="A495" s="18"/>
      <x:c r="O495" s="15" t="str">
        <x:f>IF(A495="","",--(COUNTIF($A$2:A495,A495)=1))</x:f>
      </x:c>
      <x:c r="P495" s="15" t="str">
        <x:f>IF(A495="","",--(COUNTIFS($A$2:A495,A495,$F$2:F495,F495)=1))</x:f>
      </x:c>
    </x:row>
    <x:row r="496">
      <x:c r="A496" s="18"/>
      <x:c r="O496" s="15" t="str">
        <x:f>IF(A496="","",--(COUNTIF($A$2:A496,A496)=1))</x:f>
      </x:c>
      <x:c r="P496" s="15" t="str">
        <x:f>IF(A496="","",--(COUNTIFS($A$2:A496,A496,$F$2:F496,F496)=1))</x:f>
      </x:c>
    </x:row>
    <x:row r="497">
      <x:c r="A497" s="18"/>
      <x:c r="O497" s="15" t="str">
        <x:f>IF(A497="","",--(COUNTIF($A$2:A497,A497)=1))</x:f>
      </x:c>
      <x:c r="P497" s="15" t="str">
        <x:f>IF(A497="","",--(COUNTIFS($A$2:A497,A497,$F$2:F497,F497)=1))</x:f>
      </x:c>
    </x:row>
    <x:row r="498">
      <x:c r="A498" s="18"/>
      <x:c r="O498" s="15" t="str">
        <x:f>IF(A498="","",--(COUNTIF($A$2:A498,A498)=1))</x:f>
      </x:c>
      <x:c r="P498" s="15" t="str">
        <x:f>IF(A498="","",--(COUNTIFS($A$2:A498,A498,$F$2:F498,F498)=1))</x:f>
      </x:c>
    </x:row>
    <x:row r="499">
      <x:c r="A499" s="18"/>
      <x:c r="O499" s="15" t="str">
        <x:f>IF(A499="","",--(COUNTIF($A$2:A499,A499)=1))</x:f>
      </x:c>
      <x:c r="P499" s="15" t="str">
        <x:f>IF(A499="","",--(COUNTIFS($A$2:A499,A499,$F$2:F499,F499)=1))</x:f>
      </x:c>
    </x:row>
    <x:row r="500">
      <x:c r="A500" s="18"/>
      <x:c r="O500" s="15" t="str">
        <x:f>IF(A500="","",--(COUNTIF($A$2:A500,A500)=1))</x:f>
      </x:c>
      <x:c r="P500" s="15" t="str">
        <x:f>IF(A500="","",--(COUNTIFS($A$2:A500,A500,$F$2:F500,F500)=1))</x:f>
      </x:c>
    </x:row>
    <x:row r="501">
      <x:c r="A501" s="18"/>
      <x:c r="O501" s="15" t="str">
        <x:f>IF(A501="","",--(COUNTIF($A$2:A501,A501)=1))</x:f>
      </x:c>
      <x:c r="P501" s="15" t="str">
        <x:f>IF(A501="","",--(COUNTIFS($A$2:A501,A501,$F$2:F501,F501)=1))</x:f>
      </x:c>
    </x:row>
    <x:row r="502">
      <x:c r="A502" s="18"/>
      <x:c r="O502" s="15" t="str">
        <x:f>IF(A502="","",--(COUNTIF($A$2:A502,A502)=1))</x:f>
      </x:c>
      <x:c r="P502" s="15" t="str">
        <x:f>IF(A502="","",--(COUNTIFS($A$2:A502,A502,$F$2:F502,F502)=1))</x:f>
      </x:c>
    </x:row>
    <x:row r="503">
      <x:c r="A503" s="18"/>
      <x:c r="O503" s="15" t="str">
        <x:f>IF(A503="","",--(COUNTIF($A$2:A503,A503)=1))</x:f>
      </x:c>
      <x:c r="P503" s="15" t="str">
        <x:f>IF(A503="","",--(COUNTIFS($A$2:A503,A503,$F$2:F503,F503)=1))</x:f>
      </x:c>
    </x:row>
    <x:row r="504">
      <x:c r="A504" s="18"/>
      <x:c r="O504" s="15" t="str">
        <x:f>IF(A504="","",--(COUNTIF($A$2:A504,A504)=1))</x:f>
      </x:c>
      <x:c r="P504" s="15" t="str">
        <x:f>IF(A504="","",--(COUNTIFS($A$2:A504,A504,$F$2:F504,F504)=1))</x:f>
      </x:c>
    </x:row>
    <x:row r="505">
      <x:c r="A505" s="18"/>
      <x:c r="O505" s="15" t="str">
        <x:f>IF(A505="","",--(COUNTIF($A$2:A505,A505)=1))</x:f>
      </x:c>
      <x:c r="P505" s="15" t="str">
        <x:f>IF(A505="","",--(COUNTIFS($A$2:A505,A505,$F$2:F505,F505)=1))</x:f>
      </x:c>
    </x:row>
    <x:row r="506">
      <x:c r="A506" s="18"/>
      <x:c r="O506" s="15" t="str">
        <x:f>IF(A506="","",--(COUNTIF($A$2:A506,A506)=1))</x:f>
      </x:c>
      <x:c r="P506" s="15" t="str">
        <x:f>IF(A506="","",--(COUNTIFS($A$2:A506,A506,$F$2:F506,F506)=1))</x:f>
      </x:c>
    </x:row>
    <x:row r="507">
      <x:c r="A507" s="18"/>
      <x:c r="O507" s="15" t="str">
        <x:f>IF(A507="","",--(COUNTIF($A$2:A507,A507)=1))</x:f>
      </x:c>
      <x:c r="P507" s="15" t="str">
        <x:f>IF(A507="","",--(COUNTIFS($A$2:A507,A507,$F$2:F507,F507)=1))</x:f>
      </x:c>
    </x:row>
    <x:row r="508">
      <x:c r="A508" s="18"/>
      <x:c r="O508" s="15" t="str">
        <x:f>IF(A508="","",--(COUNTIF($A$2:A508,A508)=1))</x:f>
      </x:c>
      <x:c r="P508" s="15" t="str">
        <x:f>IF(A508="","",--(COUNTIFS($A$2:A508,A508,$F$2:F508,F508)=1))</x:f>
      </x:c>
    </x:row>
    <x:row r="509">
      <x:c r="A509" s="18"/>
      <x:c r="O509" s="15" t="str">
        <x:f>IF(A509="","",--(COUNTIF($A$2:A509,A509)=1))</x:f>
      </x:c>
      <x:c r="P509" s="15" t="str">
        <x:f>IF(A509="","",--(COUNTIFS($A$2:A509,A509,$F$2:F509,F509)=1))</x:f>
      </x:c>
    </x:row>
    <x:row r="510">
      <x:c r="A510" s="18"/>
      <x:c r="O510" s="15" t="str">
        <x:f>IF(A510="","",--(COUNTIF($A$2:A510,A510)=1))</x:f>
      </x:c>
      <x:c r="P510" s="15" t="str">
        <x:f>IF(A510="","",--(COUNTIFS($A$2:A510,A510,$F$2:F510,F510)=1))</x:f>
      </x:c>
    </x:row>
    <x:row r="511">
      <x:c r="A511" s="18"/>
      <x:c r="O511" s="15" t="str">
        <x:f>IF(A511="","",--(COUNTIF($A$2:A511,A511)=1))</x:f>
      </x:c>
      <x:c r="P511" s="15" t="str">
        <x:f>IF(A511="","",--(COUNTIFS($A$2:A511,A511,$F$2:F511,F511)=1))</x:f>
      </x:c>
    </x:row>
    <x:row r="512">
      <x:c r="A512" s="18"/>
      <x:c r="O512" s="15" t="str">
        <x:f>IF(A512="","",--(COUNTIF($A$2:A512,A512)=1))</x:f>
      </x:c>
      <x:c r="P512" s="15" t="str">
        <x:f>IF(A512="","",--(COUNTIFS($A$2:A512,A512,$F$2:F512,F512)=1))</x:f>
      </x:c>
    </x:row>
    <x:row r="513">
      <x:c r="A513" s="18"/>
      <x:c r="O513" s="15" t="str">
        <x:f>IF(A513="","",--(COUNTIF($A$2:A513,A513)=1))</x:f>
      </x:c>
      <x:c r="P513" s="15" t="str">
        <x:f>IF(A513="","",--(COUNTIFS($A$2:A513,A513,$F$2:F513,F513)=1))</x:f>
      </x:c>
    </x:row>
    <x:row r="514">
      <x:c r="A514" s="18"/>
      <x:c r="O514" s="15" t="str">
        <x:f>IF(A514="","",--(COUNTIF($A$2:A514,A514)=1))</x:f>
      </x:c>
      <x:c r="P514" s="15" t="str">
        <x:f>IF(A514="","",--(COUNTIFS($A$2:A514,A514,$F$2:F514,F514)=1))</x:f>
      </x:c>
    </x:row>
    <x:row r="515">
      <x:c r="A515" s="18"/>
      <x:c r="O515" s="15" t="str">
        <x:f>IF(A515="","",--(COUNTIF($A$2:A515,A515)=1))</x:f>
      </x:c>
      <x:c r="P515" s="15" t="str">
        <x:f>IF(A515="","",--(COUNTIFS($A$2:A515,A515,$F$2:F515,F515)=1))</x:f>
      </x:c>
    </x:row>
    <x:row r="516">
      <x:c r="A516" s="18"/>
      <x:c r="O516" s="15" t="str">
        <x:f>IF(A516="","",--(COUNTIF($A$2:A516,A516)=1))</x:f>
      </x:c>
      <x:c r="P516" s="15" t="str">
        <x:f>IF(A516="","",--(COUNTIFS($A$2:A516,A516,$F$2:F516,F516)=1))</x:f>
      </x:c>
    </x:row>
    <x:row r="517">
      <x:c r="A517" s="18"/>
      <x:c r="O517" s="15" t="str">
        <x:f>IF(A517="","",--(COUNTIF($A$2:A517,A517)=1))</x:f>
      </x:c>
      <x:c r="P517" s="15" t="str">
        <x:f>IF(A517="","",--(COUNTIFS($A$2:A517,A517,$F$2:F517,F517)=1))</x:f>
      </x:c>
    </x:row>
    <x:row r="518">
      <x:c r="A518" s="18"/>
      <x:c r="O518" s="15" t="str">
        <x:f>IF(A518="","",--(COUNTIF($A$2:A518,A518)=1))</x:f>
      </x:c>
      <x:c r="P518" s="15" t="str">
        <x:f>IF(A518="","",--(COUNTIFS($A$2:A518,A518,$F$2:F518,F518)=1))</x:f>
      </x:c>
    </x:row>
    <x:row r="519">
      <x:c r="A519" s="18"/>
      <x:c r="O519" s="15" t="str">
        <x:f>IF(A519="","",--(COUNTIF($A$2:A519,A519)=1))</x:f>
      </x:c>
      <x:c r="P519" s="15" t="str">
        <x:f>IF(A519="","",--(COUNTIFS($A$2:A519,A519,$F$2:F519,F519)=1))</x:f>
      </x:c>
    </x:row>
    <x:row r="520">
      <x:c r="A520" s="18"/>
      <x:c r="O520" s="15" t="str">
        <x:f>IF(A520="","",--(COUNTIF($A$2:A520,A520)=1))</x:f>
      </x:c>
      <x:c r="P520" s="15" t="str">
        <x:f>IF(A520="","",--(COUNTIFS($A$2:A520,A520,$F$2:F520,F520)=1))</x:f>
      </x:c>
    </x:row>
    <x:row r="521">
      <x:c r="A521" s="18"/>
      <x:c r="O521" s="15" t="str">
        <x:f>IF(A521="","",--(COUNTIF($A$2:A521,A521)=1))</x:f>
      </x:c>
      <x:c r="P521" s="15" t="str">
        <x:f>IF(A521="","",--(COUNTIFS($A$2:A521,A521,$F$2:F521,F521)=1))</x:f>
      </x:c>
    </x:row>
    <x:row r="522">
      <x:c r="A522" s="18"/>
      <x:c r="O522" s="15" t="str">
        <x:f>IF(A522="","",--(COUNTIF($A$2:A522,A522)=1))</x:f>
      </x:c>
      <x:c r="P522" s="15" t="str">
        <x:f>IF(A522="","",--(COUNTIFS($A$2:A522,A522,$F$2:F522,F522)=1))</x:f>
      </x:c>
    </x:row>
    <x:row r="523">
      <x:c r="A523" s="18"/>
      <x:c r="O523" s="15" t="str">
        <x:f>IF(A523="","",--(COUNTIF($A$2:A523,A523)=1))</x:f>
      </x:c>
      <x:c r="P523" s="15" t="str">
        <x:f>IF(A523="","",--(COUNTIFS($A$2:A523,A523,$F$2:F523,F523)=1))</x:f>
      </x:c>
    </x:row>
    <x:row r="524">
      <x:c r="A524" s="18"/>
      <x:c r="O524" s="15" t="str">
        <x:f>IF(A524="","",--(COUNTIF($A$2:A524,A524)=1))</x:f>
      </x:c>
      <x:c r="P524" s="15" t="str">
        <x:f>IF(A524="","",--(COUNTIFS($A$2:A524,A524,$F$2:F524,F524)=1))</x:f>
      </x:c>
    </x:row>
    <x:row r="525">
      <x:c r="A525" s="18"/>
      <x:c r="O525" s="15" t="str">
        <x:f>IF(A525="","",--(COUNTIF($A$2:A525,A525)=1))</x:f>
      </x:c>
      <x:c r="P525" s="15" t="str">
        <x:f>IF(A525="","",--(COUNTIFS($A$2:A525,A525,$F$2:F525,F525)=1))</x:f>
      </x:c>
    </x:row>
    <x:row r="526">
      <x:c r="A526" s="18"/>
      <x:c r="O526" s="15" t="str">
        <x:f>IF(A526="","",--(COUNTIF($A$2:A526,A526)=1))</x:f>
      </x:c>
      <x:c r="P526" s="15" t="str">
        <x:f>IF(A526="","",--(COUNTIFS($A$2:A526,A526,$F$2:F526,F526)=1))</x:f>
      </x:c>
    </x:row>
    <x:row r="527">
      <x:c r="A527" s="18"/>
      <x:c r="O527" s="15" t="str">
        <x:f>IF(A527="","",--(COUNTIF($A$2:A527,A527)=1))</x:f>
      </x:c>
      <x:c r="P527" s="15" t="str">
        <x:f>IF(A527="","",--(COUNTIFS($A$2:A527,A527,$F$2:F527,F527)=1))</x:f>
      </x:c>
    </x:row>
    <x:row r="528">
      <x:c r="A528" s="18"/>
      <x:c r="O528" s="15" t="str">
        <x:f>IF(A528="","",--(COUNTIF($A$2:A528,A528)=1))</x:f>
      </x:c>
      <x:c r="P528" s="15" t="str">
        <x:f>IF(A528="","",--(COUNTIFS($A$2:A528,A528,$F$2:F528,F528)=1))</x:f>
      </x:c>
    </x:row>
    <x:row r="529">
      <x:c r="A529" s="18"/>
      <x:c r="O529" s="15" t="str">
        <x:f>IF(A529="","",--(COUNTIF($A$2:A529,A529)=1))</x:f>
      </x:c>
      <x:c r="P529" s="15" t="str">
        <x:f>IF(A529="","",--(COUNTIFS($A$2:A529,A529,$F$2:F529,F529)=1))</x:f>
      </x:c>
    </x:row>
    <x:row r="530">
      <x:c r="A530" s="18"/>
      <x:c r="O530" s="15" t="str">
        <x:f>IF(A530="","",--(COUNTIF($A$2:A530,A530)=1))</x:f>
      </x:c>
      <x:c r="P530" s="15" t="str">
        <x:f>IF(A530="","",--(COUNTIFS($A$2:A530,A530,$F$2:F530,F530)=1))</x:f>
      </x:c>
    </x:row>
    <x:row r="531">
      <x:c r="A531" s="18"/>
      <x:c r="O531" s="15" t="str">
        <x:f>IF(A531="","",--(COUNTIF($A$2:A531,A531)=1))</x:f>
      </x:c>
      <x:c r="P531" s="15" t="str">
        <x:f>IF(A531="","",--(COUNTIFS($A$2:A531,A531,$F$2:F531,F531)=1))</x:f>
      </x:c>
    </x:row>
    <x:row r="532">
      <x:c r="A532" s="18"/>
      <x:c r="O532" s="15" t="str">
        <x:f>IF(A532="","",--(COUNTIF($A$2:A532,A532)=1))</x:f>
      </x:c>
      <x:c r="P532" s="15" t="str">
        <x:f>IF(A532="","",--(COUNTIFS($A$2:A532,A532,$F$2:F532,F532)=1))</x:f>
      </x:c>
    </x:row>
    <x:row r="533">
      <x:c r="A533" s="18"/>
      <x:c r="O533" s="15" t="str">
        <x:f>IF(A533="","",--(COUNTIF($A$2:A533,A533)=1))</x:f>
      </x:c>
      <x:c r="P533" s="15" t="str">
        <x:f>IF(A533="","",--(COUNTIFS($A$2:A533,A533,$F$2:F533,F533)=1))</x:f>
      </x:c>
    </x:row>
    <x:row r="534">
      <x:c r="A534" s="18"/>
      <x:c r="O534" s="15" t="str">
        <x:f>IF(A534="","",--(COUNTIF($A$2:A534,A534)=1))</x:f>
      </x:c>
      <x:c r="P534" s="15" t="str">
        <x:f>IF(A534="","",--(COUNTIFS($A$2:A534,A534,$F$2:F534,F534)=1))</x:f>
      </x:c>
    </x:row>
    <x:row r="535">
      <x:c r="A535" s="18"/>
      <x:c r="O535" s="15" t="str">
        <x:f>IF(A535="","",--(COUNTIF($A$2:A535,A535)=1))</x:f>
      </x:c>
      <x:c r="P535" s="15" t="str">
        <x:f>IF(A535="","",--(COUNTIFS($A$2:A535,A535,$F$2:F535,F535)=1))</x:f>
      </x:c>
    </x:row>
    <x:row r="536">
      <x:c r="A536" s="18"/>
      <x:c r="O536" s="15" t="str">
        <x:f>IF(A536="","",--(COUNTIF($A$2:A536,A536)=1))</x:f>
      </x:c>
      <x:c r="P536" s="15" t="str">
        <x:f>IF(A536="","",--(COUNTIFS($A$2:A536,A536,$F$2:F536,F536)=1))</x:f>
      </x:c>
    </x:row>
    <x:row r="537">
      <x:c r="A537" s="18"/>
      <x:c r="O537" s="15" t="str">
        <x:f>IF(A537="","",--(COUNTIF($A$2:A537,A537)=1))</x:f>
      </x:c>
      <x:c r="P537" s="15" t="str">
        <x:f>IF(A537="","",--(COUNTIFS($A$2:A537,A537,$F$2:F537,F537)=1))</x:f>
      </x:c>
    </x:row>
    <x:row r="538">
      <x:c r="A538" s="18"/>
      <x:c r="O538" s="15" t="str">
        <x:f>IF(A538="","",--(COUNTIF($A$2:A538,A538)=1))</x:f>
      </x:c>
      <x:c r="P538" s="15" t="str">
        <x:f>IF(A538="","",--(COUNTIFS($A$2:A538,A538,$F$2:F538,F538)=1))</x:f>
      </x:c>
    </x:row>
    <x:row r="539">
      <x:c r="A539" s="18"/>
      <x:c r="O539" s="15" t="str">
        <x:f>IF(A539="","",--(COUNTIF($A$2:A539,A539)=1))</x:f>
      </x:c>
      <x:c r="P539" s="15" t="str">
        <x:f>IF(A539="","",--(COUNTIFS($A$2:A539,A539,$F$2:F539,F539)=1))</x:f>
      </x:c>
    </x:row>
    <x:row r="540">
      <x:c r="A540" s="18"/>
      <x:c r="O540" s="15" t="str">
        <x:f>IF(A540="","",--(COUNTIF($A$2:A540,A540)=1))</x:f>
      </x:c>
      <x:c r="P540" s="15" t="str">
        <x:f>IF(A540="","",--(COUNTIFS($A$2:A540,A540,$F$2:F540,F540)=1))</x:f>
      </x:c>
    </x:row>
    <x:row r="541">
      <x:c r="A541" s="18"/>
      <x:c r="O541" s="15" t="str">
        <x:f>IF(A541="","",--(COUNTIF($A$2:A541,A541)=1))</x:f>
      </x:c>
      <x:c r="P541" s="15" t="str">
        <x:f>IF(A541="","",--(COUNTIFS($A$2:A541,A541,$F$2:F541,F541)=1))</x:f>
      </x:c>
    </x:row>
    <x:row r="542">
      <x:c r="A542" s="18"/>
      <x:c r="O542" s="15" t="str">
        <x:f>IF(A542="","",--(COUNTIF($A$2:A542,A542)=1))</x:f>
      </x:c>
      <x:c r="P542" s="15" t="str">
        <x:f>IF(A542="","",--(COUNTIFS($A$2:A542,A542,$F$2:F542,F542)=1))</x:f>
      </x:c>
    </x:row>
    <x:row r="543">
      <x:c r="A543" s="18"/>
      <x:c r="O543" s="15" t="str">
        <x:f>IF(A543="","",--(COUNTIF($A$2:A543,A543)=1))</x:f>
      </x:c>
      <x:c r="P543" s="15" t="str">
        <x:f>IF(A543="","",--(COUNTIFS($A$2:A543,A543,$F$2:F543,F543)=1))</x:f>
      </x:c>
    </x:row>
    <x:row r="544">
      <x:c r="A544" s="18"/>
      <x:c r="O544" s="15" t="str">
        <x:f>IF(A544="","",--(COUNTIF($A$2:A544,A544)=1))</x:f>
      </x:c>
      <x:c r="P544" s="15" t="str">
        <x:f>IF(A544="","",--(COUNTIFS($A$2:A544,A544,$F$2:F544,F544)=1))</x:f>
      </x:c>
    </x:row>
    <x:row r="545">
      <x:c r="A545" s="18"/>
      <x:c r="O545" s="15" t="str">
        <x:f>IF(A545="","",--(COUNTIF($A$2:A545,A545)=1))</x:f>
      </x:c>
      <x:c r="P545" s="15" t="str">
        <x:f>IF(A545="","",--(COUNTIFS($A$2:A545,A545,$F$2:F545,F545)=1))</x:f>
      </x:c>
    </x:row>
    <x:row r="546">
      <x:c r="A546" s="18"/>
      <x:c r="O546" s="15" t="str">
        <x:f>IF(A546="","",--(COUNTIF($A$2:A546,A546)=1))</x:f>
      </x:c>
      <x:c r="P546" s="15" t="str">
        <x:f>IF(A546="","",--(COUNTIFS($A$2:A546,A546,$F$2:F546,F546)=1))</x:f>
      </x:c>
    </x:row>
    <x:row r="547">
      <x:c r="A547" s="18"/>
      <x:c r="O547" s="15" t="str">
        <x:f>IF(A547="","",--(COUNTIF($A$2:A547,A547)=1))</x:f>
      </x:c>
      <x:c r="P547" s="15" t="str">
        <x:f>IF(A547="","",--(COUNTIFS($A$2:A547,A547,$F$2:F547,F547)=1))</x:f>
      </x:c>
    </x:row>
    <x:row r="548">
      <x:c r="A548" s="18"/>
      <x:c r="O548" s="15" t="str">
        <x:f>IF(A548="","",--(COUNTIF($A$2:A548,A548)=1))</x:f>
      </x:c>
      <x:c r="P548" s="15" t="str">
        <x:f>IF(A548="","",--(COUNTIFS($A$2:A548,A548,$F$2:F548,F548)=1))</x:f>
      </x:c>
    </x:row>
    <x:row r="549">
      <x:c r="A549" s="18"/>
      <x:c r="O549" s="15" t="str">
        <x:f>IF(A549="","",--(COUNTIF($A$2:A549,A549)=1))</x:f>
      </x:c>
      <x:c r="P549" s="15" t="str">
        <x:f>IF(A549="","",--(COUNTIFS($A$2:A549,A549,$F$2:F549,F549)=1))</x:f>
      </x:c>
    </x:row>
    <x:row r="550">
      <x:c r="A550" s="18"/>
      <x:c r="O550" s="15" t="str">
        <x:f>IF(A550="","",--(COUNTIF($A$2:A550,A550)=1))</x:f>
      </x:c>
      <x:c r="P550" s="15" t="str">
        <x:f>IF(A550="","",--(COUNTIFS($A$2:A550,A550,$F$2:F550,F550)=1))</x:f>
      </x:c>
    </x:row>
    <x:row r="551">
      <x:c r="A551" s="18"/>
      <x:c r="O551" s="15" t="str">
        <x:f>IF(A551="","",--(COUNTIF($A$2:A551,A551)=1))</x:f>
      </x:c>
      <x:c r="P551" s="15" t="str">
        <x:f>IF(A551="","",--(COUNTIFS($A$2:A551,A551,$F$2:F551,F551)=1))</x:f>
      </x:c>
    </x:row>
    <x:row r="552">
      <x:c r="A552" s="18"/>
      <x:c r="O552" s="15" t="str">
        <x:f>IF(A552="","",--(COUNTIF($A$2:A552,A552)=1))</x:f>
      </x:c>
      <x:c r="P552" s="15" t="str">
        <x:f>IF(A552="","",--(COUNTIFS($A$2:A552,A552,$F$2:F552,F552)=1))</x:f>
      </x:c>
    </x:row>
    <x:row r="553">
      <x:c r="A553" s="18"/>
      <x:c r="O553" s="15" t="str">
        <x:f>IF(A553="","",--(COUNTIF($A$2:A553,A553)=1))</x:f>
      </x:c>
      <x:c r="P553" s="15" t="str">
        <x:f>IF(A553="","",--(COUNTIFS($A$2:A553,A553,$F$2:F553,F553)=1))</x:f>
      </x:c>
    </x:row>
    <x:row r="554">
      <x:c r="A554" s="18"/>
      <x:c r="O554" s="15" t="str">
        <x:f>IF(A554="","",--(COUNTIF($A$2:A554,A554)=1))</x:f>
      </x:c>
      <x:c r="P554" s="15" t="str">
        <x:f>IF(A554="","",--(COUNTIFS($A$2:A554,A554,$F$2:F554,F554)=1))</x:f>
      </x:c>
    </x:row>
    <x:row r="555">
      <x:c r="A555" s="18"/>
      <x:c r="O555" s="15" t="str">
        <x:f>IF(A555="","",--(COUNTIF($A$2:A555,A555)=1))</x:f>
      </x:c>
      <x:c r="P555" s="15" t="str">
        <x:f>IF(A555="","",--(COUNTIFS($A$2:A555,A555,$F$2:F555,F555)=1))</x:f>
      </x:c>
    </x:row>
    <x:row r="556">
      <x:c r="A556" s="18"/>
      <x:c r="O556" s="15" t="str">
        <x:f>IF(A556="","",--(COUNTIF($A$2:A556,A556)=1))</x:f>
      </x:c>
      <x:c r="P556" s="15" t="str">
        <x:f>IF(A556="","",--(COUNTIFS($A$2:A556,A556,$F$2:F556,F556)=1))</x:f>
      </x:c>
    </x:row>
    <x:row r="557">
      <x:c r="A557" s="18"/>
      <x:c r="O557" s="15" t="str">
        <x:f>IF(A557="","",--(COUNTIF($A$2:A557,A557)=1))</x:f>
      </x:c>
      <x:c r="P557" s="15" t="str">
        <x:f>IF(A557="","",--(COUNTIFS($A$2:A557,A557,$F$2:F557,F557)=1))</x:f>
      </x:c>
    </x:row>
    <x:row r="558">
      <x:c r="A558" s="18"/>
      <x:c r="O558" s="15" t="str">
        <x:f>IF(A558="","",--(COUNTIF($A$2:A558,A558)=1))</x:f>
      </x:c>
      <x:c r="P558" s="15" t="str">
        <x:f>IF(A558="","",--(COUNTIFS($A$2:A558,A558,$F$2:F558,F558)=1))</x:f>
      </x:c>
    </x:row>
    <x:row r="559">
      <x:c r="A559" s="18"/>
      <x:c r="O559" s="15" t="str">
        <x:f>IF(A559="","",--(COUNTIF($A$2:A559,A559)=1))</x:f>
      </x:c>
      <x:c r="P559" s="15" t="str">
        <x:f>IF(A559="","",--(COUNTIFS($A$2:A559,A559,$F$2:F559,F559)=1))</x:f>
      </x:c>
    </x:row>
    <x:row r="560">
      <x:c r="A560" s="18"/>
      <x:c r="O560" s="15" t="str">
        <x:f>IF(A560="","",--(COUNTIF($A$2:A560,A560)=1))</x:f>
      </x:c>
      <x:c r="P560" s="15" t="str">
        <x:f>IF(A560="","",--(COUNTIFS($A$2:A560,A560,$F$2:F560,F560)=1))</x:f>
      </x:c>
    </x:row>
    <x:row r="561">
      <x:c r="A561" s="18"/>
      <x:c r="O561" s="15" t="str">
        <x:f>IF(A561="","",--(COUNTIF($A$2:A561,A561)=1))</x:f>
      </x:c>
      <x:c r="P561" s="15" t="str">
        <x:f>IF(A561="","",--(COUNTIFS($A$2:A561,A561,$F$2:F561,F561)=1))</x:f>
      </x:c>
    </x:row>
    <x:row r="562">
      <x:c r="A562" s="18"/>
      <x:c r="O562" s="15" t="str">
        <x:f>IF(A562="","",--(COUNTIF($A$2:A562,A562)=1))</x:f>
      </x:c>
      <x:c r="P562" s="15" t="str">
        <x:f>IF(A562="","",--(COUNTIFS($A$2:A562,A562,$F$2:F562,F562)=1))</x:f>
      </x:c>
    </x:row>
    <x:row r="563">
      <x:c r="A563" s="18"/>
      <x:c r="O563" s="15" t="str">
        <x:f>IF(A563="","",--(COUNTIF($A$2:A563,A563)=1))</x:f>
      </x:c>
      <x:c r="P563" s="15" t="str">
        <x:f>IF(A563="","",--(COUNTIFS($A$2:A563,A563,$F$2:F563,F563)=1))</x:f>
      </x:c>
    </x:row>
    <x:row r="564">
      <x:c r="A564" s="18"/>
      <x:c r="O564" s="15" t="str">
        <x:f>IF(A564="","",--(COUNTIF($A$2:A564,A564)=1))</x:f>
      </x:c>
      <x:c r="P564" s="15" t="str">
        <x:f>IF(A564="","",--(COUNTIFS($A$2:A564,A564,$F$2:F564,F564)=1))</x:f>
      </x:c>
    </x:row>
    <x:row r="565">
      <x:c r="A565" s="18"/>
      <x:c r="O565" s="15" t="str">
        <x:f>IF(A565="","",--(COUNTIF($A$2:A565,A565)=1))</x:f>
      </x:c>
      <x:c r="P565" s="15" t="str">
        <x:f>IF(A565="","",--(COUNTIFS($A$2:A565,A565,$F$2:F565,F565)=1))</x:f>
      </x:c>
    </x:row>
    <x:row r="566">
      <x:c r="A566" s="18"/>
      <x:c r="O566" s="15" t="str">
        <x:f>IF(A566="","",--(COUNTIF($A$2:A566,A566)=1))</x:f>
      </x:c>
      <x:c r="P566" s="15" t="str">
        <x:f>IF(A566="","",--(COUNTIFS($A$2:A566,A566,$F$2:F566,F566)=1))</x:f>
      </x:c>
    </x:row>
    <x:row r="567">
      <x:c r="A567" s="18"/>
      <x:c r="O567" s="15" t="str">
        <x:f>IF(A567="","",--(COUNTIF($A$2:A567,A567)=1))</x:f>
      </x:c>
      <x:c r="P567" s="15" t="str">
        <x:f>IF(A567="","",--(COUNTIFS($A$2:A567,A567,$F$2:F567,F567)=1))</x:f>
      </x:c>
    </x:row>
    <x:row r="568">
      <x:c r="A568" s="18"/>
      <x:c r="O568" s="15" t="str">
        <x:f>IF(A568="","",--(COUNTIF($A$2:A568,A568)=1))</x:f>
      </x:c>
      <x:c r="P568" s="15" t="str">
        <x:f>IF(A568="","",--(COUNTIFS($A$2:A568,A568,$F$2:F568,F568)=1))</x:f>
      </x:c>
    </x:row>
    <x:row r="569">
      <x:c r="A569" s="18"/>
      <x:c r="O569" s="15" t="str">
        <x:f>IF(A569="","",--(COUNTIF($A$2:A569,A569)=1))</x:f>
      </x:c>
      <x:c r="P569" s="15" t="str">
        <x:f>IF(A569="","",--(COUNTIFS($A$2:A569,A569,$F$2:F569,F569)=1))</x:f>
      </x:c>
    </x:row>
    <x:row r="570">
      <x:c r="A570" s="18"/>
      <x:c r="O570" s="15" t="str">
        <x:f>IF(A570="","",--(COUNTIF($A$2:A570,A570)=1))</x:f>
      </x:c>
      <x:c r="P570" s="15" t="str">
        <x:f>IF(A570="","",--(COUNTIFS($A$2:A570,A570,$F$2:F570,F570)=1))</x:f>
      </x:c>
    </x:row>
    <x:row r="571">
      <x:c r="A571" s="18"/>
      <x:c r="O571" s="15" t="str">
        <x:f>IF(A571="","",--(COUNTIF($A$2:A571,A571)=1))</x:f>
      </x:c>
      <x:c r="P571" s="15" t="str">
        <x:f>IF(A571="","",--(COUNTIFS($A$2:A571,A571,$F$2:F571,F571)=1))</x:f>
      </x:c>
    </x:row>
    <x:row r="572">
      <x:c r="A572" s="18"/>
      <x:c r="O572" s="15" t="str">
        <x:f>IF(A572="","",--(COUNTIF($A$2:A572,A572)=1))</x:f>
      </x:c>
      <x:c r="P572" s="15" t="str">
        <x:f>IF(A572="","",--(COUNTIFS($A$2:A572,A572,$F$2:F572,F572)=1))</x:f>
      </x:c>
    </x:row>
    <x:row r="573">
      <x:c r="A573" s="18"/>
      <x:c r="O573" s="15" t="str">
        <x:f>IF(A573="","",--(COUNTIF($A$2:A573,A573)=1))</x:f>
      </x:c>
      <x:c r="P573" s="15" t="str">
        <x:f>IF(A573="","",--(COUNTIFS($A$2:A573,A573,$F$2:F573,F573)=1))</x:f>
      </x:c>
    </x:row>
    <x:row r="574">
      <x:c r="A574" s="18"/>
      <x:c r="O574" s="15" t="str">
        <x:f>IF(A574="","",--(COUNTIF($A$2:A574,A574)=1))</x:f>
      </x:c>
      <x:c r="P574" s="15" t="str">
        <x:f>IF(A574="","",--(COUNTIFS($A$2:A574,A574,$F$2:F574,F574)=1))</x:f>
      </x:c>
    </x:row>
    <x:row r="575">
      <x:c r="A575" s="18"/>
      <x:c r="O575" s="15" t="str">
        <x:f>IF(A575="","",--(COUNTIF($A$2:A575,A575)=1))</x:f>
      </x:c>
      <x:c r="P575" s="15" t="str">
        <x:f>IF(A575="","",--(COUNTIFS($A$2:A575,A575,$F$2:F575,F575)=1))</x:f>
      </x:c>
    </x:row>
    <x:row r="576">
      <x:c r="A576" s="18"/>
      <x:c r="O576" s="15" t="str">
        <x:f>IF(A576="","",--(COUNTIF($A$2:A576,A576)=1))</x:f>
      </x:c>
      <x:c r="P576" s="15" t="str">
        <x:f>IF(A576="","",--(COUNTIFS($A$2:A576,A576,$F$2:F576,F576)=1))</x:f>
      </x:c>
    </x:row>
    <x:row r="577">
      <x:c r="A577" s="18"/>
      <x:c r="O577" s="15" t="str">
        <x:f>IF(A577="","",--(COUNTIF($A$2:A577,A577)=1))</x:f>
      </x:c>
      <x:c r="P577" s="15" t="str">
        <x:f>IF(A577="","",--(COUNTIFS($A$2:A577,A577,$F$2:F577,F577)=1))</x:f>
      </x:c>
    </x:row>
    <x:row r="578">
      <x:c r="A578" s="18"/>
      <x:c r="O578" s="15" t="str">
        <x:f>IF(A578="","",--(COUNTIF($A$2:A578,A578)=1))</x:f>
      </x:c>
      <x:c r="P578" s="15" t="str">
        <x:f>IF(A578="","",--(COUNTIFS($A$2:A578,A578,$F$2:F578,F578)=1))</x:f>
      </x:c>
    </x:row>
    <x:row r="579">
      <x:c r="A579" s="18"/>
      <x:c r="O579" s="15" t="str">
        <x:f>IF(A579="","",--(COUNTIF($A$2:A579,A579)=1))</x:f>
      </x:c>
      <x:c r="P579" s="15" t="str">
        <x:f>IF(A579="","",--(COUNTIFS($A$2:A579,A579,$F$2:F579,F579)=1))</x:f>
      </x:c>
    </x:row>
    <x:row r="580">
      <x:c r="A580" s="18"/>
      <x:c r="O580" s="15" t="str">
        <x:f>IF(A580="","",--(COUNTIF($A$2:A580,A580)=1))</x:f>
      </x:c>
      <x:c r="P580" s="15" t="str">
        <x:f>IF(A580="","",--(COUNTIFS($A$2:A580,A580,$F$2:F580,F580)=1))</x:f>
      </x:c>
    </x:row>
    <x:row r="581">
      <x:c r="A581" s="18"/>
      <x:c r="O581" s="15" t="str">
        <x:f>IF(A581="","",--(COUNTIF($A$2:A581,A581)=1))</x:f>
      </x:c>
      <x:c r="P581" s="15" t="str">
        <x:f>IF(A581="","",--(COUNTIFS($A$2:A581,A581,$F$2:F581,F581)=1))</x:f>
      </x:c>
    </x:row>
    <x:row r="582">
      <x:c r="A582" s="18"/>
      <x:c r="O582" s="15" t="str">
        <x:f>IF(A582="","",--(COUNTIF($A$2:A582,A582)=1))</x:f>
      </x:c>
      <x:c r="P582" s="15" t="str">
        <x:f>IF(A582="","",--(COUNTIFS($A$2:A582,A582,$F$2:F582,F582)=1))</x:f>
      </x:c>
    </x:row>
    <x:row r="583">
      <x:c r="A583" s="18"/>
      <x:c r="O583" s="15" t="str">
        <x:f>IF(A583="","",--(COUNTIF($A$2:A583,A583)=1))</x:f>
      </x:c>
      <x:c r="P583" s="15" t="str">
        <x:f>IF(A583="","",--(COUNTIFS($A$2:A583,A583,$F$2:F583,F583)=1))</x:f>
      </x:c>
    </x:row>
    <x:row r="584">
      <x:c r="A584" s="18"/>
      <x:c r="O584" s="15" t="str">
        <x:f>IF(A584="","",--(COUNTIF($A$2:A584,A584)=1))</x:f>
      </x:c>
      <x:c r="P584" s="15" t="str">
        <x:f>IF(A584="","",--(COUNTIFS($A$2:A584,A584,$F$2:F584,F584)=1))</x:f>
      </x:c>
    </x:row>
    <x:row r="585">
      <x:c r="A585" s="18"/>
      <x:c r="O585" s="15" t="str">
        <x:f>IF(A585="","",--(COUNTIF($A$2:A585,A585)=1))</x:f>
      </x:c>
      <x:c r="P585" s="15" t="str">
        <x:f>IF(A585="","",--(COUNTIFS($A$2:A585,A585,$F$2:F585,F585)=1))</x:f>
      </x:c>
    </x:row>
    <x:row r="586">
      <x:c r="A586" s="18"/>
      <x:c r="O586" s="15" t="str">
        <x:f>IF(A586="","",--(COUNTIF($A$2:A586,A586)=1))</x:f>
      </x:c>
      <x:c r="P586" s="15" t="str">
        <x:f>IF(A586="","",--(COUNTIFS($A$2:A586,A586,$F$2:F586,F586)=1))</x:f>
      </x:c>
    </x:row>
    <x:row r="587">
      <x:c r="A587" s="18"/>
      <x:c r="O587" s="15" t="str">
        <x:f>IF(A587="","",--(COUNTIF($A$2:A587,A587)=1))</x:f>
      </x:c>
      <x:c r="P587" s="15" t="str">
        <x:f>IF(A587="","",--(COUNTIFS($A$2:A587,A587,$F$2:F587,F587)=1))</x:f>
      </x:c>
    </x:row>
    <x:row r="588">
      <x:c r="A588" s="18"/>
      <x:c r="O588" s="15" t="str">
        <x:f>IF(A588="","",--(COUNTIF($A$2:A588,A588)=1))</x:f>
      </x:c>
      <x:c r="P588" s="15" t="str">
        <x:f>IF(A588="","",--(COUNTIFS($A$2:A588,A588,$F$2:F588,F588)=1))</x:f>
      </x:c>
    </x:row>
    <x:row r="589">
      <x:c r="A589" s="18"/>
      <x:c r="O589" s="15" t="str">
        <x:f>IF(A589="","",--(COUNTIF($A$2:A589,A589)=1))</x:f>
      </x:c>
      <x:c r="P589" s="15" t="str">
        <x:f>IF(A589="","",--(COUNTIFS($A$2:A589,A589,$F$2:F589,F589)=1))</x:f>
      </x:c>
    </x:row>
    <x:row r="590">
      <x:c r="A590" s="18"/>
      <x:c r="O590" s="15" t="str">
        <x:f>IF(A590="","",--(COUNTIF($A$2:A590,A590)=1))</x:f>
      </x:c>
      <x:c r="P590" s="15" t="str">
        <x:f>IF(A590="","",--(COUNTIFS($A$2:A590,A590,$F$2:F590,F590)=1))</x:f>
      </x:c>
    </x:row>
    <x:row r="591">
      <x:c r="A591" s="18"/>
      <x:c r="O591" s="15" t="str">
        <x:f>IF(A591="","",--(COUNTIF($A$2:A591,A591)=1))</x:f>
      </x:c>
      <x:c r="P591" s="15" t="str">
        <x:f>IF(A591="","",--(COUNTIFS($A$2:A591,A591,$F$2:F591,F591)=1))</x:f>
      </x:c>
    </x:row>
    <x:row r="592">
      <x:c r="A592" s="18"/>
      <x:c r="O592" s="15" t="str">
        <x:f>IF(A592="","",--(COUNTIF($A$2:A592,A592)=1))</x:f>
      </x:c>
      <x:c r="P592" s="15" t="str">
        <x:f>IF(A592="","",--(COUNTIFS($A$2:A592,A592,$F$2:F592,F592)=1))</x:f>
      </x:c>
    </x:row>
    <x:row r="593">
      <x:c r="A593" s="18"/>
      <x:c r="O593" s="15" t="str">
        <x:f>IF(A593="","",--(COUNTIF($A$2:A593,A593)=1))</x:f>
      </x:c>
      <x:c r="P593" s="15" t="str">
        <x:f>IF(A593="","",--(COUNTIFS($A$2:A593,A593,$F$2:F593,F593)=1))</x:f>
      </x:c>
    </x:row>
    <x:row r="594">
      <x:c r="A594" s="18"/>
      <x:c r="O594" s="15" t="str">
        <x:f>IF(A594="","",--(COUNTIF($A$2:A594,A594)=1))</x:f>
      </x:c>
      <x:c r="P594" s="15" t="str">
        <x:f>IF(A594="","",--(COUNTIFS($A$2:A594,A594,$F$2:F594,F594)=1))</x:f>
      </x:c>
    </x:row>
    <x:row r="595">
      <x:c r="A595" s="18"/>
      <x:c r="O595" s="15" t="str">
        <x:f>IF(A595="","",--(COUNTIF($A$2:A595,A595)=1))</x:f>
      </x:c>
      <x:c r="P595" s="15" t="str">
        <x:f>IF(A595="","",--(COUNTIFS($A$2:A595,A595,$F$2:F595,F595)=1))</x:f>
      </x:c>
    </x:row>
    <x:row r="596">
      <x:c r="A596" s="18"/>
      <x:c r="O596" s="15" t="str">
        <x:f>IF(A596="","",--(COUNTIF($A$2:A596,A596)=1))</x:f>
      </x:c>
      <x:c r="P596" s="15" t="str">
        <x:f>IF(A596="","",--(COUNTIFS($A$2:A596,A596,$F$2:F596,F596)=1))</x:f>
      </x:c>
    </x:row>
    <x:row r="597">
      <x:c r="A597" s="18"/>
      <x:c r="O597" s="15" t="str">
        <x:f>IF(A597="","",--(COUNTIF($A$2:A597,A597)=1))</x:f>
      </x:c>
      <x:c r="P597" s="15" t="str">
        <x:f>IF(A597="","",--(COUNTIFS($A$2:A597,A597,$F$2:F597,F597)=1))</x:f>
      </x:c>
    </x:row>
    <x:row r="598">
      <x:c r="A598" s="18"/>
      <x:c r="O598" s="15" t="str">
        <x:f>IF(A598="","",--(COUNTIF($A$2:A598,A598)=1))</x:f>
      </x:c>
      <x:c r="P598" s="15" t="str">
        <x:f>IF(A598="","",--(COUNTIFS($A$2:A598,A598,$F$2:F598,F598)=1))</x:f>
      </x:c>
    </x:row>
    <x:row r="599">
      <x:c r="A599" s="18"/>
      <x:c r="O599" s="15" t="str">
        <x:f>IF(A599="","",--(COUNTIF($A$2:A599,A599)=1))</x:f>
      </x:c>
      <x:c r="P599" s="15" t="str">
        <x:f>IF(A599="","",--(COUNTIFS($A$2:A599,A599,$F$2:F599,F599)=1))</x:f>
      </x:c>
    </x:row>
    <x:row r="600">
      <x:c r="A600" s="18"/>
      <x:c r="O600" s="15" t="str">
        <x:f>IF(A600="","",--(COUNTIF($A$2:A600,A600)=1))</x:f>
      </x:c>
      <x:c r="P600" s="15" t="str">
        <x:f>IF(A600="","",--(COUNTIFS($A$2:A600,A600,$F$2:F600,F600)=1))</x:f>
      </x:c>
    </x:row>
  </x:sheetData>
  <x:dataValidations count="4">
    <x:dataValidation type="list" sqref="F2:F600">
      <x:formula1>LISTAS!$B$3:$B$11</x:formula1>
    </x:dataValidation>
    <x:dataValidation type="list" sqref="I2:I600">
      <x:formula1>LISTAS!$D$2:$D$3</x:formula1>
    </x:dataValidation>
    <x:dataValidation type="list" sqref="K2:K600">
      <x:formula1>LISTAS!$C$2:$C$5</x:formula1>
    </x:dataValidation>
    <x:dataValidation type="list" sqref="M2:M600">
      <x:formula1>LISTAS!$E$2:$E$3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2" hidden="0" customWidth="1"/>
    <x:col min="5" max="5" width="23" hidden="0" customWidth="1"/>
    <x:col min="6" max="6" width="24" hidden="0" customWidth="1"/>
    <x:col min="7" max="7" width="12" hidden="0" customWidth="1"/>
    <x:col min="8" max="8" width="27" hidden="0" customWidth="1"/>
    <x:col min="9" max="9" width="18" hidden="0" customWidth="1"/>
    <x:col min="10" max="10" width="34" hidden="0" customWidth="1"/>
    <x:col min="11" max="11" width="19" hidden="0" customWidth="1"/>
    <x:col min="12" max="12" width="18" hidden="0" customWidth="1"/>
    <x:col min="13" max="13" width="17" hidden="0" customWidth="1"/>
    <x:col min="14" max="14" width="42" hidden="0" customWidth="1"/>
    <x:col min="15" max="15" width="14" hidden="0" customWidth="1"/>
    <x:col min="16" max="16" width="14" hidden="0" customWidth="1"/>
  </x:cols>
  <x:sheetData>
    <x:row r="1">
      <x:c r="A1" s="9" t="str">
        <x:v>ID Único Equipe / Agente</x:v>
      </x:c>
      <x:c r="B1" s="9" t="str">
        <x:v>Nome da Equipe</x:v>
      </x:c>
      <x:c r="C1" s="9" t="str">
        <x:v>Nome do Colaborador Líder</x:v>
      </x:c>
      <x:c r="D1" s="9" t="str">
        <x:v>Base de Apoio Enorsul</x:v>
      </x:c>
      <x:c r="E1" s="9" t="str">
        <x:v>Município de Origem</x:v>
      </x:c>
      <x:c r="F1" s="9" t="str">
        <x:v>Polo</x:v>
      </x:c>
      <x:c r="G1" s="9" t="str">
        <x:v>Microrrota</x:v>
      </x:c>
      <x:c r="H1" s="9" t="str">
        <x:v>Município de Atendimento</x:v>
      </x:c>
      <x:c r="I1" s="9" t="str">
        <x:v>Tipo de Equipe</x:v>
      </x:c>
      <x:c r="J1" s="9" t="str">
        <x:v>Habilidades / Serviços Aptos</x:v>
      </x:c>
      <x:c r="K1" s="9" t="str">
        <x:v>Status da Equipe</x:v>
      </x:c>
      <x:c r="L1" s="9" t="str">
        <x:v>Frente Principal</x:v>
      </x:c>
      <x:c r="M1" s="9" t="str">
        <x:v>Veículo Disponível</x:v>
      </x:c>
      <x:c r="N1" s="9" t="str">
        <x:v>Observação</x:v>
      </x:c>
      <x:c r="O1" s="14" t="str">
        <x:v>Conta ID Frente</x:v>
      </x:c>
      <x:c r="P1" s="14" t="str">
        <x:v>Conta ID Polo</x:v>
      </x:c>
    </x:row>
    <x:row r="2">
      <x:c r="A2" s="18" t="str">
        <x:v>LEI-01-01-01</x:v>
      </x:c>
      <x:c r="B2" t="str">
        <x:v>Equipe LEI-001</x:v>
      </x:c>
      <x:c r="C2" t="str">
        <x:v>Daniel Gomes</x:v>
      </x:c>
      <x:c r="D2" t="str">
        <x:v>Base Recife/RMR</x:v>
      </x:c>
      <x:c r="E2" t="str">
        <x:v>Itapissuma</x:v>
      </x:c>
      <x:c r="F2" t="str">
        <x:v>Recife/RMR</x:v>
      </x:c>
      <x:c r="G2" t="str">
        <x:v>MR01</x:v>
      </x:c>
      <x:c r="H2" t="str">
        <x:v>Itapissuma</x:v>
      </x:c>
      <x:c r="I2" t="str">
        <x:v>Equipe Dupla</x:v>
      </x:c>
      <x:c r="J2" t="str">
        <x:v>Leitura / Entrega de Conta</x:v>
      </x:c>
      <x:c r="K2" t="str">
        <x:v>Em recrutamento</x:v>
      </x:c>
      <x:c r="L2" t="str">
        <x:v>Leitura</x:v>
      </x:c>
      <x:c r="M2" t="str">
        <x:v>Sim</x:v>
      </x:c>
      <x:c r="N2" t="str">
        <x:v>DADO FICTÍCIO – teste do painel; ID repetido em outra microrrota</x:v>
      </x:c>
      <x:c r="O2" s="15" t="n">
        <x:f>IF(A2="","",--(COUNTIF($A$2:A2,A2)=1))</x:f>
        <x:v>1</x:v>
      </x:c>
      <x:c r="P2" s="15" t="n">
        <x:f>IF(A2="","",--(COUNTIFS($A$2:A2,A2,$F$2:F2,F2)=1))</x:f>
        <x:v>1</x:v>
      </x:c>
    </x:row>
    <x:row r="3">
      <x:c r="A3" s="18" t="str">
        <x:v>LEI-01-01-01</x:v>
      </x:c>
      <x:c r="B3" t="str">
        <x:v>Equipe LEI-001</x:v>
      </x:c>
      <x:c r="C3" t="str">
        <x:v>Daniel Gomes</x:v>
      </x:c>
      <x:c r="D3" t="str">
        <x:v>Base Recife/RMR</x:v>
      </x:c>
      <x:c r="E3" t="str">
        <x:v>Paulista</x:v>
      </x:c>
      <x:c r="F3" t="str">
        <x:v>Recife/RMR</x:v>
      </x:c>
      <x:c r="G3" t="str">
        <x:v>MR02</x:v>
      </x:c>
      <x:c r="H3" t="str">
        <x:v>Paulista</x:v>
      </x:c>
      <x:c r="I3" t="str">
        <x:v>Equipe Dupla</x:v>
      </x:c>
      <x:c r="J3" t="str">
        <x:v>Leitura / Entrega de Conta</x:v>
      </x:c>
      <x:c r="K3" t="str">
        <x:v>Em recrutamento</x:v>
      </x:c>
      <x:c r="L3" t="str">
        <x:v>Leitura</x:v>
      </x:c>
      <x:c r="M3" t="str">
        <x:v>Sim</x:v>
      </x:c>
      <x:c r="N3" t="str">
        <x:v>DADO FICTÍCIO – teste do painel; ID repetido em outra microrrota</x:v>
      </x:c>
      <x:c r="O3" s="15" t="n">
        <x:f>IF(A3="","",--(COUNTIF($A$2:A3,A3)=1))</x:f>
        <x:v>0</x:v>
      </x:c>
      <x:c r="P3" s="15" t="n">
        <x:f>IF(A3="","",--(COUNTIFS($A$2:A3,A3,$F$2:F3,F3)=1))</x:f>
        <x:v>0</x:v>
      </x:c>
    </x:row>
    <x:row r="4">
      <x:c r="A4" s="18" t="str">
        <x:v>LEI-01-01-02</x:v>
      </x:c>
      <x:c r="B4" t="str">
        <x:v>Equipe LEI-002</x:v>
      </x:c>
      <x:c r="C4" t="str">
        <x:v>Gabriel Pereira</x:v>
      </x:c>
      <x:c r="D4" t="str">
        <x:v>Base Recife/RMR</x:v>
      </x:c>
      <x:c r="E4" t="str">
        <x:v>Paulista</x:v>
      </x:c>
      <x:c r="F4" t="str">
        <x:v>Recife/RMR</x:v>
      </x:c>
      <x:c r="G4" t="str">
        <x:v>MR02</x:v>
      </x:c>
      <x:c r="H4" t="str">
        <x:v>Paulista</x:v>
      </x:c>
      <x:c r="I4" t="str">
        <x:v>Equipe Simples</x:v>
      </x:c>
      <x:c r="J4" t="str">
        <x:v>Leitura / Entrega de Conta</x:v>
      </x:c>
      <x:c r="K4" t="str">
        <x:v>Em recrutamento</x:v>
      </x:c>
      <x:c r="L4" t="str">
        <x:v>Leitura</x:v>
      </x:c>
      <x:c r="M4" t="str">
        <x:v>Não</x:v>
      </x:c>
      <x:c r="N4" t="str">
        <x:v>DADO FICTÍCIO – teste do painel; ID repetido em outra microrrota</x:v>
      </x:c>
      <x:c r="O4" s="15" t="n">
        <x:f>IF(A4="","",--(COUNTIF($A$2:A4,A4)=1))</x:f>
        <x:v>1</x:v>
      </x:c>
      <x:c r="P4" s="15" t="n">
        <x:f>IF(A4="","",--(COUNTIFS($A$2:A4,A4,$F$2:F4,F4)=1))</x:f>
        <x:v>1</x:v>
      </x:c>
    </x:row>
    <x:row r="5">
      <x:c r="A5" s="18" t="str">
        <x:v>LEI-01-01-02</x:v>
      </x:c>
      <x:c r="B5" t="str">
        <x:v>Equipe LEI-002</x:v>
      </x:c>
      <x:c r="C5" t="str">
        <x:v>Gabriel Pereira</x:v>
      </x:c>
      <x:c r="D5" t="str">
        <x:v>Base Recife/RMR</x:v>
      </x:c>
      <x:c r="E5" t="str">
        <x:v>Camaragibe</x:v>
      </x:c>
      <x:c r="F5" t="str">
        <x:v>Recife/RMR</x:v>
      </x:c>
      <x:c r="G5" t="str">
        <x:v>MR03</x:v>
      </x:c>
      <x:c r="H5" t="str">
        <x:v>Camaragibe</x:v>
      </x:c>
      <x:c r="I5" t="str">
        <x:v>Equipe Simples</x:v>
      </x:c>
      <x:c r="J5" t="str">
        <x:v>Leitura / Entrega de Conta</x:v>
      </x:c>
      <x:c r="K5" t="str">
        <x:v>Em recrutamento</x:v>
      </x:c>
      <x:c r="L5" t="str">
        <x:v>Leitura</x:v>
      </x:c>
      <x:c r="M5" t="str">
        <x:v>Não</x:v>
      </x:c>
      <x:c r="N5" t="str">
        <x:v>DADO FICTÍCIO – teste do painel; ID repetido em outra microrrota</x:v>
      </x:c>
      <x:c r="O5" s="15" t="n">
        <x:f>IF(A5="","",--(COUNTIF($A$2:A5,A5)=1))</x:f>
        <x:v>0</x:v>
      </x:c>
      <x:c r="P5" s="15" t="n">
        <x:f>IF(A5="","",--(COUNTIFS($A$2:A5,A5,$F$2:F5,F5)=1))</x:f>
        <x:v>0</x:v>
      </x:c>
    </x:row>
    <x:row r="6">
      <x:c r="A6" s="18" t="str">
        <x:v>LEI-01-02-01</x:v>
      </x:c>
      <x:c r="B6" t="str">
        <x:v>Equipe LEI-003</x:v>
      </x:c>
      <x:c r="C6" t="str">
        <x:v>João Teixeira</x:v>
      </x:c>
      <x:c r="D6" t="str">
        <x:v>Base Recife/RMR</x:v>
      </x:c>
      <x:c r="E6" t="str">
        <x:v>Camaragibe</x:v>
      </x:c>
      <x:c r="F6" t="str">
        <x:v>Recife/RMR</x:v>
      </x:c>
      <x:c r="G6" t="str">
        <x:v>MR03</x:v>
      </x:c>
      <x:c r="H6" t="str">
        <x:v>Camaragibe</x:v>
      </x:c>
      <x:c r="I6" t="str">
        <x:v>Equipe Simples</x:v>
      </x:c>
      <x:c r="J6" t="str">
        <x:v>Leitura / Entrega de Conta</x:v>
      </x:c>
      <x:c r="K6" t="str">
        <x:v>Em contratação</x:v>
      </x:c>
      <x:c r="L6" t="str">
        <x:v>Leitura</x:v>
      </x:c>
      <x:c r="M6" t="str">
        <x:v>Sim</x:v>
      </x:c>
      <x:c r="N6" t="str">
        <x:v>DADO FICTÍCIO – teste do painel; ID repetido em outra microrrota</x:v>
      </x:c>
      <x:c r="O6" s="15" t="n">
        <x:f>IF(A6="","",--(COUNTIF($A$2:A6,A6)=1))</x:f>
        <x:v>1</x:v>
      </x:c>
      <x:c r="P6" s="15" t="n">
        <x:f>IF(A6="","",--(COUNTIFS($A$2:A6,A6,$F$2:F6,F6)=1))</x:f>
        <x:v>1</x:v>
      </x:c>
    </x:row>
    <x:row r="7">
      <x:c r="A7" s="18" t="str">
        <x:v>LEI-01-02-01</x:v>
      </x:c>
      <x:c r="B7" t="str">
        <x:v>Equipe LEI-003</x:v>
      </x:c>
      <x:c r="C7" t="str">
        <x:v>João Teixeira</x:v>
      </x:c>
      <x:c r="D7" t="str">
        <x:v>Base Recife/RMR</x:v>
      </x:c>
      <x:c r="E7" t="str">
        <x:v>Cabo de Santo Agostinho</x:v>
      </x:c>
      <x:c r="F7" t="str">
        <x:v>Recife/RMR</x:v>
      </x:c>
      <x:c r="G7" t="str">
        <x:v>MR04</x:v>
      </x:c>
      <x:c r="H7" t="str">
        <x:v>Cabo de Santo Agostinho</x:v>
      </x:c>
      <x:c r="I7" t="str">
        <x:v>Equipe Simples</x:v>
      </x:c>
      <x:c r="J7" t="str">
        <x:v>Leitura / Entrega de Conta</x:v>
      </x:c>
      <x:c r="K7" t="str">
        <x:v>Em contratação</x:v>
      </x:c>
      <x:c r="L7" t="str">
        <x:v>Leitura</x:v>
      </x:c>
      <x:c r="M7" t="str">
        <x:v>Sim</x:v>
      </x:c>
      <x:c r="N7" t="str">
        <x:v>DADO FICTÍCIO – teste do painel; ID repetido em outra microrrota</x:v>
      </x:c>
      <x:c r="O7" s="15" t="n">
        <x:f>IF(A7="","",--(COUNTIF($A$2:A7,A7)=1))</x:f>
        <x:v>0</x:v>
      </x:c>
      <x:c r="P7" s="15" t="n">
        <x:f>IF(A7="","",--(COUNTIFS($A$2:A7,A7,$F$2:F7,F7)=1))</x:f>
        <x:v>0</x:v>
      </x:c>
    </x:row>
    <x:row r="8">
      <x:c r="A8" s="18" t="str">
        <x:v>LEI-01-02-02</x:v>
      </x:c>
      <x:c r="B8" t="str">
        <x:v>Equipe LEI-004</x:v>
      </x:c>
      <x:c r="C8" t="str">
        <x:v>Paulo Almeida</x:v>
      </x:c>
      <x:c r="D8" t="str">
        <x:v>Base Recife/RMR</x:v>
      </x:c>
      <x:c r="E8" t="str">
        <x:v>Cabo de Santo Agostinho</x:v>
      </x:c>
      <x:c r="F8" t="str">
        <x:v>Recife/RMR</x:v>
      </x:c>
      <x:c r="G8" t="str">
        <x:v>MR04</x:v>
      </x:c>
      <x:c r="H8" t="str">
        <x:v>Cabo de Santo Agostinho</x:v>
      </x:c>
      <x:c r="I8" t="str">
        <x:v>Equipe Dupla</x:v>
      </x:c>
      <x:c r="J8" t="str">
        <x:v>Leitura / Entrega de Conta</x:v>
      </x:c>
      <x:c r="K8" t="str">
        <x:v>Em contratação</x:v>
      </x:c>
      <x:c r="L8" t="str">
        <x:v>Leitura</x:v>
      </x:c>
      <x:c r="M8" t="str">
        <x:v>Não</x:v>
      </x:c>
      <x:c r="N8" t="str">
        <x:v>DADO FICTÍCIO – teste do painel; ID repetido em outra microrrota</x:v>
      </x:c>
      <x:c r="O8" s="15" t="n">
        <x:f>IF(A8="","",--(COUNTIF($A$2:A8,A8)=1))</x:f>
        <x:v>1</x:v>
      </x:c>
      <x:c r="P8" s="15" t="n">
        <x:f>IF(A8="","",--(COUNTIFS($A$2:A8,A8,$F$2:F8,F8)=1))</x:f>
        <x:v>1</x:v>
      </x:c>
    </x:row>
    <x:row r="9">
      <x:c r="A9" s="18" t="str">
        <x:v>LEI-01-02-02</x:v>
      </x:c>
      <x:c r="B9" t="str">
        <x:v>Equipe LEI-004</x:v>
      </x:c>
      <x:c r="C9" t="str">
        <x:v>Paulo Almeida</x:v>
      </x:c>
      <x:c r="D9" t="str">
        <x:v>Base Recife/RMR</x:v>
      </x:c>
      <x:c r="E9" t="str">
        <x:v>Itapissuma</x:v>
      </x:c>
      <x:c r="F9" t="str">
        <x:v>Recife/RMR</x:v>
      </x:c>
      <x:c r="G9" t="str">
        <x:v>MR01</x:v>
      </x:c>
      <x:c r="H9" t="str">
        <x:v>Itapissuma</x:v>
      </x:c>
      <x:c r="I9" t="str">
        <x:v>Equipe Dupla</x:v>
      </x:c>
      <x:c r="J9" t="str">
        <x:v>Leitura / Entrega de Conta</x:v>
      </x:c>
      <x:c r="K9" t="str">
        <x:v>Em contratação</x:v>
      </x:c>
      <x:c r="L9" t="str">
        <x:v>Leitura</x:v>
      </x:c>
      <x:c r="M9" t="str">
        <x:v>Não</x:v>
      </x:c>
      <x:c r="N9" t="str">
        <x:v>DADO FICTÍCIO – teste do painel; ID repetido em outra microrrota</x:v>
      </x:c>
      <x:c r="O9" s="15" t="n">
        <x:f>IF(A9="","",--(COUNTIF($A$2:A9,A9)=1))</x:f>
        <x:v>0</x:v>
      </x:c>
      <x:c r="P9" s="15" t="n">
        <x:f>IF(A9="","",--(COUNTIFS($A$2:A9,A9,$F$2:F9,F9)=1))</x:f>
        <x:v>0</x:v>
      </x:c>
    </x:row>
    <x:row r="10">
      <x:c r="A10" s="18" t="str">
        <x:v>LEI-01-03-01</x:v>
      </x:c>
      <x:c r="B10" t="str">
        <x:v>Equipe LEI-005</x:v>
      </x:c>
      <x:c r="C10" t="str">
        <x:v>Thiago Gomes</x:v>
      </x:c>
      <x:c r="D10" t="str">
        <x:v>Base Recife/RMR</x:v>
      </x:c>
      <x:c r="E10" t="str">
        <x:v>Itapissuma</x:v>
      </x:c>
      <x:c r="F10" t="str">
        <x:v>Recife/RMR</x:v>
      </x:c>
      <x:c r="G10" t="str">
        <x:v>MR01</x:v>
      </x:c>
      <x:c r="H10" t="str">
        <x:v>Itapissuma</x:v>
      </x:c>
      <x:c r="I10" t="str">
        <x:v>Equipe Dupla</x:v>
      </x:c>
      <x:c r="J10" t="str">
        <x:v>Leitura / Entrega de Conta</x:v>
      </x:c>
      <x:c r="K10" t="str">
        <x:v>Contratada</x:v>
      </x:c>
      <x:c r="L10" t="str">
        <x:v>Leitura</x:v>
      </x:c>
      <x:c r="M10" t="str">
        <x:v>Sim</x:v>
      </x:c>
      <x:c r="N10" t="str">
        <x:v>DADO FICTÍCIO – teste do painel; ID repetido em outra microrrota</x:v>
      </x:c>
      <x:c r="O10" s="15" t="n">
        <x:f>IF(A10="","",--(COUNTIF($A$2:A10,A10)=1))</x:f>
        <x:v>1</x:v>
      </x:c>
      <x:c r="P10" s="15" t="n">
        <x:f>IF(A10="","",--(COUNTIFS($A$2:A10,A10,$F$2:F10,F10)=1))</x:f>
        <x:v>1</x:v>
      </x:c>
    </x:row>
    <x:row r="11">
      <x:c r="A11" s="18" t="str">
        <x:v>LEI-01-03-01</x:v>
      </x:c>
      <x:c r="B11" t="str">
        <x:v>Equipe LEI-005</x:v>
      </x:c>
      <x:c r="C11" t="str">
        <x:v>Thiago Gomes</x:v>
      </x:c>
      <x:c r="D11" t="str">
        <x:v>Base Recife/RMR</x:v>
      </x:c>
      <x:c r="E11" t="str">
        <x:v>Paulista</x:v>
      </x:c>
      <x:c r="F11" t="str">
        <x:v>Recife/RMR</x:v>
      </x:c>
      <x:c r="G11" t="str">
        <x:v>MR02</x:v>
      </x:c>
      <x:c r="H11" t="str">
        <x:v>Paulista</x:v>
      </x:c>
      <x:c r="I11" t="str">
        <x:v>Equipe Dupla</x:v>
      </x:c>
      <x:c r="J11" t="str">
        <x:v>Leitura / Entrega de Conta</x:v>
      </x:c>
      <x:c r="K11" t="str">
        <x:v>Contratada</x:v>
      </x:c>
      <x:c r="L11" t="str">
        <x:v>Leitura</x:v>
      </x:c>
      <x:c r="M11" t="str">
        <x:v>Sim</x:v>
      </x:c>
      <x:c r="N11" t="str">
        <x:v>DADO FICTÍCIO – teste do painel; ID repetido em outra microrrota</x:v>
      </x:c>
      <x:c r="O11" s="15" t="n">
        <x:f>IF(A11="","",--(COUNTIF($A$2:A11,A11)=1))</x:f>
        <x:v>0</x:v>
      </x:c>
      <x:c r="P11" s="15" t="n">
        <x:f>IF(A11="","",--(COUNTIFS($A$2:A11,A11,$F$2:F11,F11)=1))</x:f>
        <x:v>0</x:v>
      </x:c>
    </x:row>
    <x:row r="12">
      <x:c r="A12" s="18" t="str">
        <x:v>LEI-01-03-02</x:v>
      </x:c>
      <x:c r="B12" t="str">
        <x:v>Equipe LEI-006</x:v>
      </x:c>
      <x:c r="C12" t="str">
        <x:v>Alex Pereira</x:v>
      </x:c>
      <x:c r="D12" t="str">
        <x:v>Base Recife/RMR</x:v>
      </x:c>
      <x:c r="E12" t="str">
        <x:v>Paulista</x:v>
      </x:c>
      <x:c r="F12" t="str">
        <x:v>Recife/RMR</x:v>
      </x:c>
      <x:c r="G12" t="str">
        <x:v>MR02</x:v>
      </x:c>
      <x:c r="H12" t="str">
        <x:v>Paulista</x:v>
      </x:c>
      <x:c r="I12" t="str">
        <x:v>Equipe Simples</x:v>
      </x:c>
      <x:c r="J12" t="str">
        <x:v>Leitura / Entrega de Conta</x:v>
      </x:c>
      <x:c r="K12" t="str">
        <x:v>Contratada</x:v>
      </x:c>
      <x:c r="L12" t="str">
        <x:v>Leitura</x:v>
      </x:c>
      <x:c r="M12" t="str">
        <x:v>Sim</x:v>
      </x:c>
      <x:c r="N12" t="str">
        <x:v>DADO FICTÍCIO – teste do painel; ID repetido em outra microrrota</x:v>
      </x:c>
      <x:c r="O12" s="15" t="n">
        <x:f>IF(A12="","",--(COUNTIF($A$2:A12,A12)=1))</x:f>
        <x:v>1</x:v>
      </x:c>
      <x:c r="P12" s="15" t="n">
        <x:f>IF(A12="","",--(COUNTIFS($A$2:A12,A12,$F$2:F12,F12)=1))</x:f>
        <x:v>1</x:v>
      </x:c>
    </x:row>
    <x:row r="13">
      <x:c r="A13" s="18" t="str">
        <x:v>LEI-01-03-02</x:v>
      </x:c>
      <x:c r="B13" t="str">
        <x:v>Equipe LEI-006</x:v>
      </x:c>
      <x:c r="C13" t="str">
        <x:v>Alex Pereira</x:v>
      </x:c>
      <x:c r="D13" t="str">
        <x:v>Base Recife/RMR</x:v>
      </x:c>
      <x:c r="E13" t="str">
        <x:v>Camaragibe</x:v>
      </x:c>
      <x:c r="F13" t="str">
        <x:v>Recife/RMR</x:v>
      </x:c>
      <x:c r="G13" t="str">
        <x:v>MR03</x:v>
      </x:c>
      <x:c r="H13" t="str">
        <x:v>Camaragibe</x:v>
      </x:c>
      <x:c r="I13" t="str">
        <x:v>Equipe Simples</x:v>
      </x:c>
      <x:c r="J13" t="str">
        <x:v>Leitura / Entrega de Conta</x:v>
      </x:c>
      <x:c r="K13" t="str">
        <x:v>Contratada</x:v>
      </x:c>
      <x:c r="L13" t="str">
        <x:v>Leitura</x:v>
      </x:c>
      <x:c r="M13" t="str">
        <x:v>Sim</x:v>
      </x:c>
      <x:c r="N13" t="str">
        <x:v>DADO FICTÍCIO – teste do painel; ID repetido em outra microrrota</x:v>
      </x:c>
      <x:c r="O13" s="15" t="n">
        <x:f>IF(A13="","",--(COUNTIF($A$2:A13,A13)=1))</x:f>
        <x:v>0</x:v>
      </x:c>
      <x:c r="P13" s="15" t="n">
        <x:f>IF(A13="","",--(COUNTIFS($A$2:A13,A13,$F$2:F13,F13)=1))</x:f>
        <x:v>0</x:v>
      </x:c>
    </x:row>
    <x:row r="14">
      <x:c r="A14" s="18" t="str">
        <x:v>LEI-01-04-01</x:v>
      </x:c>
      <x:c r="B14" t="str">
        <x:v>Equipe LEI-007</x:v>
      </x:c>
      <x:c r="C14" t="str">
        <x:v>Bruno Teixeira</x:v>
      </x:c>
      <x:c r="D14" t="str">
        <x:v>Base Recife/RMR</x:v>
      </x:c>
      <x:c r="E14" t="str">
        <x:v>Camaragibe</x:v>
      </x:c>
      <x:c r="F14" t="str">
        <x:v>Recife/RMR</x:v>
      </x:c>
      <x:c r="G14" t="str">
        <x:v>MR03</x:v>
      </x:c>
      <x:c r="H14" t="str">
        <x:v>Camaragibe</x:v>
      </x:c>
      <x:c r="I14" t="str">
        <x:v>Equipe Simples</x:v>
      </x:c>
      <x:c r="J14" t="str">
        <x:v>Leitura / Entrega de Conta</x:v>
      </x:c>
      <x:c r="K14" t="str">
        <x:v>Mobilizada</x:v>
      </x:c>
      <x:c r="L14" t="str">
        <x:v>Leitura</x:v>
      </x:c>
      <x:c r="M14" t="str">
        <x:v>Sim</x:v>
      </x:c>
      <x:c r="N14" t="str">
        <x:v>DADO FICTÍCIO – teste do painel; ID repetido em outra microrrota</x:v>
      </x:c>
      <x:c r="O14" s="15" t="n">
        <x:f>IF(A14="","",--(COUNTIF($A$2:A14,A14)=1))</x:f>
        <x:v>1</x:v>
      </x:c>
      <x:c r="P14" s="15" t="n">
        <x:f>IF(A14="","",--(COUNTIFS($A$2:A14,A14,$F$2:F14,F14)=1))</x:f>
        <x:v>1</x:v>
      </x:c>
    </x:row>
    <x:row r="15">
      <x:c r="A15" s="18" t="str">
        <x:v>LEI-01-04-01</x:v>
      </x:c>
      <x:c r="B15" t="str">
        <x:v>Equipe LEI-007</x:v>
      </x:c>
      <x:c r="C15" t="str">
        <x:v>Bruno Teixeira</x:v>
      </x:c>
      <x:c r="D15" t="str">
        <x:v>Base Recife/RMR</x:v>
      </x:c>
      <x:c r="E15" t="str">
        <x:v>Cabo de Santo Agostinho</x:v>
      </x:c>
      <x:c r="F15" t="str">
        <x:v>Recife/RMR</x:v>
      </x:c>
      <x:c r="G15" t="str">
        <x:v>MR04</x:v>
      </x:c>
      <x:c r="H15" t="str">
        <x:v>Cabo de Santo Agostinho</x:v>
      </x:c>
      <x:c r="I15" t="str">
        <x:v>Equipe Simples</x:v>
      </x:c>
      <x:c r="J15" t="str">
        <x:v>Leitura / Entrega de Conta</x:v>
      </x:c>
      <x:c r="K15" t="str">
        <x:v>Mobilizada</x:v>
      </x:c>
      <x:c r="L15" t="str">
        <x:v>Leitura</x:v>
      </x:c>
      <x:c r="M15" t="str">
        <x:v>Sim</x:v>
      </x:c>
      <x:c r="N15" t="str">
        <x:v>DADO FICTÍCIO – teste do painel; ID repetido em outra microrrota</x:v>
      </x:c>
      <x:c r="O15" s="15" t="n">
        <x:f>IF(A15="","",--(COUNTIF($A$2:A15,A15)=1))</x:f>
        <x:v>0</x:v>
      </x:c>
      <x:c r="P15" s="15" t="n">
        <x:f>IF(A15="","",--(COUNTIFS($A$2:A15,A15,$F$2:F15,F15)=1))</x:f>
        <x:v>0</x:v>
      </x:c>
    </x:row>
    <x:row r="16">
      <x:c r="A16" s="18" t="str">
        <x:v>LEI-01-04-02</x:v>
      </x:c>
      <x:c r="B16" t="str">
        <x:v>Equipe LEI-008</x:v>
      </x:c>
      <x:c r="C16" t="str">
        <x:v>Eduardo Almeida</x:v>
      </x:c>
      <x:c r="D16" t="str">
        <x:v>Base Recife/RMR</x:v>
      </x:c>
      <x:c r="E16" t="str">
        <x:v>Cabo de Santo Agostinho</x:v>
      </x:c>
      <x:c r="F16" t="str">
        <x:v>Recife/RMR</x:v>
      </x:c>
      <x:c r="G16" t="str">
        <x:v>MR04</x:v>
      </x:c>
      <x:c r="H16" t="str">
        <x:v>Cabo de Santo Agostinho</x:v>
      </x:c>
      <x:c r="I16" t="str">
        <x:v>Equipe Dupla</x:v>
      </x:c>
      <x:c r="J16" t="str">
        <x:v>Leitura / Entrega de Conta</x:v>
      </x:c>
      <x:c r="K16" t="str">
        <x:v>Mobilizada</x:v>
      </x:c>
      <x:c r="L16" t="str">
        <x:v>Leitura</x:v>
      </x:c>
      <x:c r="M16" t="str">
        <x:v>Sim</x:v>
      </x:c>
      <x:c r="N16" t="str">
        <x:v>DADO FICTÍCIO – teste do painel; ID repetido em outra microrrota</x:v>
      </x:c>
      <x:c r="O16" s="15" t="n">
        <x:f>IF(A16="","",--(COUNTIF($A$2:A16,A16)=1))</x:f>
        <x:v>1</x:v>
      </x:c>
      <x:c r="P16" s="15" t="n">
        <x:f>IF(A16="","",--(COUNTIFS($A$2:A16,A16,$F$2:F16,F16)=1))</x:f>
        <x:v>1</x:v>
      </x:c>
    </x:row>
    <x:row r="17">
      <x:c r="A17" s="18" t="str">
        <x:v>LEI-01-04-02</x:v>
      </x:c>
      <x:c r="B17" t="str">
        <x:v>Equipe LEI-008</x:v>
      </x:c>
      <x:c r="C17" t="str">
        <x:v>Eduardo Almeida</x:v>
      </x:c>
      <x:c r="D17" t="str">
        <x:v>Base Recife/RMR</x:v>
      </x:c>
      <x:c r="E17" t="str">
        <x:v>Itapissuma</x:v>
      </x:c>
      <x:c r="F17" t="str">
        <x:v>Recife/RMR</x:v>
      </x:c>
      <x:c r="G17" t="str">
        <x:v>MR01</x:v>
      </x:c>
      <x:c r="H17" t="str">
        <x:v>Itapissuma</x:v>
      </x:c>
      <x:c r="I17" t="str">
        <x:v>Equipe Dupla</x:v>
      </x:c>
      <x:c r="J17" t="str">
        <x:v>Leitura / Entrega de Conta</x:v>
      </x:c>
      <x:c r="K17" t="str">
        <x:v>Mobilizada</x:v>
      </x:c>
      <x:c r="L17" t="str">
        <x:v>Leitura</x:v>
      </x:c>
      <x:c r="M17" t="str">
        <x:v>Sim</x:v>
      </x:c>
      <x:c r="N17" t="str">
        <x:v>DADO FICTÍCIO – teste do painel; ID repetido em outra microrrota</x:v>
      </x:c>
      <x:c r="O17" s="15" t="n">
        <x:f>IF(A17="","",--(COUNTIF($A$2:A17,A17)=1))</x:f>
        <x:v>0</x:v>
      </x:c>
      <x:c r="P17" s="15" t="n">
        <x:f>IF(A17="","",--(COUNTIFS($A$2:A17,A17,$F$2:F17,F17)=1))</x:f>
        <x:v>0</x:v>
      </x:c>
    </x:row>
    <x:row r="18">
      <x:c r="A18" s="18" t="str">
        <x:v>LEI-02-01-01</x:v>
      </x:c>
      <x:c r="B18" t="str">
        <x:v>Equipe LEI-009</x:v>
      </x:c>
      <x:c r="C18" t="str">
        <x:v>Henrique Gomes</x:v>
      </x:c>
      <x:c r="D18" t="str">
        <x:v>Base Carpina</x:v>
      </x:c>
      <x:c r="E18" t="str">
        <x:v>João Alfredo</x:v>
      </x:c>
      <x:c r="F18" t="str">
        <x:v>Carpina</x:v>
      </x:c>
      <x:c r="G18" t="str">
        <x:v>MR03</x:v>
      </x:c>
      <x:c r="H18" t="str">
        <x:v>João Alfredo</x:v>
      </x:c>
      <x:c r="I18" t="str">
        <x:v>Equipe Dupla</x:v>
      </x:c>
      <x:c r="J18" t="str">
        <x:v>Leitura / Entrega de Conta</x:v>
      </x:c>
      <x:c r="K18" t="str">
        <x:v>Em recrutamento</x:v>
      </x:c>
      <x:c r="L18" t="str">
        <x:v>Leitura</x:v>
      </x:c>
      <x:c r="M18" t="str">
        <x:v>Sim</x:v>
      </x:c>
      <x:c r="N18" t="str">
        <x:v>DADO FICTÍCIO – teste do painel; ID repetido em outra microrrota</x:v>
      </x:c>
      <x:c r="O18" s="15" t="n">
        <x:f>IF(A18="","",--(COUNTIF($A$2:A18,A18)=1))</x:f>
        <x:v>1</x:v>
      </x:c>
      <x:c r="P18" s="15" t="n">
        <x:f>IF(A18="","",--(COUNTIFS($A$2:A18,A18,$F$2:F18,F18)=1))</x:f>
        <x:v>1</x:v>
      </x:c>
    </x:row>
    <x:row r="19">
      <x:c r="A19" s="18" t="str">
        <x:v>LEI-02-01-01</x:v>
      </x:c>
      <x:c r="B19" t="str">
        <x:v>Equipe LEI-009</x:v>
      </x:c>
      <x:c r="C19" t="str">
        <x:v>Henrique Gomes</x:v>
      </x:c>
      <x:c r="D19" t="str">
        <x:v>Base Carpina</x:v>
      </x:c>
      <x:c r="E19" t="str">
        <x:v>Buenos Aires</x:v>
      </x:c>
      <x:c r="F19" t="str">
        <x:v>Carpina</x:v>
      </x:c>
      <x:c r="G19" t="str">
        <x:v>MR04</x:v>
      </x:c>
      <x:c r="H19" t="str">
        <x:v>Buenos Aires</x:v>
      </x:c>
      <x:c r="I19" t="str">
        <x:v>Equipe Dupla</x:v>
      </x:c>
      <x:c r="J19" t="str">
        <x:v>Leitura / Entrega de Conta</x:v>
      </x:c>
      <x:c r="K19" t="str">
        <x:v>Em recrutamento</x:v>
      </x:c>
      <x:c r="L19" t="str">
        <x:v>Leitura</x:v>
      </x:c>
      <x:c r="M19" t="str">
        <x:v>Sim</x:v>
      </x:c>
      <x:c r="N19" t="str">
        <x:v>DADO FICTÍCIO – teste do painel; ID repetido em outra microrrota</x:v>
      </x:c>
      <x:c r="O19" s="15" t="n">
        <x:f>IF(A19="","",--(COUNTIF($A$2:A19,A19)=1))</x:f>
        <x:v>0</x:v>
      </x:c>
      <x:c r="P19" s="15" t="n">
        <x:f>IF(A19="","",--(COUNTIFS($A$2:A19,A19,$F$2:F19,F19)=1))</x:f>
        <x:v>0</x:v>
      </x:c>
    </x:row>
    <x:row r="20">
      <x:c r="A20" s="18" t="str">
        <x:v>LEI-02-01-02</x:v>
      </x:c>
      <x:c r="B20" t="str">
        <x:v>Equipe LEI-010</x:v>
      </x:c>
      <x:c r="C20" t="str">
        <x:v>Lucas Pereira</x:v>
      </x:c>
      <x:c r="D20" t="str">
        <x:v>Base Carpina</x:v>
      </x:c>
      <x:c r="E20" t="str">
        <x:v>Buenos Aires</x:v>
      </x:c>
      <x:c r="F20" t="str">
        <x:v>Carpina</x:v>
      </x:c>
      <x:c r="G20" t="str">
        <x:v>MR04</x:v>
      </x:c>
      <x:c r="H20" t="str">
        <x:v>Buenos Aires</x:v>
      </x:c>
      <x:c r="I20" t="str">
        <x:v>Equipe Simples</x:v>
      </x:c>
      <x:c r="J20" t="str">
        <x:v>Leitura / Entrega de Conta</x:v>
      </x:c>
      <x:c r="K20" t="str">
        <x:v>Em recrutamento</x:v>
      </x:c>
      <x:c r="L20" t="str">
        <x:v>Leitura</x:v>
      </x:c>
      <x:c r="M20" t="str">
        <x:v>Não</x:v>
      </x:c>
      <x:c r="N20" t="str">
        <x:v>DADO FICTÍCIO – teste do painel; ID repetido em outra microrrota</x:v>
      </x:c>
      <x:c r="O20" s="15" t="n">
        <x:f>IF(A20="","",--(COUNTIF($A$2:A20,A20)=1))</x:f>
        <x:v>1</x:v>
      </x:c>
      <x:c r="P20" s="15" t="n">
        <x:f>IF(A20="","",--(COUNTIFS($A$2:A20,A20,$F$2:F20,F20)=1))</x:f>
        <x:v>1</x:v>
      </x:c>
    </x:row>
    <x:row r="21">
      <x:c r="A21" s="18" t="str">
        <x:v>LEI-02-01-02</x:v>
      </x:c>
      <x:c r="B21" t="str">
        <x:v>Equipe LEI-010</x:v>
      </x:c>
      <x:c r="C21" t="str">
        <x:v>Lucas Pereira</x:v>
      </x:c>
      <x:c r="D21" t="str">
        <x:v>Base Carpina</x:v>
      </x:c>
      <x:c r="E21" t="str">
        <x:v>Condado</x:v>
      </x:c>
      <x:c r="F21" t="str">
        <x:v>Carpina</x:v>
      </x:c>
      <x:c r="G21" t="str">
        <x:v>MR05</x:v>
      </x:c>
      <x:c r="H21" t="str">
        <x:v>Condado</x:v>
      </x:c>
      <x:c r="I21" t="str">
        <x:v>Equipe Simples</x:v>
      </x:c>
      <x:c r="J21" t="str">
        <x:v>Leitura / Entrega de Conta</x:v>
      </x:c>
      <x:c r="K21" t="str">
        <x:v>Em recrutamento</x:v>
      </x:c>
      <x:c r="L21" t="str">
        <x:v>Leitura</x:v>
      </x:c>
      <x:c r="M21" t="str">
        <x:v>Não</x:v>
      </x:c>
      <x:c r="N21" t="str">
        <x:v>DADO FICTÍCIO – teste do painel; ID repetido em outra microrrota</x:v>
      </x:c>
      <x:c r="O21" s="15" t="n">
        <x:f>IF(A21="","",--(COUNTIF($A$2:A21,A21)=1))</x:f>
        <x:v>0</x:v>
      </x:c>
      <x:c r="P21" s="15" t="n">
        <x:f>IF(A21="","",--(COUNTIFS($A$2:A21,A21,$F$2:F21,F21)=1))</x:f>
        <x:v>0</x:v>
      </x:c>
    </x:row>
    <x:row r="22">
      <x:c r="A22" s="18" t="str">
        <x:v>LEI-02-02-01</x:v>
      </x:c>
      <x:c r="B22" t="str">
        <x:v>Equipe LEI-011</x:v>
      </x:c>
      <x:c r="C22" t="str">
        <x:v>Rafael Teixeira</x:v>
      </x:c>
      <x:c r="D22" t="str">
        <x:v>Base Carpina</x:v>
      </x:c>
      <x:c r="E22" t="str">
        <x:v>Condado</x:v>
      </x:c>
      <x:c r="F22" t="str">
        <x:v>Carpina</x:v>
      </x:c>
      <x:c r="G22" t="str">
        <x:v>MR05</x:v>
      </x:c>
      <x:c r="H22" t="str">
        <x:v>Condado</x:v>
      </x:c>
      <x:c r="I22" t="str">
        <x:v>Equipe Simples</x:v>
      </x:c>
      <x:c r="J22" t="str">
        <x:v>Leitura / Entrega de Conta</x:v>
      </x:c>
      <x:c r="K22" t="str">
        <x:v>Em contratação</x:v>
      </x:c>
      <x:c r="L22" t="str">
        <x:v>Leitura</x:v>
      </x:c>
      <x:c r="M22" t="str">
        <x:v>Sim</x:v>
      </x:c>
      <x:c r="N22" t="str">
        <x:v>DADO FICTÍCIO – teste do painel; ID repetido em outra microrrota</x:v>
      </x:c>
      <x:c r="O22" s="15" t="n">
        <x:f>IF(A22="","",--(COUNTIF($A$2:A22,A22)=1))</x:f>
        <x:v>1</x:v>
      </x:c>
      <x:c r="P22" s="15" t="n">
        <x:f>IF(A22="","",--(COUNTIFS($A$2:A22,A22,$F$2:F22,F22)=1))</x:f>
        <x:v>1</x:v>
      </x:c>
    </x:row>
    <x:row r="23">
      <x:c r="A23" s="18" t="str">
        <x:v>LEI-02-02-01</x:v>
      </x:c>
      <x:c r="B23" t="str">
        <x:v>Equipe LEI-011</x:v>
      </x:c>
      <x:c r="C23" t="str">
        <x:v>Rafael Teixeira</x:v>
      </x:c>
      <x:c r="D23" t="str">
        <x:v>Base Carpina</x:v>
      </x:c>
      <x:c r="E23" t="str">
        <x:v>Timbaúba</x:v>
      </x:c>
      <x:c r="F23" t="str">
        <x:v>Carpina</x:v>
      </x:c>
      <x:c r="G23" t="str">
        <x:v>MR06</x:v>
      </x:c>
      <x:c r="H23" t="str">
        <x:v>Timbaúba</x:v>
      </x:c>
      <x:c r="I23" t="str">
        <x:v>Equipe Simples</x:v>
      </x:c>
      <x:c r="J23" t="str">
        <x:v>Leitura / Entrega de Conta</x:v>
      </x:c>
      <x:c r="K23" t="str">
        <x:v>Em contratação</x:v>
      </x:c>
      <x:c r="L23" t="str">
        <x:v>Leitura</x:v>
      </x:c>
      <x:c r="M23" t="str">
        <x:v>Sim</x:v>
      </x:c>
      <x:c r="N23" t="str">
        <x:v>DADO FICTÍCIO – teste do painel; ID repetido em outra microrrota</x:v>
      </x:c>
      <x:c r="O23" s="15" t="n">
        <x:f>IF(A23="","",--(COUNTIF($A$2:A23,A23)=1))</x:f>
        <x:v>0</x:v>
      </x:c>
      <x:c r="P23" s="15" t="n">
        <x:f>IF(A23="","",--(COUNTIFS($A$2:A23,A23,$F$2:F23,F23)=1))</x:f>
        <x:v>0</x:v>
      </x:c>
    </x:row>
    <x:row r="24">
      <x:c r="A24" s="18" t="str">
        <x:v>LEI-02-02-02</x:v>
      </x:c>
      <x:c r="B24" t="str">
        <x:v>Equipe LEI-012</x:v>
      </x:c>
      <x:c r="C24" t="str">
        <x:v>Vinícius Almeida</x:v>
      </x:c>
      <x:c r="D24" t="str">
        <x:v>Base Carpina</x:v>
      </x:c>
      <x:c r="E24" t="str">
        <x:v>Timbaúba</x:v>
      </x:c>
      <x:c r="F24" t="str">
        <x:v>Carpina</x:v>
      </x:c>
      <x:c r="G24" t="str">
        <x:v>MR06</x:v>
      </x:c>
      <x:c r="H24" t="str">
        <x:v>Timbaúba</x:v>
      </x:c>
      <x:c r="I24" t="str">
        <x:v>Equipe Dupla</x:v>
      </x:c>
      <x:c r="J24" t="str">
        <x:v>Leitura / Entrega de Conta</x:v>
      </x:c>
      <x:c r="K24" t="str">
        <x:v>Em contratação</x:v>
      </x:c>
      <x:c r="L24" t="str">
        <x:v>Leitura</x:v>
      </x:c>
      <x:c r="M24" t="str">
        <x:v>Não</x:v>
      </x:c>
      <x:c r="N24" t="str">
        <x:v>DADO FICTÍCIO – teste do painel; ID repetido em outra microrrota</x:v>
      </x:c>
      <x:c r="O24" s="15" t="n">
        <x:f>IF(A24="","",--(COUNTIF($A$2:A24,A24)=1))</x:f>
        <x:v>1</x:v>
      </x:c>
      <x:c r="P24" s="15" t="n">
        <x:f>IF(A24="","",--(COUNTIFS($A$2:A24,A24,$F$2:F24,F24)=1))</x:f>
        <x:v>1</x:v>
      </x:c>
    </x:row>
    <x:row r="25">
      <x:c r="A25" s="18" t="str">
        <x:v>LEI-02-02-02</x:v>
      </x:c>
      <x:c r="B25" t="str">
        <x:v>Equipe LEI-012</x:v>
      </x:c>
      <x:c r="C25" t="str">
        <x:v>Vinícius Almeida</x:v>
      </x:c>
      <x:c r="D25" t="str">
        <x:v>Base Carpina</x:v>
      </x:c>
      <x:c r="E25" t="str">
        <x:v>Carpina</x:v>
      </x:c>
      <x:c r="F25" t="str">
        <x:v>Carpina</x:v>
      </x:c>
      <x:c r="G25" t="str">
        <x:v>MR01</x:v>
      </x:c>
      <x:c r="H25" t="str">
        <x:v>Carpina</x:v>
      </x:c>
      <x:c r="I25" t="str">
        <x:v>Equipe Dupla</x:v>
      </x:c>
      <x:c r="J25" t="str">
        <x:v>Leitura / Entrega de Conta</x:v>
      </x:c>
      <x:c r="K25" t="str">
        <x:v>Em contratação</x:v>
      </x:c>
      <x:c r="L25" t="str">
        <x:v>Leitura</x:v>
      </x:c>
      <x:c r="M25" t="str">
        <x:v>Não</x:v>
      </x:c>
      <x:c r="N25" t="str">
        <x:v>DADO FICTÍCIO – teste do painel; ID repetido em outra microrrota</x:v>
      </x:c>
      <x:c r="O25" s="15" t="n">
        <x:f>IF(A25="","",--(COUNTIF($A$2:A25,A25)=1))</x:f>
        <x:v>0</x:v>
      </x:c>
      <x:c r="P25" s="15" t="n">
        <x:f>IF(A25="","",--(COUNTIFS($A$2:A25,A25,$F$2:F25,F25)=1))</x:f>
        <x:v>0</x:v>
      </x:c>
    </x:row>
    <x:row r="26">
      <x:c r="A26" s="18" t="str">
        <x:v>LEI-02-03-01</x:v>
      </x:c>
      <x:c r="B26" t="str">
        <x:v>Equipe LEI-013</x:v>
      </x:c>
      <x:c r="C26" t="str">
        <x:v>Diego Gomes</x:v>
      </x:c>
      <x:c r="D26" t="str">
        <x:v>Base Carpina</x:v>
      </x:c>
      <x:c r="E26" t="str">
        <x:v>Carpina</x:v>
      </x:c>
      <x:c r="F26" t="str">
        <x:v>Carpina</x:v>
      </x:c>
      <x:c r="G26" t="str">
        <x:v>MR01</x:v>
      </x:c>
      <x:c r="H26" t="str">
        <x:v>Carpina</x:v>
      </x:c>
      <x:c r="I26" t="str">
        <x:v>Equipe Dupla</x:v>
      </x:c>
      <x:c r="J26" t="str">
        <x:v>Leitura / Entrega de Conta</x:v>
      </x:c>
      <x:c r="K26" t="str">
        <x:v>Contratada</x:v>
      </x:c>
      <x:c r="L26" t="str">
        <x:v>Leitura</x:v>
      </x:c>
      <x:c r="M26" t="str">
        <x:v>Sim</x:v>
      </x:c>
      <x:c r="N26" t="str">
        <x:v>DADO FICTÍCIO – teste do painel; ID repetido em outra microrrota</x:v>
      </x:c>
      <x:c r="O26" s="15" t="n">
        <x:f>IF(A26="","",--(COUNTIF($A$2:A26,A26)=1))</x:f>
        <x:v>1</x:v>
      </x:c>
      <x:c r="P26" s="15" t="n">
        <x:f>IF(A26="","",--(COUNTIFS($A$2:A26,A26,$F$2:F26,F26)=1))</x:f>
        <x:v>1</x:v>
      </x:c>
    </x:row>
    <x:row r="27">
      <x:c r="A27" s="18" t="str">
        <x:v>LEI-02-03-01</x:v>
      </x:c>
      <x:c r="B27" t="str">
        <x:v>Equipe LEI-013</x:v>
      </x:c>
      <x:c r="C27" t="str">
        <x:v>Diego Gomes</x:v>
      </x:c>
      <x:c r="D27" t="str">
        <x:v>Base Carpina</x:v>
      </x:c>
      <x:c r="E27" t="str">
        <x:v>Chã de Alegria</x:v>
      </x:c>
      <x:c r="F27" t="str">
        <x:v>Carpina</x:v>
      </x:c>
      <x:c r="G27" t="str">
        <x:v>MR02</x:v>
      </x:c>
      <x:c r="H27" t="str">
        <x:v>Chã de Alegria</x:v>
      </x:c>
      <x:c r="I27" t="str">
        <x:v>Equipe Dupla</x:v>
      </x:c>
      <x:c r="J27" t="str">
        <x:v>Leitura / Entrega de Conta</x:v>
      </x:c>
      <x:c r="K27" t="str">
        <x:v>Contratada</x:v>
      </x:c>
      <x:c r="L27" t="str">
        <x:v>Leitura</x:v>
      </x:c>
      <x:c r="M27" t="str">
        <x:v>Sim</x:v>
      </x:c>
      <x:c r="N27" t="str">
        <x:v>DADO FICTÍCIO – teste do painel; ID repetido em outra microrrota</x:v>
      </x:c>
      <x:c r="O27" s="15" t="n">
        <x:f>IF(A27="","",--(COUNTIF($A$2:A27,A27)=1))</x:f>
        <x:v>0</x:v>
      </x:c>
      <x:c r="P27" s="15" t="n">
        <x:f>IF(A27="","",--(COUNTIFS($A$2:A27,A27,$F$2:F27,F27)=1))</x:f>
        <x:v>0</x:v>
      </x:c>
    </x:row>
    <x:row r="28">
      <x:c r="A28" s="18" t="str">
        <x:v>LEI-02-03-02</x:v>
      </x:c>
      <x:c r="B28" t="str">
        <x:v>Equipe LEI-014</x:v>
      </x:c>
      <x:c r="C28" t="str">
        <x:v>Carlos Pereira</x:v>
      </x:c>
      <x:c r="D28" t="str">
        <x:v>Base Carpina</x:v>
      </x:c>
      <x:c r="E28" t="str">
        <x:v>Chã de Alegria</x:v>
      </x:c>
      <x:c r="F28" t="str">
        <x:v>Carpina</x:v>
      </x:c>
      <x:c r="G28" t="str">
        <x:v>MR02</x:v>
      </x:c>
      <x:c r="H28" t="str">
        <x:v>Chã de Alegria</x:v>
      </x:c>
      <x:c r="I28" t="str">
        <x:v>Equipe Simples</x:v>
      </x:c>
      <x:c r="J28" t="str">
        <x:v>Leitura / Entrega de Conta</x:v>
      </x:c>
      <x:c r="K28" t="str">
        <x:v>Contratada</x:v>
      </x:c>
      <x:c r="L28" t="str">
        <x:v>Leitura</x:v>
      </x:c>
      <x:c r="M28" t="str">
        <x:v>Sim</x:v>
      </x:c>
      <x:c r="N28" t="str">
        <x:v>DADO FICTÍCIO – teste do painel; ID repetido em outra microrrota</x:v>
      </x:c>
      <x:c r="O28" s="15" t="n">
        <x:f>IF(A28="","",--(COUNTIF($A$2:A28,A28)=1))</x:f>
        <x:v>1</x:v>
      </x:c>
      <x:c r="P28" s="15" t="n">
        <x:f>IF(A28="","",--(COUNTIFS($A$2:A28,A28,$F$2:F28,F28)=1))</x:f>
        <x:v>1</x:v>
      </x:c>
    </x:row>
    <x:row r="29">
      <x:c r="A29" s="18" t="str">
        <x:v>LEI-02-03-02</x:v>
      </x:c>
      <x:c r="B29" t="str">
        <x:v>Equipe LEI-014</x:v>
      </x:c>
      <x:c r="C29" t="str">
        <x:v>Carlos Pereira</x:v>
      </x:c>
      <x:c r="D29" t="str">
        <x:v>Base Carpina</x:v>
      </x:c>
      <x:c r="E29" t="str">
        <x:v>João Alfredo</x:v>
      </x:c>
      <x:c r="F29" t="str">
        <x:v>Carpina</x:v>
      </x:c>
      <x:c r="G29" t="str">
        <x:v>MR03</x:v>
      </x:c>
      <x:c r="H29" t="str">
        <x:v>João Alfredo</x:v>
      </x:c>
      <x:c r="I29" t="str">
        <x:v>Equipe Simples</x:v>
      </x:c>
      <x:c r="J29" t="str">
        <x:v>Leitura / Entrega de Conta</x:v>
      </x:c>
      <x:c r="K29" t="str">
        <x:v>Contratada</x:v>
      </x:c>
      <x:c r="L29" t="str">
        <x:v>Leitura</x:v>
      </x:c>
      <x:c r="M29" t="str">
        <x:v>Sim</x:v>
      </x:c>
      <x:c r="N29" t="str">
        <x:v>DADO FICTÍCIO – teste do painel; ID repetido em outra microrrota</x:v>
      </x:c>
      <x:c r="O29" s="15" t="n">
        <x:f>IF(A29="","",--(COUNTIF($A$2:A29,A29)=1))</x:f>
        <x:v>0</x:v>
      </x:c>
      <x:c r="P29" s="15" t="n">
        <x:f>IF(A29="","",--(COUNTIFS($A$2:A29,A29,$F$2:F29,F29)=1))</x:f>
        <x:v>0</x:v>
      </x:c>
    </x:row>
    <x:row r="30">
      <x:c r="A30" s="18" t="str">
        <x:v>LEI-02-04-01</x:v>
      </x:c>
      <x:c r="B30" t="str">
        <x:v>Equipe LEI-015</x:v>
      </x:c>
      <x:c r="C30" t="str">
        <x:v>Felipe Teixeira</x:v>
      </x:c>
      <x:c r="D30" t="str">
        <x:v>Base Carpina</x:v>
      </x:c>
      <x:c r="E30" t="str">
        <x:v>João Alfredo</x:v>
      </x:c>
      <x:c r="F30" t="str">
        <x:v>Carpina</x:v>
      </x:c>
      <x:c r="G30" t="str">
        <x:v>MR03</x:v>
      </x:c>
      <x:c r="H30" t="str">
        <x:v>João Alfredo</x:v>
      </x:c>
      <x:c r="I30" t="str">
        <x:v>Equipe Simples</x:v>
      </x:c>
      <x:c r="J30" t="str">
        <x:v>Leitura / Entrega de Conta</x:v>
      </x:c>
      <x:c r="K30" t="str">
        <x:v>Mobilizada</x:v>
      </x:c>
      <x:c r="L30" t="str">
        <x:v>Leitura</x:v>
      </x:c>
      <x:c r="M30" t="str">
        <x:v>Sim</x:v>
      </x:c>
      <x:c r="N30" t="str">
        <x:v>DADO FICTÍCIO – teste do painel; ID repetido em outra microrrota</x:v>
      </x:c>
      <x:c r="O30" s="15" t="n">
        <x:f>IF(A30="","",--(COUNTIF($A$2:A30,A30)=1))</x:f>
        <x:v>1</x:v>
      </x:c>
      <x:c r="P30" s="15" t="n">
        <x:f>IF(A30="","",--(COUNTIFS($A$2:A30,A30,$F$2:F30,F30)=1))</x:f>
        <x:v>1</x:v>
      </x:c>
    </x:row>
    <x:row r="31">
      <x:c r="A31" s="18" t="str">
        <x:v>LEI-02-04-01</x:v>
      </x:c>
      <x:c r="B31" t="str">
        <x:v>Equipe LEI-015</x:v>
      </x:c>
      <x:c r="C31" t="str">
        <x:v>Felipe Teixeira</x:v>
      </x:c>
      <x:c r="D31" t="str">
        <x:v>Base Carpina</x:v>
      </x:c>
      <x:c r="E31" t="str">
        <x:v>Buenos Aires</x:v>
      </x:c>
      <x:c r="F31" t="str">
        <x:v>Carpina</x:v>
      </x:c>
      <x:c r="G31" t="str">
        <x:v>MR04</x:v>
      </x:c>
      <x:c r="H31" t="str">
        <x:v>Buenos Aires</x:v>
      </x:c>
      <x:c r="I31" t="str">
        <x:v>Equipe Simples</x:v>
      </x:c>
      <x:c r="J31" t="str">
        <x:v>Leitura / Entrega de Conta</x:v>
      </x:c>
      <x:c r="K31" t="str">
        <x:v>Mobilizada</x:v>
      </x:c>
      <x:c r="L31" t="str">
        <x:v>Leitura</x:v>
      </x:c>
      <x:c r="M31" t="str">
        <x:v>Sim</x:v>
      </x:c>
      <x:c r="N31" t="str">
        <x:v>DADO FICTÍCIO – teste do painel; ID repetido em outra microrrota</x:v>
      </x:c>
      <x:c r="O31" s="15" t="n">
        <x:f>IF(A31="","",--(COUNTIF($A$2:A31,A31)=1))</x:f>
        <x:v>0</x:v>
      </x:c>
      <x:c r="P31" s="15" t="n">
        <x:f>IF(A31="","",--(COUNTIFS($A$2:A31,A31,$F$2:F31,F31)=1))</x:f>
        <x:v>0</x:v>
      </x:c>
    </x:row>
    <x:row r="32">
      <x:c r="A32" s="18" t="str">
        <x:v>LEI-02-04-02</x:v>
      </x:c>
      <x:c r="B32" t="str">
        <x:v>Equipe LEI-016</x:v>
      </x:c>
      <x:c r="C32" t="str">
        <x:v>Igor Almeida</x:v>
      </x:c>
      <x:c r="D32" t="str">
        <x:v>Base Carpina</x:v>
      </x:c>
      <x:c r="E32" t="str">
        <x:v>Buenos Aires</x:v>
      </x:c>
      <x:c r="F32" t="str">
        <x:v>Carpina</x:v>
      </x:c>
      <x:c r="G32" t="str">
        <x:v>MR04</x:v>
      </x:c>
      <x:c r="H32" t="str">
        <x:v>Buenos Aires</x:v>
      </x:c>
      <x:c r="I32" t="str">
        <x:v>Equipe Dupla</x:v>
      </x:c>
      <x:c r="J32" t="str">
        <x:v>Leitura / Entrega de Conta</x:v>
      </x:c>
      <x:c r="K32" t="str">
        <x:v>Mobilizada</x:v>
      </x:c>
      <x:c r="L32" t="str">
        <x:v>Leitura</x:v>
      </x:c>
      <x:c r="M32" t="str">
        <x:v>Sim</x:v>
      </x:c>
      <x:c r="N32" t="str">
        <x:v>DADO FICTÍCIO – teste do painel; ID repetido em outra microrrota</x:v>
      </x:c>
      <x:c r="O32" s="15" t="n">
        <x:f>IF(A32="","",--(COUNTIF($A$2:A32,A32)=1))</x:f>
        <x:v>1</x:v>
      </x:c>
      <x:c r="P32" s="15" t="n">
        <x:f>IF(A32="","",--(COUNTIFS($A$2:A32,A32,$F$2:F32,F32)=1))</x:f>
        <x:v>1</x:v>
      </x:c>
    </x:row>
    <x:row r="33">
      <x:c r="A33" s="18" t="str">
        <x:v>LEI-02-04-02</x:v>
      </x:c>
      <x:c r="B33" t="str">
        <x:v>Equipe LEI-016</x:v>
      </x:c>
      <x:c r="C33" t="str">
        <x:v>Igor Almeida</x:v>
      </x:c>
      <x:c r="D33" t="str">
        <x:v>Base Carpina</x:v>
      </x:c>
      <x:c r="E33" t="str">
        <x:v>Condado</x:v>
      </x:c>
      <x:c r="F33" t="str">
        <x:v>Carpina</x:v>
      </x:c>
      <x:c r="G33" t="str">
        <x:v>MR05</x:v>
      </x:c>
      <x:c r="H33" t="str">
        <x:v>Condado</x:v>
      </x:c>
      <x:c r="I33" t="str">
        <x:v>Equipe Dupla</x:v>
      </x:c>
      <x:c r="J33" t="str">
        <x:v>Leitura / Entrega de Conta</x:v>
      </x:c>
      <x:c r="K33" t="str">
        <x:v>Mobilizada</x:v>
      </x:c>
      <x:c r="L33" t="str">
        <x:v>Leitura</x:v>
      </x:c>
      <x:c r="M33" t="str">
        <x:v>Sim</x:v>
      </x:c>
      <x:c r="N33" t="str">
        <x:v>DADO FICTÍCIO – teste do painel; ID repetido em outra microrrota</x:v>
      </x:c>
      <x:c r="O33" s="15" t="n">
        <x:f>IF(A33="","",--(COUNTIF($A$2:A33,A33)=1))</x:f>
        <x:v>0</x:v>
      </x:c>
      <x:c r="P33" s="15" t="n">
        <x:f>IF(A33="","",--(COUNTIFS($A$2:A33,A33,$F$2:F33,F33)=1))</x:f>
        <x:v>0</x:v>
      </x:c>
    </x:row>
    <x:row r="34">
      <x:c r="A34" s="18" t="str">
        <x:v>LEI-03-01-01</x:v>
      </x:c>
      <x:c r="B34" t="str">
        <x:v>Equipe LEI-017</x:v>
      </x:c>
      <x:c r="C34" t="str">
        <x:v>Marcos Gomes</x:v>
      </x:c>
      <x:c r="D34" t="str">
        <x:v>Base Vitória de Santo Antão</x:v>
      </x:c>
      <x:c r="E34" t="str">
        <x:v>Primavera</x:v>
      </x:c>
      <x:c r="F34" t="str">
        <x:v>Vitória de Santo Antão</x:v>
      </x:c>
      <x:c r="G34" t="str">
        <x:v>MR02</x:v>
      </x:c>
      <x:c r="H34" t="str">
        <x:v>Primavera</x:v>
      </x:c>
      <x:c r="I34" t="str">
        <x:v>Equipe Dupla</x:v>
      </x:c>
      <x:c r="J34" t="str">
        <x:v>Leitura / Entrega de Conta</x:v>
      </x:c>
      <x:c r="K34" t="str">
        <x:v>Em recrutamento</x:v>
      </x:c>
      <x:c r="L34" t="str">
        <x:v>Leitura</x:v>
      </x:c>
      <x:c r="M34" t="str">
        <x:v>Sim</x:v>
      </x:c>
      <x:c r="N34" t="str">
        <x:v>DADO FICTÍCIO – teste do painel; ID repetido em outra microrrota</x:v>
      </x:c>
      <x:c r="O34" s="15" t="n">
        <x:f>IF(A34="","",--(COUNTIF($A$2:A34,A34)=1))</x:f>
        <x:v>1</x:v>
      </x:c>
      <x:c r="P34" s="15" t="n">
        <x:f>IF(A34="","",--(COUNTIFS($A$2:A34,A34,$F$2:F34,F34)=1))</x:f>
        <x:v>1</x:v>
      </x:c>
    </x:row>
    <x:row r="35">
      <x:c r="A35" s="18" t="str">
        <x:v>LEI-03-01-01</x:v>
      </x:c>
      <x:c r="B35" t="str">
        <x:v>Equipe LEI-017</x:v>
      </x:c>
      <x:c r="C35" t="str">
        <x:v>Marcos Gomes</x:v>
      </x:c>
      <x:c r="D35" t="str">
        <x:v>Base Vitória de Santo Antão</x:v>
      </x:c>
      <x:c r="E35" t="str">
        <x:v>São José da Coroa Grande</x:v>
      </x:c>
      <x:c r="F35" t="str">
        <x:v>Vitória de Santo Antão</x:v>
      </x:c>
      <x:c r="G35" t="str">
        <x:v>MR03</x:v>
      </x:c>
      <x:c r="H35" t="str">
        <x:v>São José da Coroa Grande</x:v>
      </x:c>
      <x:c r="I35" t="str">
        <x:v>Equipe Dupla</x:v>
      </x:c>
      <x:c r="J35" t="str">
        <x:v>Leitura / Entrega de Conta</x:v>
      </x:c>
      <x:c r="K35" t="str">
        <x:v>Em recrutamento</x:v>
      </x:c>
      <x:c r="L35" t="str">
        <x:v>Leitura</x:v>
      </x:c>
      <x:c r="M35" t="str">
        <x:v>Sim</x:v>
      </x:c>
      <x:c r="N35" t="str">
        <x:v>DADO FICTÍCIO – teste do painel; ID repetido em outra microrrota</x:v>
      </x:c>
      <x:c r="O35" s="15" t="n">
        <x:f>IF(A35="","",--(COUNTIF($A$2:A35,A35)=1))</x:f>
        <x:v>0</x:v>
      </x:c>
      <x:c r="P35" s="15" t="n">
        <x:f>IF(A35="","",--(COUNTIFS($A$2:A35,A35,$F$2:F35,F35)=1))</x:f>
        <x:v>0</x:v>
      </x:c>
    </x:row>
    <x:row r="36">
      <x:c r="A36" s="18" t="str">
        <x:v>LEI-03-01-02</x:v>
      </x:c>
      <x:c r="B36" t="str">
        <x:v>Equipe LEI-018</x:v>
      </x:c>
      <x:c r="C36" t="str">
        <x:v>Renato Pereira</x:v>
      </x:c>
      <x:c r="D36" t="str">
        <x:v>Base Vitória de Santo Antão</x:v>
      </x:c>
      <x:c r="E36" t="str">
        <x:v>São José da Coroa Grande</x:v>
      </x:c>
      <x:c r="F36" t="str">
        <x:v>Vitória de Santo Antão</x:v>
      </x:c>
      <x:c r="G36" t="str">
        <x:v>MR03</x:v>
      </x:c>
      <x:c r="H36" t="str">
        <x:v>São José da Coroa Grande</x:v>
      </x:c>
      <x:c r="I36" t="str">
        <x:v>Equipe Simples</x:v>
      </x:c>
      <x:c r="J36" t="str">
        <x:v>Leitura / Entrega de Conta</x:v>
      </x:c>
      <x:c r="K36" t="str">
        <x:v>Em recrutamento</x:v>
      </x:c>
      <x:c r="L36" t="str">
        <x:v>Leitura</x:v>
      </x:c>
      <x:c r="M36" t="str">
        <x:v>Não</x:v>
      </x:c>
      <x:c r="N36" t="str">
        <x:v>DADO FICTÍCIO – teste do painel; ID repetido em outra microrrota</x:v>
      </x:c>
      <x:c r="O36" s="15" t="n">
        <x:f>IF(A36="","",--(COUNTIF($A$2:A36,A36)=1))</x:f>
        <x:v>1</x:v>
      </x:c>
      <x:c r="P36" s="15" t="n">
        <x:f>IF(A36="","",--(COUNTIFS($A$2:A36,A36,$F$2:F36,F36)=1))</x:f>
        <x:v>1</x:v>
      </x:c>
    </x:row>
    <x:row r="37">
      <x:c r="A37" s="18" t="str">
        <x:v>LEI-03-01-02</x:v>
      </x:c>
      <x:c r="B37" t="str">
        <x:v>Equipe LEI-018</x:v>
      </x:c>
      <x:c r="C37" t="str">
        <x:v>Renato Pereira</x:v>
      </x:c>
      <x:c r="D37" t="str">
        <x:v>Base Vitória de Santo Antão</x:v>
      </x:c>
      <x:c r="E37" t="str">
        <x:v>Rio Formoso</x:v>
      </x:c>
      <x:c r="F37" t="str">
        <x:v>Vitória de Santo Antão</x:v>
      </x:c>
      <x:c r="G37" t="str">
        <x:v>MR04</x:v>
      </x:c>
      <x:c r="H37" t="str">
        <x:v>Rio Formoso</x:v>
      </x:c>
      <x:c r="I37" t="str">
        <x:v>Equipe Simples</x:v>
      </x:c>
      <x:c r="J37" t="str">
        <x:v>Leitura / Entrega de Conta</x:v>
      </x:c>
      <x:c r="K37" t="str">
        <x:v>Em recrutamento</x:v>
      </x:c>
      <x:c r="L37" t="str">
        <x:v>Leitura</x:v>
      </x:c>
      <x:c r="M37" t="str">
        <x:v>Não</x:v>
      </x:c>
      <x:c r="N37" t="str">
        <x:v>DADO FICTÍCIO – teste do painel; ID repetido em outra microrrota</x:v>
      </x:c>
      <x:c r="O37" s="15" t="n">
        <x:f>IF(A37="","",--(COUNTIF($A$2:A37,A37)=1))</x:f>
        <x:v>0</x:v>
      </x:c>
      <x:c r="P37" s="15" t="n">
        <x:f>IF(A37="","",--(COUNTIFS($A$2:A37,A37,$F$2:F37,F37)=1))</x:f>
        <x:v>0</x:v>
      </x:c>
    </x:row>
    <x:row r="38">
      <x:c r="A38" s="18" t="str">
        <x:v>LEI-03-02-01</x:v>
      </x:c>
      <x:c r="B38" t="str">
        <x:v>Equipe LEI-019</x:v>
      </x:c>
      <x:c r="C38" t="str">
        <x:v>Wagner Teixeira</x:v>
      </x:c>
      <x:c r="D38" t="str">
        <x:v>Base Vitória de Santo Antão</x:v>
      </x:c>
      <x:c r="E38" t="str">
        <x:v>Rio Formoso</x:v>
      </x:c>
      <x:c r="F38" t="str">
        <x:v>Vitória de Santo Antão</x:v>
      </x:c>
      <x:c r="G38" t="str">
        <x:v>MR04</x:v>
      </x:c>
      <x:c r="H38" t="str">
        <x:v>Rio Formoso</x:v>
      </x:c>
      <x:c r="I38" t="str">
        <x:v>Equipe Simples</x:v>
      </x:c>
      <x:c r="J38" t="str">
        <x:v>Leitura / Entrega de Conta</x:v>
      </x:c>
      <x:c r="K38" t="str">
        <x:v>Em contratação</x:v>
      </x:c>
      <x:c r="L38" t="str">
        <x:v>Leitura</x:v>
      </x:c>
      <x:c r="M38" t="str">
        <x:v>Sim</x:v>
      </x:c>
      <x:c r="N38" t="str">
        <x:v>DADO FICTÍCIO – teste do painel; ID repetido em outra microrrota</x:v>
      </x:c>
      <x:c r="O38" s="15" t="n">
        <x:f>IF(A38="","",--(COUNTIF($A$2:A38,A38)=1))</x:f>
        <x:v>1</x:v>
      </x:c>
      <x:c r="P38" s="15" t="n">
        <x:f>IF(A38="","",--(COUNTIFS($A$2:A38,A38,$F$2:F38,F38)=1))</x:f>
        <x:v>1</x:v>
      </x:c>
    </x:row>
    <x:row r="39">
      <x:c r="A39" s="18" t="str">
        <x:v>LEI-03-02-01</x:v>
      </x:c>
      <x:c r="B39" t="str">
        <x:v>Equipe LEI-019</x:v>
      </x:c>
      <x:c r="C39" t="str">
        <x:v>Wagner Teixeira</x:v>
      </x:c>
      <x:c r="D39" t="str">
        <x:v>Base Vitória de Santo Antão</x:v>
      </x:c>
      <x:c r="E39" t="str">
        <x:v>Joaquim Nabuco</x:v>
      </x:c>
      <x:c r="F39" t="str">
        <x:v>Vitória de Santo Antão</x:v>
      </x:c>
      <x:c r="G39" t="str">
        <x:v>MR05</x:v>
      </x:c>
      <x:c r="H39" t="str">
        <x:v>Joaquim Nabuco</x:v>
      </x:c>
      <x:c r="I39" t="str">
        <x:v>Equipe Simples</x:v>
      </x:c>
      <x:c r="J39" t="str">
        <x:v>Leitura / Entrega de Conta</x:v>
      </x:c>
      <x:c r="K39" t="str">
        <x:v>Em contratação</x:v>
      </x:c>
      <x:c r="L39" t="str">
        <x:v>Leitura</x:v>
      </x:c>
      <x:c r="M39" t="str">
        <x:v>Sim</x:v>
      </x:c>
      <x:c r="N39" t="str">
        <x:v>DADO FICTÍCIO – teste do painel; ID repetido em outra microrrota</x:v>
      </x:c>
      <x:c r="O39" s="15" t="n">
        <x:f>IF(A39="","",--(COUNTIF($A$2:A39,A39)=1))</x:f>
        <x:v>0</x:v>
      </x:c>
      <x:c r="P39" s="15" t="n">
        <x:f>IF(A39="","",--(COUNTIFS($A$2:A39,A39,$F$2:F39,F39)=1))</x:f>
        <x:v>0</x:v>
      </x:c>
    </x:row>
    <x:row r="40">
      <x:c r="A40" s="18" t="str">
        <x:v>LEI-03-02-02</x:v>
      </x:c>
      <x:c r="B40" t="str">
        <x:v>Equipe LEI-020</x:v>
      </x:c>
      <x:c r="C40" t="str">
        <x:v>André Almeida</x:v>
      </x:c>
      <x:c r="D40" t="str">
        <x:v>Base Vitória de Santo Antão</x:v>
      </x:c>
      <x:c r="E40" t="str">
        <x:v>Joaquim Nabuco</x:v>
      </x:c>
      <x:c r="F40" t="str">
        <x:v>Vitória de Santo Antão</x:v>
      </x:c>
      <x:c r="G40" t="str">
        <x:v>MR05</x:v>
      </x:c>
      <x:c r="H40" t="str">
        <x:v>Joaquim Nabuco</x:v>
      </x:c>
      <x:c r="I40" t="str">
        <x:v>Equipe Dupla</x:v>
      </x:c>
      <x:c r="J40" t="str">
        <x:v>Leitura / Entrega de Conta</x:v>
      </x:c>
      <x:c r="K40" t="str">
        <x:v>Em contratação</x:v>
      </x:c>
      <x:c r="L40" t="str">
        <x:v>Leitura</x:v>
      </x:c>
      <x:c r="M40" t="str">
        <x:v>Não</x:v>
      </x:c>
      <x:c r="N40" t="str">
        <x:v>DADO FICTÍCIO – teste do painel; ID repetido em outra microrrota</x:v>
      </x:c>
      <x:c r="O40" s="15" t="n">
        <x:f>IF(A40="","",--(COUNTIF($A$2:A40,A40)=1))</x:f>
        <x:v>1</x:v>
      </x:c>
      <x:c r="P40" s="15" t="n">
        <x:f>IF(A40="","",--(COUNTIFS($A$2:A40,A40,$F$2:F40,F40)=1))</x:f>
        <x:v>1</x:v>
      </x:c>
    </x:row>
    <x:row r="41">
      <x:c r="A41" s="18" t="str">
        <x:v>LEI-03-02-02</x:v>
      </x:c>
      <x:c r="B41" t="str">
        <x:v>Equipe LEI-020</x:v>
      </x:c>
      <x:c r="C41" t="str">
        <x:v>André Almeida</x:v>
      </x:c>
      <x:c r="D41" t="str">
        <x:v>Base Vitória de Santo Antão</x:v>
      </x:c>
      <x:c r="E41" t="str">
        <x:v>Vitória de Santo Antão</x:v>
      </x:c>
      <x:c r="F41" t="str">
        <x:v>Vitória de Santo Antão</x:v>
      </x:c>
      <x:c r="G41" t="str">
        <x:v>MR01</x:v>
      </x:c>
      <x:c r="H41" t="str">
        <x:v>Vitória de Santo Antão</x:v>
      </x:c>
      <x:c r="I41" t="str">
        <x:v>Equipe Dupla</x:v>
      </x:c>
      <x:c r="J41" t="str">
        <x:v>Leitura / Entrega de Conta</x:v>
      </x:c>
      <x:c r="K41" t="str">
        <x:v>Em contratação</x:v>
      </x:c>
      <x:c r="L41" t="str">
        <x:v>Leitura</x:v>
      </x:c>
      <x:c r="M41" t="str">
        <x:v>Não</x:v>
      </x:c>
      <x:c r="N41" t="str">
        <x:v>DADO FICTÍCIO – teste do painel; ID repetido em outra microrrota</x:v>
      </x:c>
      <x:c r="O41" s="15" t="n">
        <x:f>IF(A41="","",--(COUNTIF($A$2:A41,A41)=1))</x:f>
        <x:v>0</x:v>
      </x:c>
      <x:c r="P41" s="15" t="n">
        <x:f>IF(A41="","",--(COUNTIFS($A$2:A41,A41,$F$2:F41,F41)=1))</x:f>
        <x:v>0</x:v>
      </x:c>
    </x:row>
    <x:row r="42">
      <x:c r="A42" s="18" t="str">
        <x:v>LEI-03-03-01</x:v>
      </x:c>
      <x:c r="B42" t="str">
        <x:v>Equipe LEI-021</x:v>
      </x:c>
      <x:c r="C42" t="str">
        <x:v>Daniel Gomes</x:v>
      </x:c>
      <x:c r="D42" t="str">
        <x:v>Base Vitória de Santo Antão</x:v>
      </x:c>
      <x:c r="E42" t="str">
        <x:v>Vitória de Santo Antão</x:v>
      </x:c>
      <x:c r="F42" t="str">
        <x:v>Vitória de Santo Antão</x:v>
      </x:c>
      <x:c r="G42" t="str">
        <x:v>MR01</x:v>
      </x:c>
      <x:c r="H42" t="str">
        <x:v>Vitória de Santo Antão</x:v>
      </x:c>
      <x:c r="I42" t="str">
        <x:v>Equipe Dupla</x:v>
      </x:c>
      <x:c r="J42" t="str">
        <x:v>Leitura / Entrega de Conta</x:v>
      </x:c>
      <x:c r="K42" t="str">
        <x:v>Contratada</x:v>
      </x:c>
      <x:c r="L42" t="str">
        <x:v>Leitura</x:v>
      </x:c>
      <x:c r="M42" t="str">
        <x:v>Sim</x:v>
      </x:c>
      <x:c r="N42" t="str">
        <x:v>DADO FICTÍCIO – teste do painel; ID repetido em outra microrrota</x:v>
      </x:c>
      <x:c r="O42" s="15" t="n">
        <x:f>IF(A42="","",--(COUNTIF($A$2:A42,A42)=1))</x:f>
        <x:v>1</x:v>
      </x:c>
      <x:c r="P42" s="15" t="n">
        <x:f>IF(A42="","",--(COUNTIFS($A$2:A42,A42,$F$2:F42,F42)=1))</x:f>
        <x:v>1</x:v>
      </x:c>
    </x:row>
    <x:row r="43">
      <x:c r="A43" s="18" t="str">
        <x:v>LEI-03-03-01</x:v>
      </x:c>
      <x:c r="B43" t="str">
        <x:v>Equipe LEI-021</x:v>
      </x:c>
      <x:c r="C43" t="str">
        <x:v>Daniel Gomes</x:v>
      </x:c>
      <x:c r="D43" t="str">
        <x:v>Base Vitória de Santo Antão</x:v>
      </x:c>
      <x:c r="E43" t="str">
        <x:v>Primavera</x:v>
      </x:c>
      <x:c r="F43" t="str">
        <x:v>Vitória de Santo Antão</x:v>
      </x:c>
      <x:c r="G43" t="str">
        <x:v>MR02</x:v>
      </x:c>
      <x:c r="H43" t="str">
        <x:v>Primavera</x:v>
      </x:c>
      <x:c r="I43" t="str">
        <x:v>Equipe Dupla</x:v>
      </x:c>
      <x:c r="J43" t="str">
        <x:v>Leitura / Entrega de Conta</x:v>
      </x:c>
      <x:c r="K43" t="str">
        <x:v>Contratada</x:v>
      </x:c>
      <x:c r="L43" t="str">
        <x:v>Leitura</x:v>
      </x:c>
      <x:c r="M43" t="str">
        <x:v>Sim</x:v>
      </x:c>
      <x:c r="N43" t="str">
        <x:v>DADO FICTÍCIO – teste do painel; ID repetido em outra microrrota</x:v>
      </x:c>
      <x:c r="O43" s="15" t="n">
        <x:f>IF(A43="","",--(COUNTIF($A$2:A43,A43)=1))</x:f>
        <x:v>0</x:v>
      </x:c>
      <x:c r="P43" s="15" t="n">
        <x:f>IF(A43="","",--(COUNTIFS($A$2:A43,A43,$F$2:F43,F43)=1))</x:f>
        <x:v>0</x:v>
      </x:c>
    </x:row>
    <x:row r="44">
      <x:c r="A44" s="18" t="str">
        <x:v>LEI-03-03-02</x:v>
      </x:c>
      <x:c r="B44" t="str">
        <x:v>Equipe LEI-022</x:v>
      </x:c>
      <x:c r="C44" t="str">
        <x:v>Gabriel Pereira</x:v>
      </x:c>
      <x:c r="D44" t="str">
        <x:v>Base Vitória de Santo Antão</x:v>
      </x:c>
      <x:c r="E44" t="str">
        <x:v>Primavera</x:v>
      </x:c>
      <x:c r="F44" t="str">
        <x:v>Vitória de Santo Antão</x:v>
      </x:c>
      <x:c r="G44" t="str">
        <x:v>MR02</x:v>
      </x:c>
      <x:c r="H44" t="str">
        <x:v>Primavera</x:v>
      </x:c>
      <x:c r="I44" t="str">
        <x:v>Equipe Simples</x:v>
      </x:c>
      <x:c r="J44" t="str">
        <x:v>Leitura / Entrega de Conta</x:v>
      </x:c>
      <x:c r="K44" t="str">
        <x:v>Contratada</x:v>
      </x:c>
      <x:c r="L44" t="str">
        <x:v>Leitura</x:v>
      </x:c>
      <x:c r="M44" t="str">
        <x:v>Sim</x:v>
      </x:c>
      <x:c r="N44" t="str">
        <x:v>DADO FICTÍCIO – teste do painel; ID repetido em outra microrrota</x:v>
      </x:c>
      <x:c r="O44" s="15" t="n">
        <x:f>IF(A44="","",--(COUNTIF($A$2:A44,A44)=1))</x:f>
        <x:v>1</x:v>
      </x:c>
      <x:c r="P44" s="15" t="n">
        <x:f>IF(A44="","",--(COUNTIFS($A$2:A44,A44,$F$2:F44,F44)=1))</x:f>
        <x:v>1</x:v>
      </x:c>
    </x:row>
    <x:row r="45">
      <x:c r="A45" s="18" t="str">
        <x:v>LEI-03-03-02</x:v>
      </x:c>
      <x:c r="B45" t="str">
        <x:v>Equipe LEI-022</x:v>
      </x:c>
      <x:c r="C45" t="str">
        <x:v>Gabriel Pereira</x:v>
      </x:c>
      <x:c r="D45" t="str">
        <x:v>Base Vitória de Santo Antão</x:v>
      </x:c>
      <x:c r="E45" t="str">
        <x:v>São José da Coroa Grande</x:v>
      </x:c>
      <x:c r="F45" t="str">
        <x:v>Vitória de Santo Antão</x:v>
      </x:c>
      <x:c r="G45" t="str">
        <x:v>MR03</x:v>
      </x:c>
      <x:c r="H45" t="str">
        <x:v>São José da Coroa Grande</x:v>
      </x:c>
      <x:c r="I45" t="str">
        <x:v>Equipe Simples</x:v>
      </x:c>
      <x:c r="J45" t="str">
        <x:v>Leitura / Entrega de Conta</x:v>
      </x:c>
      <x:c r="K45" t="str">
        <x:v>Contratada</x:v>
      </x:c>
      <x:c r="L45" t="str">
        <x:v>Leitura</x:v>
      </x:c>
      <x:c r="M45" t="str">
        <x:v>Sim</x:v>
      </x:c>
      <x:c r="N45" t="str">
        <x:v>DADO FICTÍCIO – teste do painel; ID repetido em outra microrrota</x:v>
      </x:c>
      <x:c r="O45" s="15" t="n">
        <x:f>IF(A45="","",--(COUNTIF($A$2:A45,A45)=1))</x:f>
        <x:v>0</x:v>
      </x:c>
      <x:c r="P45" s="15" t="n">
        <x:f>IF(A45="","",--(COUNTIFS($A$2:A45,A45,$F$2:F45,F45)=1))</x:f>
        <x:v>0</x:v>
      </x:c>
    </x:row>
    <x:row r="46">
      <x:c r="A46" s="18" t="str">
        <x:v>LEI-03-04-01</x:v>
      </x:c>
      <x:c r="B46" t="str">
        <x:v>Equipe LEI-023</x:v>
      </x:c>
      <x:c r="C46" t="str">
        <x:v>João Teixeira</x:v>
      </x:c>
      <x:c r="D46" t="str">
        <x:v>Base Vitória de Santo Antão</x:v>
      </x:c>
      <x:c r="E46" t="str">
        <x:v>São José da Coroa Grande</x:v>
      </x:c>
      <x:c r="F46" t="str">
        <x:v>Vitória de Santo Antão</x:v>
      </x:c>
      <x:c r="G46" t="str">
        <x:v>MR03</x:v>
      </x:c>
      <x:c r="H46" t="str">
        <x:v>São José da Coroa Grande</x:v>
      </x:c>
      <x:c r="I46" t="str">
        <x:v>Equipe Simples</x:v>
      </x:c>
      <x:c r="J46" t="str">
        <x:v>Leitura / Entrega de Conta</x:v>
      </x:c>
      <x:c r="K46" t="str">
        <x:v>Mobilizada</x:v>
      </x:c>
      <x:c r="L46" t="str">
        <x:v>Leitura</x:v>
      </x:c>
      <x:c r="M46" t="str">
        <x:v>Sim</x:v>
      </x:c>
      <x:c r="N46" t="str">
        <x:v>DADO FICTÍCIO – teste do painel; ID repetido em outra microrrota</x:v>
      </x:c>
      <x:c r="O46" s="15" t="n">
        <x:f>IF(A46="","",--(COUNTIF($A$2:A46,A46)=1))</x:f>
        <x:v>1</x:v>
      </x:c>
      <x:c r="P46" s="15" t="n">
        <x:f>IF(A46="","",--(COUNTIFS($A$2:A46,A46,$F$2:F46,F46)=1))</x:f>
        <x:v>1</x:v>
      </x:c>
    </x:row>
    <x:row r="47">
      <x:c r="A47" s="18" t="str">
        <x:v>LEI-03-04-01</x:v>
      </x:c>
      <x:c r="B47" t="str">
        <x:v>Equipe LEI-023</x:v>
      </x:c>
      <x:c r="C47" t="str">
        <x:v>João Teixeira</x:v>
      </x:c>
      <x:c r="D47" t="str">
        <x:v>Base Vitória de Santo Antão</x:v>
      </x:c>
      <x:c r="E47" t="str">
        <x:v>Rio Formoso</x:v>
      </x:c>
      <x:c r="F47" t="str">
        <x:v>Vitória de Santo Antão</x:v>
      </x:c>
      <x:c r="G47" t="str">
        <x:v>MR04</x:v>
      </x:c>
      <x:c r="H47" t="str">
        <x:v>Rio Formoso</x:v>
      </x:c>
      <x:c r="I47" t="str">
        <x:v>Equipe Simples</x:v>
      </x:c>
      <x:c r="J47" t="str">
        <x:v>Leitura / Entrega de Conta</x:v>
      </x:c>
      <x:c r="K47" t="str">
        <x:v>Mobilizada</x:v>
      </x:c>
      <x:c r="L47" t="str">
        <x:v>Leitura</x:v>
      </x:c>
      <x:c r="M47" t="str">
        <x:v>Sim</x:v>
      </x:c>
      <x:c r="N47" t="str">
        <x:v>DADO FICTÍCIO – teste do painel; ID repetido em outra microrrota</x:v>
      </x:c>
      <x:c r="O47" s="15" t="n">
        <x:f>IF(A47="","",--(COUNTIF($A$2:A47,A47)=1))</x:f>
        <x:v>0</x:v>
      </x:c>
      <x:c r="P47" s="15" t="n">
        <x:f>IF(A47="","",--(COUNTIFS($A$2:A47,A47,$F$2:F47,F47)=1))</x:f>
        <x:v>0</x:v>
      </x:c>
    </x:row>
    <x:row r="48">
      <x:c r="A48" s="18" t="str">
        <x:v>LEI-03-04-02</x:v>
      </x:c>
      <x:c r="B48" t="str">
        <x:v>Equipe LEI-024</x:v>
      </x:c>
      <x:c r="C48" t="str">
        <x:v>Paulo Almeida</x:v>
      </x:c>
      <x:c r="D48" t="str">
        <x:v>Base Vitória de Santo Antão</x:v>
      </x:c>
      <x:c r="E48" t="str">
        <x:v>Rio Formoso</x:v>
      </x:c>
      <x:c r="F48" t="str">
        <x:v>Vitória de Santo Antão</x:v>
      </x:c>
      <x:c r="G48" t="str">
        <x:v>MR04</x:v>
      </x:c>
      <x:c r="H48" t="str">
        <x:v>Rio Formoso</x:v>
      </x:c>
      <x:c r="I48" t="str">
        <x:v>Equipe Dupla</x:v>
      </x:c>
      <x:c r="J48" t="str">
        <x:v>Leitura / Entrega de Conta</x:v>
      </x:c>
      <x:c r="K48" t="str">
        <x:v>Mobilizada</x:v>
      </x:c>
      <x:c r="L48" t="str">
        <x:v>Leitura</x:v>
      </x:c>
      <x:c r="M48" t="str">
        <x:v>Sim</x:v>
      </x:c>
      <x:c r="N48" t="str">
        <x:v>DADO FICTÍCIO – teste do painel; ID repetido em outra microrrota</x:v>
      </x:c>
      <x:c r="O48" s="15" t="n">
        <x:f>IF(A48="","",--(COUNTIF($A$2:A48,A48)=1))</x:f>
        <x:v>1</x:v>
      </x:c>
      <x:c r="P48" s="15" t="n">
        <x:f>IF(A48="","",--(COUNTIFS($A$2:A48,A48,$F$2:F48,F48)=1))</x:f>
        <x:v>1</x:v>
      </x:c>
    </x:row>
    <x:row r="49">
      <x:c r="A49" s="18" t="str">
        <x:v>LEI-03-04-02</x:v>
      </x:c>
      <x:c r="B49" t="str">
        <x:v>Equipe LEI-024</x:v>
      </x:c>
      <x:c r="C49" t="str">
        <x:v>Paulo Almeida</x:v>
      </x:c>
      <x:c r="D49" t="str">
        <x:v>Base Vitória de Santo Antão</x:v>
      </x:c>
      <x:c r="E49" t="str">
        <x:v>Joaquim Nabuco</x:v>
      </x:c>
      <x:c r="F49" t="str">
        <x:v>Vitória de Santo Antão</x:v>
      </x:c>
      <x:c r="G49" t="str">
        <x:v>MR05</x:v>
      </x:c>
      <x:c r="H49" t="str">
        <x:v>Joaquim Nabuco</x:v>
      </x:c>
      <x:c r="I49" t="str">
        <x:v>Equipe Dupla</x:v>
      </x:c>
      <x:c r="J49" t="str">
        <x:v>Leitura / Entrega de Conta</x:v>
      </x:c>
      <x:c r="K49" t="str">
        <x:v>Mobilizada</x:v>
      </x:c>
      <x:c r="L49" t="str">
        <x:v>Leitura</x:v>
      </x:c>
      <x:c r="M49" t="str">
        <x:v>Sim</x:v>
      </x:c>
      <x:c r="N49" t="str">
        <x:v>DADO FICTÍCIO – teste do painel; ID repetido em outra microrrota</x:v>
      </x:c>
      <x:c r="O49" s="15" t="n">
        <x:f>IF(A49="","",--(COUNTIF($A$2:A49,A49)=1))</x:f>
        <x:v>0</x:v>
      </x:c>
      <x:c r="P49" s="15" t="n">
        <x:f>IF(A49="","",--(COUNTIFS($A$2:A49,A49,$F$2:F49,F49)=1))</x:f>
        <x:v>0</x:v>
      </x:c>
    </x:row>
    <x:row r="50">
      <x:c r="A50" s="18" t="str">
        <x:v>LEI-04-01-01</x:v>
      </x:c>
      <x:c r="B50" t="str">
        <x:v>Equipe LEI-025</x:v>
      </x:c>
      <x:c r="C50" t="str">
        <x:v>Thiago Gomes</x:v>
      </x:c>
      <x:c r="D50" t="str">
        <x:v>Base Gravatá</x:v>
      </x:c>
      <x:c r="E50" t="str">
        <x:v>Barra de Guabiraba</x:v>
      </x:c>
      <x:c r="F50" t="str">
        <x:v>Gravatá</x:v>
      </x:c>
      <x:c r="G50" t="str">
        <x:v>MR01</x:v>
      </x:c>
      <x:c r="H50" t="str">
        <x:v>Barra de Guabiraba</x:v>
      </x:c>
      <x:c r="I50" t="str">
        <x:v>Equipe Dupla</x:v>
      </x:c>
      <x:c r="J50" t="str">
        <x:v>Leitura / Entrega de Conta</x:v>
      </x:c>
      <x:c r="K50" t="str">
        <x:v>Em recrutamento</x:v>
      </x:c>
      <x:c r="L50" t="str">
        <x:v>Leitura</x:v>
      </x:c>
      <x:c r="M50" t="str">
        <x:v>Sim</x:v>
      </x:c>
      <x:c r="N50" t="str">
        <x:v>DADO FICTÍCIO – teste do painel; ID repetido em outra microrrota</x:v>
      </x:c>
      <x:c r="O50" s="15" t="n">
        <x:f>IF(A50="","",--(COUNTIF($A$2:A50,A50)=1))</x:f>
        <x:v>1</x:v>
      </x:c>
      <x:c r="P50" s="15" t="n">
        <x:f>IF(A50="","",--(COUNTIFS($A$2:A50,A50,$F$2:F50,F50)=1))</x:f>
        <x:v>1</x:v>
      </x:c>
    </x:row>
    <x:row r="51">
      <x:c r="A51" s="18" t="str">
        <x:v>LEI-04-01-01</x:v>
      </x:c>
      <x:c r="B51" t="str">
        <x:v>Equipe LEI-025</x:v>
      </x:c>
      <x:c r="C51" t="str">
        <x:v>Thiago Gomes</x:v>
      </x:c>
      <x:c r="D51" t="str">
        <x:v>Base Gravatá</x:v>
      </x:c>
      <x:c r="E51" t="str">
        <x:v>Gravatá</x:v>
      </x:c>
      <x:c r="F51" t="str">
        <x:v>Gravatá</x:v>
      </x:c>
      <x:c r="G51" t="str">
        <x:v>MR02</x:v>
      </x:c>
      <x:c r="H51" t="str">
        <x:v>Gravatá</x:v>
      </x:c>
      <x:c r="I51" t="str">
        <x:v>Equipe Dupla</x:v>
      </x:c>
      <x:c r="J51" t="str">
        <x:v>Leitura / Entrega de Conta</x:v>
      </x:c>
      <x:c r="K51" t="str">
        <x:v>Em recrutamento</x:v>
      </x:c>
      <x:c r="L51" t="str">
        <x:v>Leitura</x:v>
      </x:c>
      <x:c r="M51" t="str">
        <x:v>Sim</x:v>
      </x:c>
      <x:c r="N51" t="str">
        <x:v>DADO FICTÍCIO – teste do painel; ID repetido em outra microrrota</x:v>
      </x:c>
      <x:c r="O51" s="15" t="n">
        <x:f>IF(A51="","",--(COUNTIF($A$2:A51,A51)=1))</x:f>
        <x:v>0</x:v>
      </x:c>
      <x:c r="P51" s="15" t="n">
        <x:f>IF(A51="","",--(COUNTIFS($A$2:A51,A51,$F$2:F51,F51)=1))</x:f>
        <x:v>0</x:v>
      </x:c>
    </x:row>
    <x:row r="52">
      <x:c r="A52" s="18" t="str">
        <x:v>LEI-04-01-02</x:v>
      </x:c>
      <x:c r="B52" t="str">
        <x:v>Equipe LEI-026</x:v>
      </x:c>
      <x:c r="C52" t="str">
        <x:v>Alex Pereira</x:v>
      </x:c>
      <x:c r="D52" t="str">
        <x:v>Base Gravatá</x:v>
      </x:c>
      <x:c r="E52" t="str">
        <x:v>Gravatá</x:v>
      </x:c>
      <x:c r="F52" t="str">
        <x:v>Gravatá</x:v>
      </x:c>
      <x:c r="G52" t="str">
        <x:v>MR02</x:v>
      </x:c>
      <x:c r="H52" t="str">
        <x:v>Gravatá</x:v>
      </x:c>
      <x:c r="I52" t="str">
        <x:v>Equipe Simples</x:v>
      </x:c>
      <x:c r="J52" t="str">
        <x:v>Leitura / Entrega de Conta</x:v>
      </x:c>
      <x:c r="K52" t="str">
        <x:v>Em recrutamento</x:v>
      </x:c>
      <x:c r="L52" t="str">
        <x:v>Leitura</x:v>
      </x:c>
      <x:c r="M52" t="str">
        <x:v>Não</x:v>
      </x:c>
      <x:c r="N52" t="str">
        <x:v>DADO FICTÍCIO – teste do painel; ID repetido em outra microrrota</x:v>
      </x:c>
      <x:c r="O52" s="15" t="n">
        <x:f>IF(A52="","",--(COUNTIF($A$2:A52,A52)=1))</x:f>
        <x:v>1</x:v>
      </x:c>
      <x:c r="P52" s="15" t="n">
        <x:f>IF(A52="","",--(COUNTIFS($A$2:A52,A52,$F$2:F52,F52)=1))</x:f>
        <x:v>1</x:v>
      </x:c>
    </x:row>
    <x:row r="53">
      <x:c r="A53" s="18" t="str">
        <x:v>LEI-04-01-02</x:v>
      </x:c>
      <x:c r="B53" t="str">
        <x:v>Equipe LEI-026</x:v>
      </x:c>
      <x:c r="C53" t="str">
        <x:v>Alex Pereira</x:v>
      </x:c>
      <x:c r="D53" t="str">
        <x:v>Base Gravatá</x:v>
      </x:c>
      <x:c r="E53" t="str">
        <x:v>Bezerros</x:v>
      </x:c>
      <x:c r="F53" t="str">
        <x:v>Gravatá</x:v>
      </x:c>
      <x:c r="G53" t="str">
        <x:v>MR03</x:v>
      </x:c>
      <x:c r="H53" t="str">
        <x:v>Bezerros</x:v>
      </x:c>
      <x:c r="I53" t="str">
        <x:v>Equipe Simples</x:v>
      </x:c>
      <x:c r="J53" t="str">
        <x:v>Leitura / Entrega de Conta</x:v>
      </x:c>
      <x:c r="K53" t="str">
        <x:v>Em recrutamento</x:v>
      </x:c>
      <x:c r="L53" t="str">
        <x:v>Leitura</x:v>
      </x:c>
      <x:c r="M53" t="str">
        <x:v>Não</x:v>
      </x:c>
      <x:c r="N53" t="str">
        <x:v>DADO FICTÍCIO – teste do painel; ID repetido em outra microrrota</x:v>
      </x:c>
      <x:c r="O53" s="15" t="n">
        <x:f>IF(A53="","",--(COUNTIF($A$2:A53,A53)=1))</x:f>
        <x:v>0</x:v>
      </x:c>
      <x:c r="P53" s="15" t="n">
        <x:f>IF(A53="","",--(COUNTIFS($A$2:A53,A53,$F$2:F53,F53)=1))</x:f>
        <x:v>0</x:v>
      </x:c>
    </x:row>
    <x:row r="54">
      <x:c r="A54" s="18" t="str">
        <x:v>LEI-04-02-01</x:v>
      </x:c>
      <x:c r="B54" t="str">
        <x:v>Equipe LEI-027</x:v>
      </x:c>
      <x:c r="C54" t="str">
        <x:v>Bruno Teixeira</x:v>
      </x:c>
      <x:c r="D54" t="str">
        <x:v>Base Gravatá</x:v>
      </x:c>
      <x:c r="E54" t="str">
        <x:v>Bezerros</x:v>
      </x:c>
      <x:c r="F54" t="str">
        <x:v>Gravatá</x:v>
      </x:c>
      <x:c r="G54" t="str">
        <x:v>MR03</x:v>
      </x:c>
      <x:c r="H54" t="str">
        <x:v>Bezerros</x:v>
      </x:c>
      <x:c r="I54" t="str">
        <x:v>Equipe Simples</x:v>
      </x:c>
      <x:c r="J54" t="str">
        <x:v>Leitura / Entrega de Conta</x:v>
      </x:c>
      <x:c r="K54" t="str">
        <x:v>Em contratação</x:v>
      </x:c>
      <x:c r="L54" t="str">
        <x:v>Leitura</x:v>
      </x:c>
      <x:c r="M54" t="str">
        <x:v>Sim</x:v>
      </x:c>
      <x:c r="N54" t="str">
        <x:v>DADO FICTÍCIO – teste do painel; ID repetido em outra microrrota</x:v>
      </x:c>
      <x:c r="O54" s="15" t="n">
        <x:f>IF(A54="","",--(COUNTIF($A$2:A54,A54)=1))</x:f>
        <x:v>1</x:v>
      </x:c>
      <x:c r="P54" s="15" t="n">
        <x:f>IF(A54="","",--(COUNTIFS($A$2:A54,A54,$F$2:F54,F54)=1))</x:f>
        <x:v>1</x:v>
      </x:c>
    </x:row>
    <x:row r="55">
      <x:c r="A55" s="18" t="str">
        <x:v>LEI-04-02-01</x:v>
      </x:c>
      <x:c r="B55" t="str">
        <x:v>Equipe LEI-027</x:v>
      </x:c>
      <x:c r="C55" t="str">
        <x:v>Bruno Teixeira</x:v>
      </x:c>
      <x:c r="D55" t="str">
        <x:v>Base Gravatá</x:v>
      </x:c>
      <x:c r="E55" t="str">
        <x:v>Camocim de São Félix</x:v>
      </x:c>
      <x:c r="F55" t="str">
        <x:v>Gravatá</x:v>
      </x:c>
      <x:c r="G55" t="str">
        <x:v>MR04</x:v>
      </x:c>
      <x:c r="H55" t="str">
        <x:v>Camocim de São Félix</x:v>
      </x:c>
      <x:c r="I55" t="str">
        <x:v>Equipe Simples</x:v>
      </x:c>
      <x:c r="J55" t="str">
        <x:v>Leitura / Entrega de Conta</x:v>
      </x:c>
      <x:c r="K55" t="str">
        <x:v>Em contratação</x:v>
      </x:c>
      <x:c r="L55" t="str">
        <x:v>Leitura</x:v>
      </x:c>
      <x:c r="M55" t="str">
        <x:v>Sim</x:v>
      </x:c>
      <x:c r="N55" t="str">
        <x:v>DADO FICTÍCIO – teste do painel; ID repetido em outra microrrota</x:v>
      </x:c>
      <x:c r="O55" s="15" t="n">
        <x:f>IF(A55="","",--(COUNTIF($A$2:A55,A55)=1))</x:f>
        <x:v>0</x:v>
      </x:c>
      <x:c r="P55" s="15" t="n">
        <x:f>IF(A55="","",--(COUNTIFS($A$2:A55,A55,$F$2:F55,F55)=1))</x:f>
        <x:v>0</x:v>
      </x:c>
    </x:row>
    <x:row r="56">
      <x:c r="A56" s="18" t="str">
        <x:v>LEI-04-02-02</x:v>
      </x:c>
      <x:c r="B56" t="str">
        <x:v>Equipe LEI-028</x:v>
      </x:c>
      <x:c r="C56" t="str">
        <x:v>Eduardo Almeida</x:v>
      </x:c>
      <x:c r="D56" t="str">
        <x:v>Base Gravatá</x:v>
      </x:c>
      <x:c r="E56" t="str">
        <x:v>Camocim de São Félix</x:v>
      </x:c>
      <x:c r="F56" t="str">
        <x:v>Gravatá</x:v>
      </x:c>
      <x:c r="G56" t="str">
        <x:v>MR04</x:v>
      </x:c>
      <x:c r="H56" t="str">
        <x:v>Camocim de São Félix</x:v>
      </x:c>
      <x:c r="I56" t="str">
        <x:v>Equipe Dupla</x:v>
      </x:c>
      <x:c r="J56" t="str">
        <x:v>Leitura / Entrega de Conta</x:v>
      </x:c>
      <x:c r="K56" t="str">
        <x:v>Em contratação</x:v>
      </x:c>
      <x:c r="L56" t="str">
        <x:v>Leitura</x:v>
      </x:c>
      <x:c r="M56" t="str">
        <x:v>Não</x:v>
      </x:c>
      <x:c r="N56" t="str">
        <x:v>DADO FICTÍCIO – teste do painel; ID repetido em outra microrrota</x:v>
      </x:c>
      <x:c r="O56" s="15" t="n">
        <x:f>IF(A56="","",--(COUNTIF($A$2:A56,A56)=1))</x:f>
        <x:v>1</x:v>
      </x:c>
      <x:c r="P56" s="15" t="n">
        <x:f>IF(A56="","",--(COUNTIFS($A$2:A56,A56,$F$2:F56,F56)=1))</x:f>
        <x:v>1</x:v>
      </x:c>
    </x:row>
    <x:row r="57">
      <x:c r="A57" s="18" t="str">
        <x:v>LEI-04-02-02</x:v>
      </x:c>
      <x:c r="B57" t="str">
        <x:v>Equipe LEI-028</x:v>
      </x:c>
      <x:c r="C57" t="str">
        <x:v>Eduardo Almeida</x:v>
      </x:c>
      <x:c r="D57" t="str">
        <x:v>Base Gravatá</x:v>
      </x:c>
      <x:c r="E57" t="str">
        <x:v>Barra de Guabiraba</x:v>
      </x:c>
      <x:c r="F57" t="str">
        <x:v>Gravatá</x:v>
      </x:c>
      <x:c r="G57" t="str">
        <x:v>MR01</x:v>
      </x:c>
      <x:c r="H57" t="str">
        <x:v>Barra de Guabiraba</x:v>
      </x:c>
      <x:c r="I57" t="str">
        <x:v>Equipe Dupla</x:v>
      </x:c>
      <x:c r="J57" t="str">
        <x:v>Leitura / Entrega de Conta</x:v>
      </x:c>
      <x:c r="K57" t="str">
        <x:v>Em contratação</x:v>
      </x:c>
      <x:c r="L57" t="str">
        <x:v>Leitura</x:v>
      </x:c>
      <x:c r="M57" t="str">
        <x:v>Não</x:v>
      </x:c>
      <x:c r="N57" t="str">
        <x:v>DADO FICTÍCIO – teste do painel; ID repetido em outra microrrota</x:v>
      </x:c>
      <x:c r="O57" s="15" t="n">
        <x:f>IF(A57="","",--(COUNTIF($A$2:A57,A57)=1))</x:f>
        <x:v>0</x:v>
      </x:c>
      <x:c r="P57" s="15" t="n">
        <x:f>IF(A57="","",--(COUNTIFS($A$2:A57,A57,$F$2:F57,F57)=1))</x:f>
        <x:v>0</x:v>
      </x:c>
    </x:row>
    <x:row r="58">
      <x:c r="A58" s="18" t="str">
        <x:v>LEI-04-03-01</x:v>
      </x:c>
      <x:c r="B58" t="str">
        <x:v>Equipe LEI-029</x:v>
      </x:c>
      <x:c r="C58" t="str">
        <x:v>Henrique Gomes</x:v>
      </x:c>
      <x:c r="D58" t="str">
        <x:v>Base Gravatá</x:v>
      </x:c>
      <x:c r="E58" t="str">
        <x:v>Barra de Guabiraba</x:v>
      </x:c>
      <x:c r="F58" t="str">
        <x:v>Gravatá</x:v>
      </x:c>
      <x:c r="G58" t="str">
        <x:v>MR01</x:v>
      </x:c>
      <x:c r="H58" t="str">
        <x:v>Barra de Guabiraba</x:v>
      </x:c>
      <x:c r="I58" t="str">
        <x:v>Equipe Dupla</x:v>
      </x:c>
      <x:c r="J58" t="str">
        <x:v>Leitura / Entrega de Conta</x:v>
      </x:c>
      <x:c r="K58" t="str">
        <x:v>Contratada</x:v>
      </x:c>
      <x:c r="L58" t="str">
        <x:v>Leitura</x:v>
      </x:c>
      <x:c r="M58" t="str">
        <x:v>Sim</x:v>
      </x:c>
      <x:c r="N58" t="str">
        <x:v>DADO FICTÍCIO – teste do painel; ID repetido em outra microrrota</x:v>
      </x:c>
      <x:c r="O58" s="15" t="n">
        <x:f>IF(A58="","",--(COUNTIF($A$2:A58,A58)=1))</x:f>
        <x:v>1</x:v>
      </x:c>
      <x:c r="P58" s="15" t="n">
        <x:f>IF(A58="","",--(COUNTIFS($A$2:A58,A58,$F$2:F58,F58)=1))</x:f>
        <x:v>1</x:v>
      </x:c>
    </x:row>
    <x:row r="59">
      <x:c r="A59" s="18" t="str">
        <x:v>LEI-04-03-01</x:v>
      </x:c>
      <x:c r="B59" t="str">
        <x:v>Equipe LEI-029</x:v>
      </x:c>
      <x:c r="C59" t="str">
        <x:v>Henrique Gomes</x:v>
      </x:c>
      <x:c r="D59" t="str">
        <x:v>Base Gravatá</x:v>
      </x:c>
      <x:c r="E59" t="str">
        <x:v>Gravatá</x:v>
      </x:c>
      <x:c r="F59" t="str">
        <x:v>Gravatá</x:v>
      </x:c>
      <x:c r="G59" t="str">
        <x:v>MR02</x:v>
      </x:c>
      <x:c r="H59" t="str">
        <x:v>Gravatá</x:v>
      </x:c>
      <x:c r="I59" t="str">
        <x:v>Equipe Dupla</x:v>
      </x:c>
      <x:c r="J59" t="str">
        <x:v>Leitura / Entrega de Conta</x:v>
      </x:c>
      <x:c r="K59" t="str">
        <x:v>Contratada</x:v>
      </x:c>
      <x:c r="L59" t="str">
        <x:v>Leitura</x:v>
      </x:c>
      <x:c r="M59" t="str">
        <x:v>Sim</x:v>
      </x:c>
      <x:c r="N59" t="str">
        <x:v>DADO FICTÍCIO – teste do painel; ID repetido em outra microrrota</x:v>
      </x:c>
      <x:c r="O59" s="15" t="n">
        <x:f>IF(A59="","",--(COUNTIF($A$2:A59,A59)=1))</x:f>
        <x:v>0</x:v>
      </x:c>
      <x:c r="P59" s="15" t="n">
        <x:f>IF(A59="","",--(COUNTIFS($A$2:A59,A59,$F$2:F59,F59)=1))</x:f>
        <x:v>0</x:v>
      </x:c>
    </x:row>
    <x:row r="60">
      <x:c r="A60" s="18" t="str">
        <x:v>LEI-04-03-02</x:v>
      </x:c>
      <x:c r="B60" t="str">
        <x:v>Equipe LEI-030</x:v>
      </x:c>
      <x:c r="C60" t="str">
        <x:v>Lucas Pereira</x:v>
      </x:c>
      <x:c r="D60" t="str">
        <x:v>Base Gravatá</x:v>
      </x:c>
      <x:c r="E60" t="str">
        <x:v>Gravatá</x:v>
      </x:c>
      <x:c r="F60" t="str">
        <x:v>Gravatá</x:v>
      </x:c>
      <x:c r="G60" t="str">
        <x:v>MR02</x:v>
      </x:c>
      <x:c r="H60" t="str">
        <x:v>Gravatá</x:v>
      </x:c>
      <x:c r="I60" t="str">
        <x:v>Equipe Simples</x:v>
      </x:c>
      <x:c r="J60" t="str">
        <x:v>Leitura / Entrega de Conta</x:v>
      </x:c>
      <x:c r="K60" t="str">
        <x:v>Contratada</x:v>
      </x:c>
      <x:c r="L60" t="str">
        <x:v>Leitura</x:v>
      </x:c>
      <x:c r="M60" t="str">
        <x:v>Sim</x:v>
      </x:c>
      <x:c r="N60" t="str">
        <x:v>DADO FICTÍCIO – teste do painel; ID repetido em outra microrrota</x:v>
      </x:c>
      <x:c r="O60" s="15" t="n">
        <x:f>IF(A60="","",--(COUNTIF($A$2:A60,A60)=1))</x:f>
        <x:v>1</x:v>
      </x:c>
      <x:c r="P60" s="15" t="n">
        <x:f>IF(A60="","",--(COUNTIFS($A$2:A60,A60,$F$2:F60,F60)=1))</x:f>
        <x:v>1</x:v>
      </x:c>
    </x:row>
    <x:row r="61">
      <x:c r="A61" s="18" t="str">
        <x:v>LEI-04-03-02</x:v>
      </x:c>
      <x:c r="B61" t="str">
        <x:v>Equipe LEI-030</x:v>
      </x:c>
      <x:c r="C61" t="str">
        <x:v>Lucas Pereira</x:v>
      </x:c>
      <x:c r="D61" t="str">
        <x:v>Base Gravatá</x:v>
      </x:c>
      <x:c r="E61" t="str">
        <x:v>Bezerros</x:v>
      </x:c>
      <x:c r="F61" t="str">
        <x:v>Gravatá</x:v>
      </x:c>
      <x:c r="G61" t="str">
        <x:v>MR03</x:v>
      </x:c>
      <x:c r="H61" t="str">
        <x:v>Bezerros</x:v>
      </x:c>
      <x:c r="I61" t="str">
        <x:v>Equipe Simples</x:v>
      </x:c>
      <x:c r="J61" t="str">
        <x:v>Leitura / Entrega de Conta</x:v>
      </x:c>
      <x:c r="K61" t="str">
        <x:v>Contratada</x:v>
      </x:c>
      <x:c r="L61" t="str">
        <x:v>Leitura</x:v>
      </x:c>
      <x:c r="M61" t="str">
        <x:v>Sim</x:v>
      </x:c>
      <x:c r="N61" t="str">
        <x:v>DADO FICTÍCIO – teste do painel; ID repetido em outra microrrota</x:v>
      </x:c>
      <x:c r="O61" s="15" t="n">
        <x:f>IF(A61="","",--(COUNTIF($A$2:A61,A61)=1))</x:f>
        <x:v>0</x:v>
      </x:c>
      <x:c r="P61" s="15" t="n">
        <x:f>IF(A61="","",--(COUNTIFS($A$2:A61,A61,$F$2:F61,F61)=1))</x:f>
        <x:v>0</x:v>
      </x:c>
    </x:row>
    <x:row r="62">
      <x:c r="A62" s="18" t="str">
        <x:v>LEI-04-04-01</x:v>
      </x:c>
      <x:c r="B62" t="str">
        <x:v>Equipe LEI-031</x:v>
      </x:c>
      <x:c r="C62" t="str">
        <x:v>Rafael Teixeira</x:v>
      </x:c>
      <x:c r="D62" t="str">
        <x:v>Base Gravatá</x:v>
      </x:c>
      <x:c r="E62" t="str">
        <x:v>Bezerros</x:v>
      </x:c>
      <x:c r="F62" t="str">
        <x:v>Gravatá</x:v>
      </x:c>
      <x:c r="G62" t="str">
        <x:v>MR03</x:v>
      </x:c>
      <x:c r="H62" t="str">
        <x:v>Bezerros</x:v>
      </x:c>
      <x:c r="I62" t="str">
        <x:v>Equipe Simples</x:v>
      </x:c>
      <x:c r="J62" t="str">
        <x:v>Leitura / Entrega de Conta</x:v>
      </x:c>
      <x:c r="K62" t="str">
        <x:v>Mobilizada</x:v>
      </x:c>
      <x:c r="L62" t="str">
        <x:v>Leitura</x:v>
      </x:c>
      <x:c r="M62" t="str">
        <x:v>Sim</x:v>
      </x:c>
      <x:c r="N62" t="str">
        <x:v>DADO FICTÍCIO – teste do painel; ID repetido em outra microrrota</x:v>
      </x:c>
      <x:c r="O62" s="15" t="n">
        <x:f>IF(A62="","",--(COUNTIF($A$2:A62,A62)=1))</x:f>
        <x:v>1</x:v>
      </x:c>
      <x:c r="P62" s="15" t="n">
        <x:f>IF(A62="","",--(COUNTIFS($A$2:A62,A62,$F$2:F62,F62)=1))</x:f>
        <x:v>1</x:v>
      </x:c>
    </x:row>
    <x:row r="63">
      <x:c r="A63" s="18" t="str">
        <x:v>LEI-04-04-01</x:v>
      </x:c>
      <x:c r="B63" t="str">
        <x:v>Equipe LEI-031</x:v>
      </x:c>
      <x:c r="C63" t="str">
        <x:v>Rafael Teixeira</x:v>
      </x:c>
      <x:c r="D63" t="str">
        <x:v>Base Gravatá</x:v>
      </x:c>
      <x:c r="E63" t="str">
        <x:v>Camocim de São Félix</x:v>
      </x:c>
      <x:c r="F63" t="str">
        <x:v>Gravatá</x:v>
      </x:c>
      <x:c r="G63" t="str">
        <x:v>MR04</x:v>
      </x:c>
      <x:c r="H63" t="str">
        <x:v>Camocim de São Félix</x:v>
      </x:c>
      <x:c r="I63" t="str">
        <x:v>Equipe Simples</x:v>
      </x:c>
      <x:c r="J63" t="str">
        <x:v>Leitura / Entrega de Conta</x:v>
      </x:c>
      <x:c r="K63" t="str">
        <x:v>Mobilizada</x:v>
      </x:c>
      <x:c r="L63" t="str">
        <x:v>Leitura</x:v>
      </x:c>
      <x:c r="M63" t="str">
        <x:v>Sim</x:v>
      </x:c>
      <x:c r="N63" t="str">
        <x:v>DADO FICTÍCIO – teste do painel; ID repetido em outra microrrota</x:v>
      </x:c>
      <x:c r="O63" s="15" t="n">
        <x:f>IF(A63="","",--(COUNTIF($A$2:A63,A63)=1))</x:f>
        <x:v>0</x:v>
      </x:c>
      <x:c r="P63" s="15" t="n">
        <x:f>IF(A63="","",--(COUNTIFS($A$2:A63,A63,$F$2:F63,F63)=1))</x:f>
        <x:v>0</x:v>
      </x:c>
    </x:row>
    <x:row r="64">
      <x:c r="A64" s="18" t="str">
        <x:v>LEI-04-04-02</x:v>
      </x:c>
      <x:c r="B64" t="str">
        <x:v>Equipe LEI-032</x:v>
      </x:c>
      <x:c r="C64" t="str">
        <x:v>Vinícius Almeida</x:v>
      </x:c>
      <x:c r="D64" t="str">
        <x:v>Base Gravatá</x:v>
      </x:c>
      <x:c r="E64" t="str">
        <x:v>Camocim de São Félix</x:v>
      </x:c>
      <x:c r="F64" t="str">
        <x:v>Gravatá</x:v>
      </x:c>
      <x:c r="G64" t="str">
        <x:v>MR04</x:v>
      </x:c>
      <x:c r="H64" t="str">
        <x:v>Camocim de São Félix</x:v>
      </x:c>
      <x:c r="I64" t="str">
        <x:v>Equipe Dupla</x:v>
      </x:c>
      <x:c r="J64" t="str">
        <x:v>Leitura / Entrega de Conta</x:v>
      </x:c>
      <x:c r="K64" t="str">
        <x:v>Mobilizada</x:v>
      </x:c>
      <x:c r="L64" t="str">
        <x:v>Leitura</x:v>
      </x:c>
      <x:c r="M64" t="str">
        <x:v>Sim</x:v>
      </x:c>
      <x:c r="N64" t="str">
        <x:v>DADO FICTÍCIO – teste do painel; ID repetido em outra microrrota</x:v>
      </x:c>
      <x:c r="O64" s="15" t="n">
        <x:f>IF(A64="","",--(COUNTIF($A$2:A64,A64)=1))</x:f>
        <x:v>1</x:v>
      </x:c>
      <x:c r="P64" s="15" t="n">
        <x:f>IF(A64="","",--(COUNTIFS($A$2:A64,A64,$F$2:F64,F64)=1))</x:f>
        <x:v>1</x:v>
      </x:c>
    </x:row>
    <x:row r="65">
      <x:c r="A65" s="18" t="str">
        <x:v>LEI-04-04-02</x:v>
      </x:c>
      <x:c r="B65" t="str">
        <x:v>Equipe LEI-032</x:v>
      </x:c>
      <x:c r="C65" t="str">
        <x:v>Vinícius Almeida</x:v>
      </x:c>
      <x:c r="D65" t="str">
        <x:v>Base Gravatá</x:v>
      </x:c>
      <x:c r="E65" t="str">
        <x:v>Barra de Guabiraba</x:v>
      </x:c>
      <x:c r="F65" t="str">
        <x:v>Gravatá</x:v>
      </x:c>
      <x:c r="G65" t="str">
        <x:v>MR01</x:v>
      </x:c>
      <x:c r="H65" t="str">
        <x:v>Barra de Guabiraba</x:v>
      </x:c>
      <x:c r="I65" t="str">
        <x:v>Equipe Dupla</x:v>
      </x:c>
      <x:c r="J65" t="str">
        <x:v>Leitura / Entrega de Conta</x:v>
      </x:c>
      <x:c r="K65" t="str">
        <x:v>Mobilizada</x:v>
      </x:c>
      <x:c r="L65" t="str">
        <x:v>Leitura</x:v>
      </x:c>
      <x:c r="M65" t="str">
        <x:v>Sim</x:v>
      </x:c>
      <x:c r="N65" t="str">
        <x:v>DADO FICTÍCIO – teste do painel; ID repetido em outra microrrota</x:v>
      </x:c>
      <x:c r="O65" s="15" t="n">
        <x:f>IF(A65="","",--(COUNTIF($A$2:A65,A65)=1))</x:f>
        <x:v>0</x:v>
      </x:c>
      <x:c r="P65" s="15" t="n">
        <x:f>IF(A65="","",--(COUNTIFS($A$2:A65,A65,$F$2:F65,F65)=1))</x:f>
        <x:v>0</x:v>
      </x:c>
    </x:row>
    <x:row r="66">
      <x:c r="A66" s="18" t="str">
        <x:v>LEI-05-01-01</x:v>
      </x:c>
      <x:c r="B66" t="str">
        <x:v>Equipe LEI-033</x:v>
      </x:c>
      <x:c r="C66" t="str">
        <x:v>Diego Gomes</x:v>
      </x:c>
      <x:c r="D66" t="str">
        <x:v>Base Caruaru</x:v>
      </x:c>
      <x:c r="E66" t="str">
        <x:v>Panelas</x:v>
      </x:c>
      <x:c r="F66" t="str">
        <x:v>Caruaru</x:v>
      </x:c>
      <x:c r="G66" t="str">
        <x:v>MR03</x:v>
      </x:c>
      <x:c r="H66" t="str">
        <x:v>Panelas</x:v>
      </x:c>
      <x:c r="I66" t="str">
        <x:v>Equipe Dupla</x:v>
      </x:c>
      <x:c r="J66" t="str">
        <x:v>Leitura / Entrega de Conta</x:v>
      </x:c>
      <x:c r="K66" t="str">
        <x:v>Em recrutamento</x:v>
      </x:c>
      <x:c r="L66" t="str">
        <x:v>Leitura</x:v>
      </x:c>
      <x:c r="M66" t="str">
        <x:v>Sim</x:v>
      </x:c>
      <x:c r="N66" t="str">
        <x:v>DADO FICTÍCIO – teste do painel; ID repetido em outra microrrota</x:v>
      </x:c>
      <x:c r="O66" s="15" t="n">
        <x:f>IF(A66="","",--(COUNTIF($A$2:A66,A66)=1))</x:f>
        <x:v>1</x:v>
      </x:c>
      <x:c r="P66" s="15" t="n">
        <x:f>IF(A66="","",--(COUNTIFS($A$2:A66,A66,$F$2:F66,F66)=1))</x:f>
        <x:v>1</x:v>
      </x:c>
    </x:row>
    <x:row r="67">
      <x:c r="A67" s="18" t="str">
        <x:v>LEI-05-01-01</x:v>
      </x:c>
      <x:c r="B67" t="str">
        <x:v>Equipe LEI-033</x:v>
      </x:c>
      <x:c r="C67" t="str">
        <x:v>Diego Gomes</x:v>
      </x:c>
      <x:c r="D67" t="str">
        <x:v>Base Caruaru</x:v>
      </x:c>
      <x:c r="E67" t="str">
        <x:v>Belo Jardim</x:v>
      </x:c>
      <x:c r="F67" t="str">
        <x:v>Caruaru</x:v>
      </x:c>
      <x:c r="G67" t="str">
        <x:v>MR04</x:v>
      </x:c>
      <x:c r="H67" t="str">
        <x:v>Belo Jardim</x:v>
      </x:c>
      <x:c r="I67" t="str">
        <x:v>Equipe Dupla</x:v>
      </x:c>
      <x:c r="J67" t="str">
        <x:v>Leitura / Entrega de Conta</x:v>
      </x:c>
      <x:c r="K67" t="str">
        <x:v>Em recrutamento</x:v>
      </x:c>
      <x:c r="L67" t="str">
        <x:v>Leitura</x:v>
      </x:c>
      <x:c r="M67" t="str">
        <x:v>Sim</x:v>
      </x:c>
      <x:c r="N67" t="str">
        <x:v>DADO FICTÍCIO – teste do painel; ID repetido em outra microrrota</x:v>
      </x:c>
      <x:c r="O67" s="15" t="n">
        <x:f>IF(A67="","",--(COUNTIF($A$2:A67,A67)=1))</x:f>
        <x:v>0</x:v>
      </x:c>
      <x:c r="P67" s="15" t="n">
        <x:f>IF(A67="","",--(COUNTIFS($A$2:A67,A67,$F$2:F67,F67)=1))</x:f>
        <x:v>0</x:v>
      </x:c>
    </x:row>
    <x:row r="68">
      <x:c r="A68" s="18" t="str">
        <x:v>LEI-05-01-02</x:v>
      </x:c>
      <x:c r="B68" t="str">
        <x:v>Equipe LEI-034</x:v>
      </x:c>
      <x:c r="C68" t="str">
        <x:v>Carlos Pereira</x:v>
      </x:c>
      <x:c r="D68" t="str">
        <x:v>Base Caruaru</x:v>
      </x:c>
      <x:c r="E68" t="str">
        <x:v>Belo Jardim</x:v>
      </x:c>
      <x:c r="F68" t="str">
        <x:v>Caruaru</x:v>
      </x:c>
      <x:c r="G68" t="str">
        <x:v>MR04</x:v>
      </x:c>
      <x:c r="H68" t="str">
        <x:v>Belo Jardim</x:v>
      </x:c>
      <x:c r="I68" t="str">
        <x:v>Equipe Simples</x:v>
      </x:c>
      <x:c r="J68" t="str">
        <x:v>Leitura / Entrega de Conta</x:v>
      </x:c>
      <x:c r="K68" t="str">
        <x:v>Em recrutamento</x:v>
      </x:c>
      <x:c r="L68" t="str">
        <x:v>Leitura</x:v>
      </x:c>
      <x:c r="M68" t="str">
        <x:v>Não</x:v>
      </x:c>
      <x:c r="N68" t="str">
        <x:v>DADO FICTÍCIO – teste do painel; ID repetido em outra microrrota</x:v>
      </x:c>
      <x:c r="O68" s="15" t="n">
        <x:f>IF(A68="","",--(COUNTIF($A$2:A68,A68)=1))</x:f>
        <x:v>1</x:v>
      </x:c>
      <x:c r="P68" s="15" t="n">
        <x:f>IF(A68="","",--(COUNTIFS($A$2:A68,A68,$F$2:F68,F68)=1))</x:f>
        <x:v>1</x:v>
      </x:c>
    </x:row>
    <x:row r="69">
      <x:c r="A69" s="18" t="str">
        <x:v>LEI-05-01-02</x:v>
      </x:c>
      <x:c r="B69" t="str">
        <x:v>Equipe LEI-034</x:v>
      </x:c>
      <x:c r="C69" t="str">
        <x:v>Carlos Pereira</x:v>
      </x:c>
      <x:c r="D69" t="str">
        <x:v>Base Caruaru</x:v>
      </x:c>
      <x:c r="E69" t="str">
        <x:v>Brejo da Madre de Deus</x:v>
      </x:c>
      <x:c r="F69" t="str">
        <x:v>Caruaru</x:v>
      </x:c>
      <x:c r="G69" t="str">
        <x:v>MR05</x:v>
      </x:c>
      <x:c r="H69" t="str">
        <x:v>Brejo da Madre de Deus</x:v>
      </x:c>
      <x:c r="I69" t="str">
        <x:v>Equipe Simples</x:v>
      </x:c>
      <x:c r="J69" t="str">
        <x:v>Leitura / Entrega de Conta</x:v>
      </x:c>
      <x:c r="K69" t="str">
        <x:v>Em recrutamento</x:v>
      </x:c>
      <x:c r="L69" t="str">
        <x:v>Leitura</x:v>
      </x:c>
      <x:c r="M69" t="str">
        <x:v>Não</x:v>
      </x:c>
      <x:c r="N69" t="str">
        <x:v>DADO FICTÍCIO – teste do painel; ID repetido em outra microrrota</x:v>
      </x:c>
      <x:c r="O69" s="15" t="n">
        <x:f>IF(A69="","",--(COUNTIF($A$2:A69,A69)=1))</x:f>
        <x:v>0</x:v>
      </x:c>
      <x:c r="P69" s="15" t="n">
        <x:f>IF(A69="","",--(COUNTIFS($A$2:A69,A69,$F$2:F69,F69)=1))</x:f>
        <x:v>0</x:v>
      </x:c>
    </x:row>
    <x:row r="70">
      <x:c r="A70" s="18" t="str">
        <x:v>LEI-05-02-01</x:v>
      </x:c>
      <x:c r="B70" t="str">
        <x:v>Equipe LEI-035</x:v>
      </x:c>
      <x:c r="C70" t="str">
        <x:v>Felipe Teixeira</x:v>
      </x:c>
      <x:c r="D70" t="str">
        <x:v>Base Caruaru</x:v>
      </x:c>
      <x:c r="E70" t="str">
        <x:v>Brejo da Madre de Deus</x:v>
      </x:c>
      <x:c r="F70" t="str">
        <x:v>Caruaru</x:v>
      </x:c>
      <x:c r="G70" t="str">
        <x:v>MR05</x:v>
      </x:c>
      <x:c r="H70" t="str">
        <x:v>Brejo da Madre de Deus</x:v>
      </x:c>
      <x:c r="I70" t="str">
        <x:v>Equipe Simples</x:v>
      </x:c>
      <x:c r="J70" t="str">
        <x:v>Leitura / Entrega de Conta</x:v>
      </x:c>
      <x:c r="K70" t="str">
        <x:v>Em contratação</x:v>
      </x:c>
      <x:c r="L70" t="str">
        <x:v>Leitura</x:v>
      </x:c>
      <x:c r="M70" t="str">
        <x:v>Sim</x:v>
      </x:c>
      <x:c r="N70" t="str">
        <x:v>DADO FICTÍCIO – teste do painel; ID repetido em outra microrrota</x:v>
      </x:c>
      <x:c r="O70" s="15" t="n">
        <x:f>IF(A70="","",--(COUNTIF($A$2:A70,A70)=1))</x:f>
        <x:v>1</x:v>
      </x:c>
      <x:c r="P70" s="15" t="n">
        <x:f>IF(A70="","",--(COUNTIFS($A$2:A70,A70,$F$2:F70,F70)=1))</x:f>
        <x:v>1</x:v>
      </x:c>
    </x:row>
    <x:row r="71">
      <x:c r="A71" s="18" t="str">
        <x:v>LEI-05-02-01</x:v>
      </x:c>
      <x:c r="B71" t="str">
        <x:v>Equipe LEI-035</x:v>
      </x:c>
      <x:c r="C71" t="str">
        <x:v>Felipe Teixeira</x:v>
      </x:c>
      <x:c r="D71" t="str">
        <x:v>Base Caruaru</x:v>
      </x:c>
      <x:c r="E71" t="str">
        <x:v>Casinhas</x:v>
      </x:c>
      <x:c r="F71" t="str">
        <x:v>Caruaru</x:v>
      </x:c>
      <x:c r="G71" t="str">
        <x:v>MR06</x:v>
      </x:c>
      <x:c r="H71" t="str">
        <x:v>Casinhas</x:v>
      </x:c>
      <x:c r="I71" t="str">
        <x:v>Equipe Simples</x:v>
      </x:c>
      <x:c r="J71" t="str">
        <x:v>Leitura / Entrega de Conta</x:v>
      </x:c>
      <x:c r="K71" t="str">
        <x:v>Em contratação</x:v>
      </x:c>
      <x:c r="L71" t="str">
        <x:v>Leitura</x:v>
      </x:c>
      <x:c r="M71" t="str">
        <x:v>Sim</x:v>
      </x:c>
      <x:c r="N71" t="str">
        <x:v>DADO FICTÍCIO – teste do painel; ID repetido em outra microrrota</x:v>
      </x:c>
      <x:c r="O71" s="15" t="n">
        <x:f>IF(A71="","",--(COUNTIF($A$2:A71,A71)=1))</x:f>
        <x:v>0</x:v>
      </x:c>
      <x:c r="P71" s="15" t="n">
        <x:f>IF(A71="","",--(COUNTIFS($A$2:A71,A71,$F$2:F71,F71)=1))</x:f>
        <x:v>0</x:v>
      </x:c>
    </x:row>
    <x:row r="72">
      <x:c r="A72" s="18" t="str">
        <x:v>LEI-05-02-02</x:v>
      </x:c>
      <x:c r="B72" t="str">
        <x:v>Equipe LEI-036</x:v>
      </x:c>
      <x:c r="C72" t="str">
        <x:v>Igor Almeida</x:v>
      </x:c>
      <x:c r="D72" t="str">
        <x:v>Base Caruaru</x:v>
      </x:c>
      <x:c r="E72" t="str">
        <x:v>Casinhas</x:v>
      </x:c>
      <x:c r="F72" t="str">
        <x:v>Caruaru</x:v>
      </x:c>
      <x:c r="G72" t="str">
        <x:v>MR06</x:v>
      </x:c>
      <x:c r="H72" t="str">
        <x:v>Casinhas</x:v>
      </x:c>
      <x:c r="I72" t="str">
        <x:v>Equipe Dupla</x:v>
      </x:c>
      <x:c r="J72" t="str">
        <x:v>Leitura / Entrega de Conta</x:v>
      </x:c>
      <x:c r="K72" t="str">
        <x:v>Em contratação</x:v>
      </x:c>
      <x:c r="L72" t="str">
        <x:v>Leitura</x:v>
      </x:c>
      <x:c r="M72" t="str">
        <x:v>Não</x:v>
      </x:c>
      <x:c r="N72" t="str">
        <x:v>DADO FICTÍCIO – teste do painel; ID repetido em outra microrrota</x:v>
      </x:c>
      <x:c r="O72" s="15" t="n">
        <x:f>IF(A72="","",--(COUNTIF($A$2:A72,A72)=1))</x:f>
        <x:v>1</x:v>
      </x:c>
      <x:c r="P72" s="15" t="n">
        <x:f>IF(A72="","",--(COUNTIFS($A$2:A72,A72,$F$2:F72,F72)=1))</x:f>
        <x:v>1</x:v>
      </x:c>
    </x:row>
    <x:row r="73">
      <x:c r="A73" s="18" t="str">
        <x:v>LEI-05-02-02</x:v>
      </x:c>
      <x:c r="B73" t="str">
        <x:v>Equipe LEI-036</x:v>
      </x:c>
      <x:c r="C73" t="str">
        <x:v>Igor Almeida</x:v>
      </x:c>
      <x:c r="D73" t="str">
        <x:v>Base Caruaru</x:v>
      </x:c>
      <x:c r="E73" t="str">
        <x:v>Caruaru</x:v>
      </x:c>
      <x:c r="F73" t="str">
        <x:v>Caruaru</x:v>
      </x:c>
      <x:c r="G73" t="str">
        <x:v>MR01</x:v>
      </x:c>
      <x:c r="H73" t="str">
        <x:v>Caruaru</x:v>
      </x:c>
      <x:c r="I73" t="str">
        <x:v>Equipe Dupla</x:v>
      </x:c>
      <x:c r="J73" t="str">
        <x:v>Leitura / Entrega de Conta</x:v>
      </x:c>
      <x:c r="K73" t="str">
        <x:v>Em contratação</x:v>
      </x:c>
      <x:c r="L73" t="str">
        <x:v>Leitura</x:v>
      </x:c>
      <x:c r="M73" t="str">
        <x:v>Não</x:v>
      </x:c>
      <x:c r="N73" t="str">
        <x:v>DADO FICTÍCIO – teste do painel; ID repetido em outra microrrota</x:v>
      </x:c>
      <x:c r="O73" s="15" t="n">
        <x:f>IF(A73="","",--(COUNTIF($A$2:A73,A73)=1))</x:f>
        <x:v>0</x:v>
      </x:c>
      <x:c r="P73" s="15" t="n">
        <x:f>IF(A73="","",--(COUNTIFS($A$2:A73,A73,$F$2:F73,F73)=1))</x:f>
        <x:v>0</x:v>
      </x:c>
    </x:row>
    <x:row r="74">
      <x:c r="A74" s="18" t="str">
        <x:v>LEI-05-03-01</x:v>
      </x:c>
      <x:c r="B74" t="str">
        <x:v>Equipe LEI-037</x:v>
      </x:c>
      <x:c r="C74" t="str">
        <x:v>Marcos Gomes</x:v>
      </x:c>
      <x:c r="D74" t="str">
        <x:v>Base Caruaru</x:v>
      </x:c>
      <x:c r="E74" t="str">
        <x:v>Caruaru</x:v>
      </x:c>
      <x:c r="F74" t="str">
        <x:v>Caruaru</x:v>
      </x:c>
      <x:c r="G74" t="str">
        <x:v>MR01</x:v>
      </x:c>
      <x:c r="H74" t="str">
        <x:v>Caruaru</x:v>
      </x:c>
      <x:c r="I74" t="str">
        <x:v>Equipe Dupla</x:v>
      </x:c>
      <x:c r="J74" t="str">
        <x:v>Leitura / Entrega de Conta</x:v>
      </x:c>
      <x:c r="K74" t="str">
        <x:v>Contratada</x:v>
      </x:c>
      <x:c r="L74" t="str">
        <x:v>Leitura</x:v>
      </x:c>
      <x:c r="M74" t="str">
        <x:v>Sim</x:v>
      </x:c>
      <x:c r="N74" t="str">
        <x:v>DADO FICTÍCIO – teste do painel; ID repetido em outra microrrota</x:v>
      </x:c>
      <x:c r="O74" s="15" t="n">
        <x:f>IF(A74="","",--(COUNTIF($A$2:A74,A74)=1))</x:f>
        <x:v>1</x:v>
      </x:c>
      <x:c r="P74" s="15" t="n">
        <x:f>IF(A74="","",--(COUNTIFS($A$2:A74,A74,$F$2:F74,F74)=1))</x:f>
        <x:v>1</x:v>
      </x:c>
    </x:row>
    <x:row r="75">
      <x:c r="A75" s="18" t="str">
        <x:v>LEI-05-03-01</x:v>
      </x:c>
      <x:c r="B75" t="str">
        <x:v>Equipe LEI-037</x:v>
      </x:c>
      <x:c r="C75" t="str">
        <x:v>Marcos Gomes</x:v>
      </x:c>
      <x:c r="D75" t="str">
        <x:v>Base Caruaru</x:v>
      </x:c>
      <x:c r="E75" t="str">
        <x:v>Altinho</x:v>
      </x:c>
      <x:c r="F75" t="str">
        <x:v>Caruaru</x:v>
      </x:c>
      <x:c r="G75" t="str">
        <x:v>MR02</x:v>
      </x:c>
      <x:c r="H75" t="str">
        <x:v>Altinho</x:v>
      </x:c>
      <x:c r="I75" t="str">
        <x:v>Equipe Dupla</x:v>
      </x:c>
      <x:c r="J75" t="str">
        <x:v>Leitura / Entrega de Conta</x:v>
      </x:c>
      <x:c r="K75" t="str">
        <x:v>Contratada</x:v>
      </x:c>
      <x:c r="L75" t="str">
        <x:v>Leitura</x:v>
      </x:c>
      <x:c r="M75" t="str">
        <x:v>Sim</x:v>
      </x:c>
      <x:c r="N75" t="str">
        <x:v>DADO FICTÍCIO – teste do painel; ID repetido em outra microrrota</x:v>
      </x:c>
      <x:c r="O75" s="15" t="n">
        <x:f>IF(A75="","",--(COUNTIF($A$2:A75,A75)=1))</x:f>
        <x:v>0</x:v>
      </x:c>
      <x:c r="P75" s="15" t="n">
        <x:f>IF(A75="","",--(COUNTIFS($A$2:A75,A75,$F$2:F75,F75)=1))</x:f>
        <x:v>0</x:v>
      </x:c>
    </x:row>
    <x:row r="76">
      <x:c r="A76" s="18" t="str">
        <x:v>LEI-05-03-02</x:v>
      </x:c>
      <x:c r="B76" t="str">
        <x:v>Equipe LEI-038</x:v>
      </x:c>
      <x:c r="C76" t="str">
        <x:v>Renato Pereira</x:v>
      </x:c>
      <x:c r="D76" t="str">
        <x:v>Base Caruaru</x:v>
      </x:c>
      <x:c r="E76" t="str">
        <x:v>Altinho</x:v>
      </x:c>
      <x:c r="F76" t="str">
        <x:v>Caruaru</x:v>
      </x:c>
      <x:c r="G76" t="str">
        <x:v>MR02</x:v>
      </x:c>
      <x:c r="H76" t="str">
        <x:v>Altinho</x:v>
      </x:c>
      <x:c r="I76" t="str">
        <x:v>Equipe Simples</x:v>
      </x:c>
      <x:c r="J76" t="str">
        <x:v>Leitura / Entrega de Conta</x:v>
      </x:c>
      <x:c r="K76" t="str">
        <x:v>Contratada</x:v>
      </x:c>
      <x:c r="L76" t="str">
        <x:v>Leitura</x:v>
      </x:c>
      <x:c r="M76" t="str">
        <x:v>Sim</x:v>
      </x:c>
      <x:c r="N76" t="str">
        <x:v>DADO FICTÍCIO – teste do painel; ID repetido em outra microrrota</x:v>
      </x:c>
      <x:c r="O76" s="15" t="n">
        <x:f>IF(A76="","",--(COUNTIF($A$2:A76,A76)=1))</x:f>
        <x:v>1</x:v>
      </x:c>
      <x:c r="P76" s="15" t="n">
        <x:f>IF(A76="","",--(COUNTIFS($A$2:A76,A76,$F$2:F76,F76)=1))</x:f>
        <x:v>1</x:v>
      </x:c>
    </x:row>
    <x:row r="77">
      <x:c r="A77" s="18" t="str">
        <x:v>LEI-05-03-02</x:v>
      </x:c>
      <x:c r="B77" t="str">
        <x:v>Equipe LEI-038</x:v>
      </x:c>
      <x:c r="C77" t="str">
        <x:v>Renato Pereira</x:v>
      </x:c>
      <x:c r="D77" t="str">
        <x:v>Base Caruaru</x:v>
      </x:c>
      <x:c r="E77" t="str">
        <x:v>Panelas</x:v>
      </x:c>
      <x:c r="F77" t="str">
        <x:v>Caruaru</x:v>
      </x:c>
      <x:c r="G77" t="str">
        <x:v>MR03</x:v>
      </x:c>
      <x:c r="H77" t="str">
        <x:v>Panelas</x:v>
      </x:c>
      <x:c r="I77" t="str">
        <x:v>Equipe Simples</x:v>
      </x:c>
      <x:c r="J77" t="str">
        <x:v>Leitura / Entrega de Conta</x:v>
      </x:c>
      <x:c r="K77" t="str">
        <x:v>Contratada</x:v>
      </x:c>
      <x:c r="L77" t="str">
        <x:v>Leitura</x:v>
      </x:c>
      <x:c r="M77" t="str">
        <x:v>Sim</x:v>
      </x:c>
      <x:c r="N77" t="str">
        <x:v>DADO FICTÍCIO – teste do painel; ID repetido em outra microrrota</x:v>
      </x:c>
      <x:c r="O77" s="15" t="n">
        <x:f>IF(A77="","",--(COUNTIF($A$2:A77,A77)=1))</x:f>
        <x:v>0</x:v>
      </x:c>
      <x:c r="P77" s="15" t="n">
        <x:f>IF(A77="","",--(COUNTIFS($A$2:A77,A77,$F$2:F77,F77)=1))</x:f>
        <x:v>0</x:v>
      </x:c>
    </x:row>
    <x:row r="78">
      <x:c r="A78" s="18" t="str">
        <x:v>LEI-05-04-01</x:v>
      </x:c>
      <x:c r="B78" t="str">
        <x:v>Equipe LEI-039</x:v>
      </x:c>
      <x:c r="C78" t="str">
        <x:v>Wagner Teixeira</x:v>
      </x:c>
      <x:c r="D78" t="str">
        <x:v>Base Caruaru</x:v>
      </x:c>
      <x:c r="E78" t="str">
        <x:v>Panelas</x:v>
      </x:c>
      <x:c r="F78" t="str">
        <x:v>Caruaru</x:v>
      </x:c>
      <x:c r="G78" t="str">
        <x:v>MR03</x:v>
      </x:c>
      <x:c r="H78" t="str">
        <x:v>Panelas</x:v>
      </x:c>
      <x:c r="I78" t="str">
        <x:v>Equipe Simples</x:v>
      </x:c>
      <x:c r="J78" t="str">
        <x:v>Leitura / Entrega de Conta</x:v>
      </x:c>
      <x:c r="K78" t="str">
        <x:v>Mobilizada</x:v>
      </x:c>
      <x:c r="L78" t="str">
        <x:v>Leitura</x:v>
      </x:c>
      <x:c r="M78" t="str">
        <x:v>Sim</x:v>
      </x:c>
      <x:c r="N78" t="str">
        <x:v>DADO FICTÍCIO – teste do painel; ID repetido em outra microrrota</x:v>
      </x:c>
      <x:c r="O78" s="15" t="n">
        <x:f>IF(A78="","",--(COUNTIF($A$2:A78,A78)=1))</x:f>
        <x:v>1</x:v>
      </x:c>
      <x:c r="P78" s="15" t="n">
        <x:f>IF(A78="","",--(COUNTIFS($A$2:A78,A78,$F$2:F78,F78)=1))</x:f>
        <x:v>1</x:v>
      </x:c>
    </x:row>
    <x:row r="79">
      <x:c r="A79" s="18" t="str">
        <x:v>LEI-05-04-01</x:v>
      </x:c>
      <x:c r="B79" t="str">
        <x:v>Equipe LEI-039</x:v>
      </x:c>
      <x:c r="C79" t="str">
        <x:v>Wagner Teixeira</x:v>
      </x:c>
      <x:c r="D79" t="str">
        <x:v>Base Caruaru</x:v>
      </x:c>
      <x:c r="E79" t="str">
        <x:v>Belo Jardim</x:v>
      </x:c>
      <x:c r="F79" t="str">
        <x:v>Caruaru</x:v>
      </x:c>
      <x:c r="G79" t="str">
        <x:v>MR04</x:v>
      </x:c>
      <x:c r="H79" t="str">
        <x:v>Belo Jardim</x:v>
      </x:c>
      <x:c r="I79" t="str">
        <x:v>Equipe Simples</x:v>
      </x:c>
      <x:c r="J79" t="str">
        <x:v>Leitura / Entrega de Conta</x:v>
      </x:c>
      <x:c r="K79" t="str">
        <x:v>Mobilizada</x:v>
      </x:c>
      <x:c r="L79" t="str">
        <x:v>Leitura</x:v>
      </x:c>
      <x:c r="M79" t="str">
        <x:v>Sim</x:v>
      </x:c>
      <x:c r="N79" t="str">
        <x:v>DADO FICTÍCIO – teste do painel; ID repetido em outra microrrota</x:v>
      </x:c>
      <x:c r="O79" s="15" t="n">
        <x:f>IF(A79="","",--(COUNTIF($A$2:A79,A79)=1))</x:f>
        <x:v>0</x:v>
      </x:c>
      <x:c r="P79" s="15" t="n">
        <x:f>IF(A79="","",--(COUNTIFS($A$2:A79,A79,$F$2:F79,F79)=1))</x:f>
        <x:v>0</x:v>
      </x:c>
    </x:row>
    <x:row r="80">
      <x:c r="A80" s="18" t="str">
        <x:v>LEI-05-04-02</x:v>
      </x:c>
      <x:c r="B80" t="str">
        <x:v>Equipe LEI-040</x:v>
      </x:c>
      <x:c r="C80" t="str">
        <x:v>André Almeida</x:v>
      </x:c>
      <x:c r="D80" t="str">
        <x:v>Base Caruaru</x:v>
      </x:c>
      <x:c r="E80" t="str">
        <x:v>Belo Jardim</x:v>
      </x:c>
      <x:c r="F80" t="str">
        <x:v>Caruaru</x:v>
      </x:c>
      <x:c r="G80" t="str">
        <x:v>MR04</x:v>
      </x:c>
      <x:c r="H80" t="str">
        <x:v>Belo Jardim</x:v>
      </x:c>
      <x:c r="I80" t="str">
        <x:v>Equipe Dupla</x:v>
      </x:c>
      <x:c r="J80" t="str">
        <x:v>Leitura / Entrega de Conta</x:v>
      </x:c>
      <x:c r="K80" t="str">
        <x:v>Mobilizada</x:v>
      </x:c>
      <x:c r="L80" t="str">
        <x:v>Leitura</x:v>
      </x:c>
      <x:c r="M80" t="str">
        <x:v>Sim</x:v>
      </x:c>
      <x:c r="N80" t="str">
        <x:v>DADO FICTÍCIO – teste do painel; ID repetido em outra microrrota</x:v>
      </x:c>
      <x:c r="O80" s="15" t="n">
        <x:f>IF(A80="","",--(COUNTIF($A$2:A80,A80)=1))</x:f>
        <x:v>1</x:v>
      </x:c>
      <x:c r="P80" s="15" t="n">
        <x:f>IF(A80="","",--(COUNTIFS($A$2:A80,A80,$F$2:F80,F80)=1))</x:f>
        <x:v>1</x:v>
      </x:c>
    </x:row>
    <x:row r="81">
      <x:c r="A81" s="18" t="str">
        <x:v>LEI-05-04-02</x:v>
      </x:c>
      <x:c r="B81" t="str">
        <x:v>Equipe LEI-040</x:v>
      </x:c>
      <x:c r="C81" t="str">
        <x:v>André Almeida</x:v>
      </x:c>
      <x:c r="D81" t="str">
        <x:v>Base Caruaru</x:v>
      </x:c>
      <x:c r="E81" t="str">
        <x:v>Brejo da Madre de Deus</x:v>
      </x:c>
      <x:c r="F81" t="str">
        <x:v>Caruaru</x:v>
      </x:c>
      <x:c r="G81" t="str">
        <x:v>MR05</x:v>
      </x:c>
      <x:c r="H81" t="str">
        <x:v>Brejo da Madre de Deus</x:v>
      </x:c>
      <x:c r="I81" t="str">
        <x:v>Equipe Dupla</x:v>
      </x:c>
      <x:c r="J81" t="str">
        <x:v>Leitura / Entrega de Conta</x:v>
      </x:c>
      <x:c r="K81" t="str">
        <x:v>Mobilizada</x:v>
      </x:c>
      <x:c r="L81" t="str">
        <x:v>Leitura</x:v>
      </x:c>
      <x:c r="M81" t="str">
        <x:v>Sim</x:v>
      </x:c>
      <x:c r="N81" t="str">
        <x:v>DADO FICTÍCIO – teste do painel; ID repetido em outra microrrota</x:v>
      </x:c>
      <x:c r="O81" s="15" t="n">
        <x:f>IF(A81="","",--(COUNTIF($A$2:A81,A81)=1))</x:f>
        <x:v>0</x:v>
      </x:c>
      <x:c r="P81" s="15" t="n">
        <x:f>IF(A81="","",--(COUNTIFS($A$2:A81,A81,$F$2:F81,F81)=1))</x:f>
        <x:v>0</x:v>
      </x:c>
    </x:row>
    <x:row r="82">
      <x:c r="A82" s="18" t="str">
        <x:v>LEI-06-01-01</x:v>
      </x:c>
      <x:c r="B82" t="str">
        <x:v>Equipe LEI-041</x:v>
      </x:c>
      <x:c r="C82" t="str">
        <x:v>Daniel Gomes</x:v>
      </x:c>
      <x:c r="D82" t="str">
        <x:v>Base Garanhuns</x:v>
      </x:c>
      <x:c r="E82" t="str">
        <x:v>Angelim</x:v>
      </x:c>
      <x:c r="F82" t="str">
        <x:v>Garanhuns</x:v>
      </x:c>
      <x:c r="G82" t="str">
        <x:v>MR02</x:v>
      </x:c>
      <x:c r="H82" t="str">
        <x:v>Angelim</x:v>
      </x:c>
      <x:c r="I82" t="str">
        <x:v>Equipe Dupla</x:v>
      </x:c>
      <x:c r="J82" t="str">
        <x:v>Leitura / Entrega de Conta</x:v>
      </x:c>
      <x:c r="K82" t="str">
        <x:v>Em recrutamento</x:v>
      </x:c>
      <x:c r="L82" t="str">
        <x:v>Leitura</x:v>
      </x:c>
      <x:c r="M82" t="str">
        <x:v>Sim</x:v>
      </x:c>
      <x:c r="N82" t="str">
        <x:v>DADO FICTÍCIO – teste do painel; ID repetido em outra microrrota</x:v>
      </x:c>
      <x:c r="O82" s="15" t="n">
        <x:f>IF(A82="","",--(COUNTIF($A$2:A82,A82)=1))</x:f>
        <x:v>1</x:v>
      </x:c>
      <x:c r="P82" s="15" t="n">
        <x:f>IF(A82="","",--(COUNTIFS($A$2:A82,A82,$F$2:F82,F82)=1))</x:f>
        <x:v>1</x:v>
      </x:c>
    </x:row>
    <x:row r="83">
      <x:c r="A83" s="18" t="str">
        <x:v>LEI-06-01-01</x:v>
      </x:c>
      <x:c r="B83" t="str">
        <x:v>Equipe LEI-041</x:v>
      </x:c>
      <x:c r="C83" t="str">
        <x:v>Daniel Gomes</x:v>
      </x:c>
      <x:c r="D83" t="str">
        <x:v>Base Garanhuns</x:v>
      </x:c>
      <x:c r="E83" t="str">
        <x:v>Águas Belas</x:v>
      </x:c>
      <x:c r="F83" t="str">
        <x:v>Garanhuns</x:v>
      </x:c>
      <x:c r="G83" t="str">
        <x:v>MR03</x:v>
      </x:c>
      <x:c r="H83" t="str">
        <x:v>Águas Belas</x:v>
      </x:c>
      <x:c r="I83" t="str">
        <x:v>Equipe Dupla</x:v>
      </x:c>
      <x:c r="J83" t="str">
        <x:v>Leitura / Entrega de Conta</x:v>
      </x:c>
      <x:c r="K83" t="str">
        <x:v>Em recrutamento</x:v>
      </x:c>
      <x:c r="L83" t="str">
        <x:v>Leitura</x:v>
      </x:c>
      <x:c r="M83" t="str">
        <x:v>Sim</x:v>
      </x:c>
      <x:c r="N83" t="str">
        <x:v>DADO FICTÍCIO – teste do painel; ID repetido em outra microrrota</x:v>
      </x:c>
      <x:c r="O83" s="15" t="n">
        <x:f>IF(A83="","",--(COUNTIF($A$2:A83,A83)=1))</x:f>
        <x:v>0</x:v>
      </x:c>
      <x:c r="P83" s="15" t="n">
        <x:f>IF(A83="","",--(COUNTIFS($A$2:A83,A83,$F$2:F83,F83)=1))</x:f>
        <x:v>0</x:v>
      </x:c>
    </x:row>
    <x:row r="84">
      <x:c r="A84" s="18" t="str">
        <x:v>LEI-06-01-02</x:v>
      </x:c>
      <x:c r="B84" t="str">
        <x:v>Equipe LEI-042</x:v>
      </x:c>
      <x:c r="C84" t="str">
        <x:v>Gabriel Pereira</x:v>
      </x:c>
      <x:c r="D84" t="str">
        <x:v>Base Garanhuns</x:v>
      </x:c>
      <x:c r="E84" t="str">
        <x:v>Águas Belas</x:v>
      </x:c>
      <x:c r="F84" t="str">
        <x:v>Garanhuns</x:v>
      </x:c>
      <x:c r="G84" t="str">
        <x:v>MR03</x:v>
      </x:c>
      <x:c r="H84" t="str">
        <x:v>Águas Belas</x:v>
      </x:c>
      <x:c r="I84" t="str">
        <x:v>Equipe Simples</x:v>
      </x:c>
      <x:c r="J84" t="str">
        <x:v>Leitura / Entrega de Conta</x:v>
      </x:c>
      <x:c r="K84" t="str">
        <x:v>Em recrutamento</x:v>
      </x:c>
      <x:c r="L84" t="str">
        <x:v>Leitura</x:v>
      </x:c>
      <x:c r="M84" t="str">
        <x:v>Não</x:v>
      </x:c>
      <x:c r="N84" t="str">
        <x:v>DADO FICTÍCIO – teste do painel; ID repetido em outra microrrota</x:v>
      </x:c>
      <x:c r="O84" s="15" t="n">
        <x:f>IF(A84="","",--(COUNTIF($A$2:A84,A84)=1))</x:f>
        <x:v>1</x:v>
      </x:c>
      <x:c r="P84" s="15" t="n">
        <x:f>IF(A84="","",--(COUNTIFS($A$2:A84,A84,$F$2:F84,F84)=1))</x:f>
        <x:v>1</x:v>
      </x:c>
    </x:row>
    <x:row r="85">
      <x:c r="A85" s="18" t="str">
        <x:v>LEI-06-01-02</x:v>
      </x:c>
      <x:c r="B85" t="str">
        <x:v>Equipe LEI-042</x:v>
      </x:c>
      <x:c r="C85" t="str">
        <x:v>Gabriel Pereira</x:v>
      </x:c>
      <x:c r="D85" t="str">
        <x:v>Base Garanhuns</x:v>
      </x:c>
      <x:c r="E85" t="str">
        <x:v>Garanhuns</x:v>
      </x:c>
      <x:c r="F85" t="str">
        <x:v>Garanhuns</x:v>
      </x:c>
      <x:c r="G85" t="str">
        <x:v>MR01</x:v>
      </x:c>
      <x:c r="H85" t="str">
        <x:v>Garanhuns</x:v>
      </x:c>
      <x:c r="I85" t="str">
        <x:v>Equipe Simples</x:v>
      </x:c>
      <x:c r="J85" t="str">
        <x:v>Leitura / Entrega de Conta</x:v>
      </x:c>
      <x:c r="K85" t="str">
        <x:v>Em recrutamento</x:v>
      </x:c>
      <x:c r="L85" t="str">
        <x:v>Leitura</x:v>
      </x:c>
      <x:c r="M85" t="str">
        <x:v>Não</x:v>
      </x:c>
      <x:c r="N85" t="str">
        <x:v>DADO FICTÍCIO – teste do painel; ID repetido em outra microrrota</x:v>
      </x:c>
      <x:c r="O85" s="15" t="n">
        <x:f>IF(A85="","",--(COUNTIF($A$2:A85,A85)=1))</x:f>
        <x:v>0</x:v>
      </x:c>
      <x:c r="P85" s="15" t="n">
        <x:f>IF(A85="","",--(COUNTIFS($A$2:A85,A85,$F$2:F85,F85)=1))</x:f>
        <x:v>0</x:v>
      </x:c>
    </x:row>
    <x:row r="86">
      <x:c r="A86" s="18" t="str">
        <x:v>LEI-06-02-01</x:v>
      </x:c>
      <x:c r="B86" t="str">
        <x:v>Equipe LEI-043</x:v>
      </x:c>
      <x:c r="C86" t="str">
        <x:v>João Teixeira</x:v>
      </x:c>
      <x:c r="D86" t="str">
        <x:v>Base Garanhuns</x:v>
      </x:c>
      <x:c r="E86" t="str">
        <x:v>Garanhuns</x:v>
      </x:c>
      <x:c r="F86" t="str">
        <x:v>Garanhuns</x:v>
      </x:c>
      <x:c r="G86" t="str">
        <x:v>MR01</x:v>
      </x:c>
      <x:c r="H86" t="str">
        <x:v>Garanhuns</x:v>
      </x:c>
      <x:c r="I86" t="str">
        <x:v>Equipe Simples</x:v>
      </x:c>
      <x:c r="J86" t="str">
        <x:v>Leitura / Entrega de Conta</x:v>
      </x:c>
      <x:c r="K86" t="str">
        <x:v>Em contratação</x:v>
      </x:c>
      <x:c r="L86" t="str">
        <x:v>Leitura</x:v>
      </x:c>
      <x:c r="M86" t="str">
        <x:v>Sim</x:v>
      </x:c>
      <x:c r="N86" t="str">
        <x:v>DADO FICTÍCIO – teste do painel; ID repetido em outra microrrota</x:v>
      </x:c>
      <x:c r="O86" s="15" t="n">
        <x:f>IF(A86="","",--(COUNTIF($A$2:A86,A86)=1))</x:f>
        <x:v>1</x:v>
      </x:c>
      <x:c r="P86" s="15" t="n">
        <x:f>IF(A86="","",--(COUNTIFS($A$2:A86,A86,$F$2:F86,F86)=1))</x:f>
        <x:v>1</x:v>
      </x:c>
    </x:row>
    <x:row r="87">
      <x:c r="A87" s="18" t="str">
        <x:v>LEI-06-02-01</x:v>
      </x:c>
      <x:c r="B87" t="str">
        <x:v>Equipe LEI-043</x:v>
      </x:c>
      <x:c r="C87" t="str">
        <x:v>João Teixeira</x:v>
      </x:c>
      <x:c r="D87" t="str">
        <x:v>Base Garanhuns</x:v>
      </x:c>
      <x:c r="E87" t="str">
        <x:v>Angelim</x:v>
      </x:c>
      <x:c r="F87" t="str">
        <x:v>Garanhuns</x:v>
      </x:c>
      <x:c r="G87" t="str">
        <x:v>MR02</x:v>
      </x:c>
      <x:c r="H87" t="str">
        <x:v>Angelim</x:v>
      </x:c>
      <x:c r="I87" t="str">
        <x:v>Equipe Simples</x:v>
      </x:c>
      <x:c r="J87" t="str">
        <x:v>Leitura / Entrega de Conta</x:v>
      </x:c>
      <x:c r="K87" t="str">
        <x:v>Em contratação</x:v>
      </x:c>
      <x:c r="L87" t="str">
        <x:v>Leitura</x:v>
      </x:c>
      <x:c r="M87" t="str">
        <x:v>Sim</x:v>
      </x:c>
      <x:c r="N87" t="str">
        <x:v>DADO FICTÍCIO – teste do painel; ID repetido em outra microrrota</x:v>
      </x:c>
      <x:c r="O87" s="15" t="n">
        <x:f>IF(A87="","",--(COUNTIF($A$2:A87,A87)=1))</x:f>
        <x:v>0</x:v>
      </x:c>
      <x:c r="P87" s="15" t="n">
        <x:f>IF(A87="","",--(COUNTIFS($A$2:A87,A87,$F$2:F87,F87)=1))</x:f>
        <x:v>0</x:v>
      </x:c>
    </x:row>
    <x:row r="88">
      <x:c r="A88" s="18" t="str">
        <x:v>LEI-06-02-02</x:v>
      </x:c>
      <x:c r="B88" t="str">
        <x:v>Equipe LEI-044</x:v>
      </x:c>
      <x:c r="C88" t="str">
        <x:v>Paulo Almeida</x:v>
      </x:c>
      <x:c r="D88" t="str">
        <x:v>Base Garanhuns</x:v>
      </x:c>
      <x:c r="E88" t="str">
        <x:v>Angelim</x:v>
      </x:c>
      <x:c r="F88" t="str">
        <x:v>Garanhuns</x:v>
      </x:c>
      <x:c r="G88" t="str">
        <x:v>MR02</x:v>
      </x:c>
      <x:c r="H88" t="str">
        <x:v>Angelim</x:v>
      </x:c>
      <x:c r="I88" t="str">
        <x:v>Equipe Dupla</x:v>
      </x:c>
      <x:c r="J88" t="str">
        <x:v>Leitura / Entrega de Conta</x:v>
      </x:c>
      <x:c r="K88" t="str">
        <x:v>Em contratação</x:v>
      </x:c>
      <x:c r="L88" t="str">
        <x:v>Leitura</x:v>
      </x:c>
      <x:c r="M88" t="str">
        <x:v>Não</x:v>
      </x:c>
      <x:c r="N88" t="str">
        <x:v>DADO FICTÍCIO – teste do painel; ID repetido em outra microrrota</x:v>
      </x:c>
      <x:c r="O88" s="15" t="n">
        <x:f>IF(A88="","",--(COUNTIF($A$2:A88,A88)=1))</x:f>
        <x:v>1</x:v>
      </x:c>
      <x:c r="P88" s="15" t="n">
        <x:f>IF(A88="","",--(COUNTIFS($A$2:A88,A88,$F$2:F88,F88)=1))</x:f>
        <x:v>1</x:v>
      </x:c>
    </x:row>
    <x:row r="89">
      <x:c r="A89" s="18" t="str">
        <x:v>LEI-06-02-02</x:v>
      </x:c>
      <x:c r="B89" t="str">
        <x:v>Equipe LEI-044</x:v>
      </x:c>
      <x:c r="C89" t="str">
        <x:v>Paulo Almeida</x:v>
      </x:c>
      <x:c r="D89" t="str">
        <x:v>Base Garanhuns</x:v>
      </x:c>
      <x:c r="E89" t="str">
        <x:v>Águas Belas</x:v>
      </x:c>
      <x:c r="F89" t="str">
        <x:v>Garanhuns</x:v>
      </x:c>
      <x:c r="G89" t="str">
        <x:v>MR03</x:v>
      </x:c>
      <x:c r="H89" t="str">
        <x:v>Águas Belas</x:v>
      </x:c>
      <x:c r="I89" t="str">
        <x:v>Equipe Dupla</x:v>
      </x:c>
      <x:c r="J89" t="str">
        <x:v>Leitura / Entrega de Conta</x:v>
      </x:c>
      <x:c r="K89" t="str">
        <x:v>Em contratação</x:v>
      </x:c>
      <x:c r="L89" t="str">
        <x:v>Leitura</x:v>
      </x:c>
      <x:c r="M89" t="str">
        <x:v>Não</x:v>
      </x:c>
      <x:c r="N89" t="str">
        <x:v>DADO FICTÍCIO – teste do painel; ID repetido em outra microrrota</x:v>
      </x:c>
      <x:c r="O89" s="15" t="n">
        <x:f>IF(A89="","",--(COUNTIF($A$2:A89,A89)=1))</x:f>
        <x:v>0</x:v>
      </x:c>
      <x:c r="P89" s="15" t="n">
        <x:f>IF(A89="","",--(COUNTIFS($A$2:A89,A89,$F$2:F89,F89)=1))</x:f>
        <x:v>0</x:v>
      </x:c>
    </x:row>
    <x:row r="90">
      <x:c r="A90" s="18" t="str">
        <x:v>LEI-06-03-01</x:v>
      </x:c>
      <x:c r="B90" t="str">
        <x:v>Equipe LEI-045</x:v>
      </x:c>
      <x:c r="C90" t="str">
        <x:v>Thiago Gomes</x:v>
      </x:c>
      <x:c r="D90" t="str">
        <x:v>Base Garanhuns</x:v>
      </x:c>
      <x:c r="E90" t="str">
        <x:v>Águas Belas</x:v>
      </x:c>
      <x:c r="F90" t="str">
        <x:v>Garanhuns</x:v>
      </x:c>
      <x:c r="G90" t="str">
        <x:v>MR03</x:v>
      </x:c>
      <x:c r="H90" t="str">
        <x:v>Águas Belas</x:v>
      </x:c>
      <x:c r="I90" t="str">
        <x:v>Equipe Dupla</x:v>
      </x:c>
      <x:c r="J90" t="str">
        <x:v>Leitura / Entrega de Conta</x:v>
      </x:c>
      <x:c r="K90" t="str">
        <x:v>Contratada</x:v>
      </x:c>
      <x:c r="L90" t="str">
        <x:v>Leitura</x:v>
      </x:c>
      <x:c r="M90" t="str">
        <x:v>Sim</x:v>
      </x:c>
      <x:c r="N90" t="str">
        <x:v>DADO FICTÍCIO – teste do painel; ID repetido em outra microrrota</x:v>
      </x:c>
      <x:c r="O90" s="15" t="n">
        <x:f>IF(A90="","",--(COUNTIF($A$2:A90,A90)=1))</x:f>
        <x:v>1</x:v>
      </x:c>
      <x:c r="P90" s="15" t="n">
        <x:f>IF(A90="","",--(COUNTIFS($A$2:A90,A90,$F$2:F90,F90)=1))</x:f>
        <x:v>1</x:v>
      </x:c>
    </x:row>
    <x:row r="91">
      <x:c r="A91" s="18" t="str">
        <x:v>LEI-06-03-01</x:v>
      </x:c>
      <x:c r="B91" t="str">
        <x:v>Equipe LEI-045</x:v>
      </x:c>
      <x:c r="C91" t="str">
        <x:v>Thiago Gomes</x:v>
      </x:c>
      <x:c r="D91" t="str">
        <x:v>Base Garanhuns</x:v>
      </x:c>
      <x:c r="E91" t="str">
        <x:v>Garanhuns</x:v>
      </x:c>
      <x:c r="F91" t="str">
        <x:v>Garanhuns</x:v>
      </x:c>
      <x:c r="G91" t="str">
        <x:v>MR01</x:v>
      </x:c>
      <x:c r="H91" t="str">
        <x:v>Garanhuns</x:v>
      </x:c>
      <x:c r="I91" t="str">
        <x:v>Equipe Dupla</x:v>
      </x:c>
      <x:c r="J91" t="str">
        <x:v>Leitura / Entrega de Conta</x:v>
      </x:c>
      <x:c r="K91" t="str">
        <x:v>Contratada</x:v>
      </x:c>
      <x:c r="L91" t="str">
        <x:v>Leitura</x:v>
      </x:c>
      <x:c r="M91" t="str">
        <x:v>Sim</x:v>
      </x:c>
      <x:c r="N91" t="str">
        <x:v>DADO FICTÍCIO – teste do painel; ID repetido em outra microrrota</x:v>
      </x:c>
      <x:c r="O91" s="15" t="n">
        <x:f>IF(A91="","",--(COUNTIF($A$2:A91,A91)=1))</x:f>
        <x:v>0</x:v>
      </x:c>
      <x:c r="P91" s="15" t="n">
        <x:f>IF(A91="","",--(COUNTIFS($A$2:A91,A91,$F$2:F91,F91)=1))</x:f>
        <x:v>0</x:v>
      </x:c>
    </x:row>
    <x:row r="92">
      <x:c r="A92" s="18" t="str">
        <x:v>LEI-06-03-02</x:v>
      </x:c>
      <x:c r="B92" t="str">
        <x:v>Equipe LEI-046</x:v>
      </x:c>
      <x:c r="C92" t="str">
        <x:v>Alex Pereira</x:v>
      </x:c>
      <x:c r="D92" t="str">
        <x:v>Base Garanhuns</x:v>
      </x:c>
      <x:c r="E92" t="str">
        <x:v>Garanhuns</x:v>
      </x:c>
      <x:c r="F92" t="str">
        <x:v>Garanhuns</x:v>
      </x:c>
      <x:c r="G92" t="str">
        <x:v>MR01</x:v>
      </x:c>
      <x:c r="H92" t="str">
        <x:v>Garanhuns</x:v>
      </x:c>
      <x:c r="I92" t="str">
        <x:v>Equipe Simples</x:v>
      </x:c>
      <x:c r="J92" t="str">
        <x:v>Leitura / Entrega de Conta</x:v>
      </x:c>
      <x:c r="K92" t="str">
        <x:v>Contratada</x:v>
      </x:c>
      <x:c r="L92" t="str">
        <x:v>Leitura</x:v>
      </x:c>
      <x:c r="M92" t="str">
        <x:v>Sim</x:v>
      </x:c>
      <x:c r="N92" t="str">
        <x:v>DADO FICTÍCIO – teste do painel; ID repetido em outra microrrota</x:v>
      </x:c>
      <x:c r="O92" s="15" t="n">
        <x:f>IF(A92="","",--(COUNTIF($A$2:A92,A92)=1))</x:f>
        <x:v>1</x:v>
      </x:c>
      <x:c r="P92" s="15" t="n">
        <x:f>IF(A92="","",--(COUNTIFS($A$2:A92,A92,$F$2:F92,F92)=1))</x:f>
        <x:v>1</x:v>
      </x:c>
    </x:row>
    <x:row r="93">
      <x:c r="A93" s="18" t="str">
        <x:v>LEI-06-03-02</x:v>
      </x:c>
      <x:c r="B93" t="str">
        <x:v>Equipe LEI-046</x:v>
      </x:c>
      <x:c r="C93" t="str">
        <x:v>Alex Pereira</x:v>
      </x:c>
      <x:c r="D93" t="str">
        <x:v>Base Garanhuns</x:v>
      </x:c>
      <x:c r="E93" t="str">
        <x:v>Angelim</x:v>
      </x:c>
      <x:c r="F93" t="str">
        <x:v>Garanhuns</x:v>
      </x:c>
      <x:c r="G93" t="str">
        <x:v>MR02</x:v>
      </x:c>
      <x:c r="H93" t="str">
        <x:v>Angelim</x:v>
      </x:c>
      <x:c r="I93" t="str">
        <x:v>Equipe Simples</x:v>
      </x:c>
      <x:c r="J93" t="str">
        <x:v>Leitura / Entrega de Conta</x:v>
      </x:c>
      <x:c r="K93" t="str">
        <x:v>Contratada</x:v>
      </x:c>
      <x:c r="L93" t="str">
        <x:v>Leitura</x:v>
      </x:c>
      <x:c r="M93" t="str">
        <x:v>Sim</x:v>
      </x:c>
      <x:c r="N93" t="str">
        <x:v>DADO FICTÍCIO – teste do painel; ID repetido em outra microrrota</x:v>
      </x:c>
      <x:c r="O93" s="15" t="n">
        <x:f>IF(A93="","",--(COUNTIF($A$2:A93,A93)=1))</x:f>
        <x:v>0</x:v>
      </x:c>
      <x:c r="P93" s="15" t="n">
        <x:f>IF(A93="","",--(COUNTIFS($A$2:A93,A93,$F$2:F93,F93)=1))</x:f>
        <x:v>0</x:v>
      </x:c>
    </x:row>
    <x:row r="94">
      <x:c r="A94" s="18" t="str">
        <x:v>LEI-06-04-01</x:v>
      </x:c>
      <x:c r="B94" t="str">
        <x:v>Equipe LEI-047</x:v>
      </x:c>
      <x:c r="C94" t="str">
        <x:v>Bruno Teixeira</x:v>
      </x:c>
      <x:c r="D94" t="str">
        <x:v>Base Garanhuns</x:v>
      </x:c>
      <x:c r="E94" t="str">
        <x:v>Angelim</x:v>
      </x:c>
      <x:c r="F94" t="str">
        <x:v>Garanhuns</x:v>
      </x:c>
      <x:c r="G94" t="str">
        <x:v>MR02</x:v>
      </x:c>
      <x:c r="H94" t="str">
        <x:v>Angelim</x:v>
      </x:c>
      <x:c r="I94" t="str">
        <x:v>Equipe Simples</x:v>
      </x:c>
      <x:c r="J94" t="str">
        <x:v>Leitura / Entrega de Conta</x:v>
      </x:c>
      <x:c r="K94" t="str">
        <x:v>Mobilizada</x:v>
      </x:c>
      <x:c r="L94" t="str">
        <x:v>Leitura</x:v>
      </x:c>
      <x:c r="M94" t="str">
        <x:v>Sim</x:v>
      </x:c>
      <x:c r="N94" t="str">
        <x:v>DADO FICTÍCIO – teste do painel; ID repetido em outra microrrota</x:v>
      </x:c>
      <x:c r="O94" s="15" t="n">
        <x:f>IF(A94="","",--(COUNTIF($A$2:A94,A94)=1))</x:f>
        <x:v>1</x:v>
      </x:c>
      <x:c r="P94" s="15" t="n">
        <x:f>IF(A94="","",--(COUNTIFS($A$2:A94,A94,$F$2:F94,F94)=1))</x:f>
        <x:v>1</x:v>
      </x:c>
    </x:row>
    <x:row r="95">
      <x:c r="A95" s="18" t="str">
        <x:v>LEI-06-04-01</x:v>
      </x:c>
      <x:c r="B95" t="str">
        <x:v>Equipe LEI-047</x:v>
      </x:c>
      <x:c r="C95" t="str">
        <x:v>Bruno Teixeira</x:v>
      </x:c>
      <x:c r="D95" t="str">
        <x:v>Base Garanhuns</x:v>
      </x:c>
      <x:c r="E95" t="str">
        <x:v>Águas Belas</x:v>
      </x:c>
      <x:c r="F95" t="str">
        <x:v>Garanhuns</x:v>
      </x:c>
      <x:c r="G95" t="str">
        <x:v>MR03</x:v>
      </x:c>
      <x:c r="H95" t="str">
        <x:v>Águas Belas</x:v>
      </x:c>
      <x:c r="I95" t="str">
        <x:v>Equipe Simples</x:v>
      </x:c>
      <x:c r="J95" t="str">
        <x:v>Leitura / Entrega de Conta</x:v>
      </x:c>
      <x:c r="K95" t="str">
        <x:v>Mobilizada</x:v>
      </x:c>
      <x:c r="L95" t="str">
        <x:v>Leitura</x:v>
      </x:c>
      <x:c r="M95" t="str">
        <x:v>Sim</x:v>
      </x:c>
      <x:c r="N95" t="str">
        <x:v>DADO FICTÍCIO – teste do painel; ID repetido em outra microrrota</x:v>
      </x:c>
      <x:c r="O95" s="15" t="n">
        <x:f>IF(A95="","",--(COUNTIF($A$2:A95,A95)=1))</x:f>
        <x:v>0</x:v>
      </x:c>
      <x:c r="P95" s="15" t="n">
        <x:f>IF(A95="","",--(COUNTIFS($A$2:A95,A95,$F$2:F95,F95)=1))</x:f>
        <x:v>0</x:v>
      </x:c>
    </x:row>
    <x:row r="96">
      <x:c r="A96" s="18" t="str">
        <x:v>LEI-06-04-02</x:v>
      </x:c>
      <x:c r="B96" t="str">
        <x:v>Equipe LEI-048</x:v>
      </x:c>
      <x:c r="C96" t="str">
        <x:v>Eduardo Almeida</x:v>
      </x:c>
      <x:c r="D96" t="str">
        <x:v>Base Garanhuns</x:v>
      </x:c>
      <x:c r="E96" t="str">
        <x:v>Águas Belas</x:v>
      </x:c>
      <x:c r="F96" t="str">
        <x:v>Garanhuns</x:v>
      </x:c>
      <x:c r="G96" t="str">
        <x:v>MR03</x:v>
      </x:c>
      <x:c r="H96" t="str">
        <x:v>Águas Belas</x:v>
      </x:c>
      <x:c r="I96" t="str">
        <x:v>Equipe Dupla</x:v>
      </x:c>
      <x:c r="J96" t="str">
        <x:v>Leitura / Entrega de Conta</x:v>
      </x:c>
      <x:c r="K96" t="str">
        <x:v>Mobilizada</x:v>
      </x:c>
      <x:c r="L96" t="str">
        <x:v>Leitura</x:v>
      </x:c>
      <x:c r="M96" t="str">
        <x:v>Sim</x:v>
      </x:c>
      <x:c r="N96" t="str">
        <x:v>DADO FICTÍCIO – teste do painel; ID repetido em outra microrrota</x:v>
      </x:c>
      <x:c r="O96" s="15" t="n">
        <x:f>IF(A96="","",--(COUNTIF($A$2:A96,A96)=1))</x:f>
        <x:v>1</x:v>
      </x:c>
      <x:c r="P96" s="15" t="n">
        <x:f>IF(A96="","",--(COUNTIFS($A$2:A96,A96,$F$2:F96,F96)=1))</x:f>
        <x:v>1</x:v>
      </x:c>
    </x:row>
    <x:row r="97">
      <x:c r="A97" s="18" t="str">
        <x:v>LEI-06-04-02</x:v>
      </x:c>
      <x:c r="B97" t="str">
        <x:v>Equipe LEI-048</x:v>
      </x:c>
      <x:c r="C97" t="str">
        <x:v>Eduardo Almeida</x:v>
      </x:c>
      <x:c r="D97" t="str">
        <x:v>Base Garanhuns</x:v>
      </x:c>
      <x:c r="E97" t="str">
        <x:v>Garanhuns</x:v>
      </x:c>
      <x:c r="F97" t="str">
        <x:v>Garanhuns</x:v>
      </x:c>
      <x:c r="G97" t="str">
        <x:v>MR01</x:v>
      </x:c>
      <x:c r="H97" t="str">
        <x:v>Garanhuns</x:v>
      </x:c>
      <x:c r="I97" t="str">
        <x:v>Equipe Dupla</x:v>
      </x:c>
      <x:c r="J97" t="str">
        <x:v>Leitura / Entrega de Conta</x:v>
      </x:c>
      <x:c r="K97" t="str">
        <x:v>Mobilizada</x:v>
      </x:c>
      <x:c r="L97" t="str">
        <x:v>Leitura</x:v>
      </x:c>
      <x:c r="M97" t="str">
        <x:v>Sim</x:v>
      </x:c>
      <x:c r="N97" t="str">
        <x:v>DADO FICTÍCIO – teste do painel; ID repetido em outra microrrota</x:v>
      </x:c>
      <x:c r="O97" s="15" t="n">
        <x:f>IF(A97="","",--(COUNTIF($A$2:A97,A97)=1))</x:f>
        <x:v>0</x:v>
      </x:c>
      <x:c r="P97" s="15" t="n">
        <x:f>IF(A97="","",--(COUNTIFS($A$2:A97,A97,$F$2:F97,F97)=1))</x:f>
        <x:v>0</x:v>
      </x:c>
    </x:row>
    <x:row r="98">
      <x:c r="A98" s="18" t="str">
        <x:v>LEI-07-01-01</x:v>
      </x:c>
      <x:c r="B98" t="str">
        <x:v>Equipe LEI-049</x:v>
      </x:c>
      <x:c r="C98" t="str">
        <x:v>Henrique Gomes</x:v>
      </x:c>
      <x:c r="D98" t="str">
        <x:v>Base Arcoverde</x:v>
      </x:c>
      <x:c r="E98" t="str">
        <x:v>Buíque</x:v>
      </x:c>
      <x:c r="F98" t="str">
        <x:v>Arcoverde</x:v>
      </x:c>
      <x:c r="G98" t="str">
        <x:v>MR01</x:v>
      </x:c>
      <x:c r="H98" t="str">
        <x:v>Buíque</x:v>
      </x:c>
      <x:c r="I98" t="str">
        <x:v>Equipe Dupla</x:v>
      </x:c>
      <x:c r="J98" t="str">
        <x:v>Leitura / Entrega de Conta</x:v>
      </x:c>
      <x:c r="K98" t="str">
        <x:v>Em recrutamento</x:v>
      </x:c>
      <x:c r="L98" t="str">
        <x:v>Leitura</x:v>
      </x:c>
      <x:c r="M98" t="str">
        <x:v>Sim</x:v>
      </x:c>
      <x:c r="N98" t="str">
        <x:v>DADO FICTÍCIO – teste do painel; ID repetido em outra microrrota</x:v>
      </x:c>
      <x:c r="O98" s="15" t="n">
        <x:f>IF(A98="","",--(COUNTIF($A$2:A98,A98)=1))</x:f>
        <x:v>1</x:v>
      </x:c>
      <x:c r="P98" s="15" t="n">
        <x:f>IF(A98="","",--(COUNTIFS($A$2:A98,A98,$F$2:F98,F98)=1))</x:f>
        <x:v>1</x:v>
      </x:c>
    </x:row>
    <x:row r="99">
      <x:c r="A99" s="18" t="str">
        <x:v>LEI-07-01-01</x:v>
      </x:c>
      <x:c r="B99" t="str">
        <x:v>Equipe LEI-049</x:v>
      </x:c>
      <x:c r="C99" t="str">
        <x:v>Henrique Gomes</x:v>
      </x:c>
      <x:c r="D99" t="str">
        <x:v>Base Arcoverde</x:v>
      </x:c>
      <x:c r="E99" t="str">
        <x:v>Alagoinha</x:v>
      </x:c>
      <x:c r="F99" t="str">
        <x:v>Arcoverde</x:v>
      </x:c>
      <x:c r="G99" t="str">
        <x:v>MR02</x:v>
      </x:c>
      <x:c r="H99" t="str">
        <x:v>Alagoinha</x:v>
      </x:c>
      <x:c r="I99" t="str">
        <x:v>Equipe Dupla</x:v>
      </x:c>
      <x:c r="J99" t="str">
        <x:v>Leitura / Entrega de Conta</x:v>
      </x:c>
      <x:c r="K99" t="str">
        <x:v>Em recrutamento</x:v>
      </x:c>
      <x:c r="L99" t="str">
        <x:v>Leitura</x:v>
      </x:c>
      <x:c r="M99" t="str">
        <x:v>Sim</x:v>
      </x:c>
      <x:c r="N99" t="str">
        <x:v>DADO FICTÍCIO – teste do painel; ID repetido em outra microrrota</x:v>
      </x:c>
      <x:c r="O99" s="15" t="n">
        <x:f>IF(A99="","",--(COUNTIF($A$2:A99,A99)=1))</x:f>
        <x:v>0</x:v>
      </x:c>
      <x:c r="P99" s="15" t="n">
        <x:f>IF(A99="","",--(COUNTIFS($A$2:A99,A99,$F$2:F99,F99)=1))</x:f>
        <x:v>0</x:v>
      </x:c>
    </x:row>
    <x:row r="100">
      <x:c r="A100" s="18" t="str">
        <x:v>LEI-07-01-02</x:v>
      </x:c>
      <x:c r="B100" t="str">
        <x:v>Equipe LEI-050</x:v>
      </x:c>
      <x:c r="C100" t="str">
        <x:v>Lucas Pereira</x:v>
      </x:c>
      <x:c r="D100" t="str">
        <x:v>Base Arcoverde</x:v>
      </x:c>
      <x:c r="E100" t="str">
        <x:v>Alagoinha</x:v>
      </x:c>
      <x:c r="F100" t="str">
        <x:v>Arcoverde</x:v>
      </x:c>
      <x:c r="G100" t="str">
        <x:v>MR02</x:v>
      </x:c>
      <x:c r="H100" t="str">
        <x:v>Alagoinha</x:v>
      </x:c>
      <x:c r="I100" t="str">
        <x:v>Equipe Simples</x:v>
      </x:c>
      <x:c r="J100" t="str">
        <x:v>Leitura / Entrega de Conta</x:v>
      </x:c>
      <x:c r="K100" t="str">
        <x:v>Em recrutamento</x:v>
      </x:c>
      <x:c r="L100" t="str">
        <x:v>Leitura</x:v>
      </x:c>
      <x:c r="M100" t="str">
        <x:v>Não</x:v>
      </x:c>
      <x:c r="N100" t="str">
        <x:v>DADO FICTÍCIO – teste do painel; ID repetido em outra microrrota</x:v>
      </x:c>
      <x:c r="O100" s="15" t="n">
        <x:f>IF(A100="","",--(COUNTIF($A$2:A100,A100)=1))</x:f>
        <x:v>1</x:v>
      </x:c>
      <x:c r="P100" s="15" t="n">
        <x:f>IF(A100="","",--(COUNTIFS($A$2:A100,A100,$F$2:F100,F100)=1))</x:f>
        <x:v>1</x:v>
      </x:c>
    </x:row>
    <x:row r="101">
      <x:c r="A101" s="18" t="str">
        <x:v>LEI-07-01-02</x:v>
      </x:c>
      <x:c r="B101" t="str">
        <x:v>Equipe LEI-050</x:v>
      </x:c>
      <x:c r="C101" t="str">
        <x:v>Lucas Pereira</x:v>
      </x:c>
      <x:c r="D101" t="str">
        <x:v>Base Arcoverde</x:v>
      </x:c>
      <x:c r="E101" t="str">
        <x:v>Itaíba</x:v>
      </x:c>
      <x:c r="F101" t="str">
        <x:v>Arcoverde</x:v>
      </x:c>
      <x:c r="G101" t="str">
        <x:v>MR03</x:v>
      </x:c>
      <x:c r="H101" t="str">
        <x:v>Itaíba</x:v>
      </x:c>
      <x:c r="I101" t="str">
        <x:v>Equipe Simples</x:v>
      </x:c>
      <x:c r="J101" t="str">
        <x:v>Leitura / Entrega de Conta</x:v>
      </x:c>
      <x:c r="K101" t="str">
        <x:v>Em recrutamento</x:v>
      </x:c>
      <x:c r="L101" t="str">
        <x:v>Leitura</x:v>
      </x:c>
      <x:c r="M101" t="str">
        <x:v>Não</x:v>
      </x:c>
      <x:c r="N101" t="str">
        <x:v>DADO FICTÍCIO – teste do painel; ID repetido em outra microrrota</x:v>
      </x:c>
      <x:c r="O101" s="15" t="n">
        <x:f>IF(A101="","",--(COUNTIF($A$2:A101,A101)=1))</x:f>
        <x:v>0</x:v>
      </x:c>
      <x:c r="P101" s="15" t="n">
        <x:f>IF(A101="","",--(COUNTIFS($A$2:A101,A101,$F$2:F101,F101)=1))</x:f>
        <x:v>0</x:v>
      </x:c>
    </x:row>
    <x:row r="102">
      <x:c r="A102" s="18" t="str">
        <x:v>LEI-07-02-01</x:v>
      </x:c>
      <x:c r="B102" t="str">
        <x:v>Equipe LEI-051</x:v>
      </x:c>
      <x:c r="C102" t="str">
        <x:v>Rafael Teixeira</x:v>
      </x:c>
      <x:c r="D102" t="str">
        <x:v>Base Arcoverde</x:v>
      </x:c>
      <x:c r="E102" t="str">
        <x:v>Itaíba</x:v>
      </x:c>
      <x:c r="F102" t="str">
        <x:v>Arcoverde</x:v>
      </x:c>
      <x:c r="G102" t="str">
        <x:v>MR03</x:v>
      </x:c>
      <x:c r="H102" t="str">
        <x:v>Itaíba</x:v>
      </x:c>
      <x:c r="I102" t="str">
        <x:v>Equipe Simples</x:v>
      </x:c>
      <x:c r="J102" t="str">
        <x:v>Leitura / Entrega de Conta</x:v>
      </x:c>
      <x:c r="K102" t="str">
        <x:v>Em contratação</x:v>
      </x:c>
      <x:c r="L102" t="str">
        <x:v>Leitura</x:v>
      </x:c>
      <x:c r="M102" t="str">
        <x:v>Sim</x:v>
      </x:c>
      <x:c r="N102" t="str">
        <x:v>DADO FICTÍCIO – teste do painel; ID repetido em outra microrrota</x:v>
      </x:c>
      <x:c r="O102" s="15" t="n">
        <x:f>IF(A102="","",--(COUNTIF($A$2:A102,A102)=1))</x:f>
        <x:v>1</x:v>
      </x:c>
      <x:c r="P102" s="15" t="n">
        <x:f>IF(A102="","",--(COUNTIFS($A$2:A102,A102,$F$2:F102,F102)=1))</x:f>
        <x:v>1</x:v>
      </x:c>
    </x:row>
    <x:row r="103">
      <x:c r="A103" s="18" t="str">
        <x:v>LEI-07-02-01</x:v>
      </x:c>
      <x:c r="B103" t="str">
        <x:v>Equipe LEI-051</x:v>
      </x:c>
      <x:c r="C103" t="str">
        <x:v>Rafael Teixeira</x:v>
      </x:c>
      <x:c r="D103" t="str">
        <x:v>Base Arcoverde</x:v>
      </x:c>
      <x:c r="E103" t="str">
        <x:v>Custódia</x:v>
      </x:c>
      <x:c r="F103" t="str">
        <x:v>Arcoverde</x:v>
      </x:c>
      <x:c r="G103" t="str">
        <x:v>MR04</x:v>
      </x:c>
      <x:c r="H103" t="str">
        <x:v>Custódia</x:v>
      </x:c>
      <x:c r="I103" t="str">
        <x:v>Equipe Simples</x:v>
      </x:c>
      <x:c r="J103" t="str">
        <x:v>Leitura / Entrega de Conta</x:v>
      </x:c>
      <x:c r="K103" t="str">
        <x:v>Em contratação</x:v>
      </x:c>
      <x:c r="L103" t="str">
        <x:v>Leitura</x:v>
      </x:c>
      <x:c r="M103" t="str">
        <x:v>Sim</x:v>
      </x:c>
      <x:c r="N103" t="str">
        <x:v>DADO FICTÍCIO – teste do painel; ID repetido em outra microrrota</x:v>
      </x:c>
      <x:c r="O103" s="15" t="n">
        <x:f>IF(A103="","",--(COUNTIF($A$2:A103,A103)=1))</x:f>
        <x:v>0</x:v>
      </x:c>
      <x:c r="P103" s="15" t="n">
        <x:f>IF(A103="","",--(COUNTIFS($A$2:A103,A103,$F$2:F103,F103)=1))</x:f>
        <x:v>0</x:v>
      </x:c>
    </x:row>
    <x:row r="104">
      <x:c r="A104" s="18" t="str">
        <x:v>LEI-07-02-02</x:v>
      </x:c>
      <x:c r="B104" t="str">
        <x:v>Equipe LEI-052</x:v>
      </x:c>
      <x:c r="C104" t="str">
        <x:v>Vinícius Almeida</x:v>
      </x:c>
      <x:c r="D104" t="str">
        <x:v>Base Arcoverde</x:v>
      </x:c>
      <x:c r="E104" t="str">
        <x:v>Custódia</x:v>
      </x:c>
      <x:c r="F104" t="str">
        <x:v>Arcoverde</x:v>
      </x:c>
      <x:c r="G104" t="str">
        <x:v>MR04</x:v>
      </x:c>
      <x:c r="H104" t="str">
        <x:v>Custódia</x:v>
      </x:c>
      <x:c r="I104" t="str">
        <x:v>Equipe Dupla</x:v>
      </x:c>
      <x:c r="J104" t="str">
        <x:v>Leitura / Entrega de Conta</x:v>
      </x:c>
      <x:c r="K104" t="str">
        <x:v>Em contratação</x:v>
      </x:c>
      <x:c r="L104" t="str">
        <x:v>Leitura</x:v>
      </x:c>
      <x:c r="M104" t="str">
        <x:v>Não</x:v>
      </x:c>
      <x:c r="N104" t="str">
        <x:v>DADO FICTÍCIO – teste do painel; ID repetido em outra microrrota</x:v>
      </x:c>
      <x:c r="O104" s="15" t="n">
        <x:f>IF(A104="","",--(COUNTIF($A$2:A104,A104)=1))</x:f>
        <x:v>1</x:v>
      </x:c>
      <x:c r="P104" s="15" t="n">
        <x:f>IF(A104="","",--(COUNTIFS($A$2:A104,A104,$F$2:F104,F104)=1))</x:f>
        <x:v>1</x:v>
      </x:c>
    </x:row>
    <x:row r="105">
      <x:c r="A105" s="18" t="str">
        <x:v>LEI-07-02-02</x:v>
      </x:c>
      <x:c r="B105" t="str">
        <x:v>Equipe LEI-052</x:v>
      </x:c>
      <x:c r="C105" t="str">
        <x:v>Vinícius Almeida</x:v>
      </x:c>
      <x:c r="D105" t="str">
        <x:v>Base Arcoverde</x:v>
      </x:c>
      <x:c r="E105" t="str">
        <x:v>Buíque</x:v>
      </x:c>
      <x:c r="F105" t="str">
        <x:v>Arcoverde</x:v>
      </x:c>
      <x:c r="G105" t="str">
        <x:v>MR01</x:v>
      </x:c>
      <x:c r="H105" t="str">
        <x:v>Buíque</x:v>
      </x:c>
      <x:c r="I105" t="str">
        <x:v>Equipe Dupla</x:v>
      </x:c>
      <x:c r="J105" t="str">
        <x:v>Leitura / Entrega de Conta</x:v>
      </x:c>
      <x:c r="K105" t="str">
        <x:v>Em contratação</x:v>
      </x:c>
      <x:c r="L105" t="str">
        <x:v>Leitura</x:v>
      </x:c>
      <x:c r="M105" t="str">
        <x:v>Não</x:v>
      </x:c>
      <x:c r="N105" t="str">
        <x:v>DADO FICTÍCIO – teste do painel; ID repetido em outra microrrota</x:v>
      </x:c>
      <x:c r="O105" s="15" t="n">
        <x:f>IF(A105="","",--(COUNTIF($A$2:A105,A105)=1))</x:f>
        <x:v>0</x:v>
      </x:c>
      <x:c r="P105" s="15" t="n">
        <x:f>IF(A105="","",--(COUNTIFS($A$2:A105,A105,$F$2:F105,F105)=1))</x:f>
        <x:v>0</x:v>
      </x:c>
    </x:row>
    <x:row r="106">
      <x:c r="A106" s="18" t="str">
        <x:v>LEI-07-03-01</x:v>
      </x:c>
      <x:c r="B106" t="str">
        <x:v>Equipe LEI-053</x:v>
      </x:c>
      <x:c r="C106" t="str">
        <x:v>Diego Gomes</x:v>
      </x:c>
      <x:c r="D106" t="str">
        <x:v>Base Arcoverde</x:v>
      </x:c>
      <x:c r="E106" t="str">
        <x:v>Buíque</x:v>
      </x:c>
      <x:c r="F106" t="str">
        <x:v>Arcoverde</x:v>
      </x:c>
      <x:c r="G106" t="str">
        <x:v>MR01</x:v>
      </x:c>
      <x:c r="H106" t="str">
        <x:v>Buíque</x:v>
      </x:c>
      <x:c r="I106" t="str">
        <x:v>Equipe Dupla</x:v>
      </x:c>
      <x:c r="J106" t="str">
        <x:v>Leitura / Entrega de Conta</x:v>
      </x:c>
      <x:c r="K106" t="str">
        <x:v>Contratada</x:v>
      </x:c>
      <x:c r="L106" t="str">
        <x:v>Leitura</x:v>
      </x:c>
      <x:c r="M106" t="str">
        <x:v>Sim</x:v>
      </x:c>
      <x:c r="N106" t="str">
        <x:v>DADO FICTÍCIO – teste do painel; ID repetido em outra microrrota</x:v>
      </x:c>
      <x:c r="O106" s="15" t="n">
        <x:f>IF(A106="","",--(COUNTIF($A$2:A106,A106)=1))</x:f>
        <x:v>1</x:v>
      </x:c>
      <x:c r="P106" s="15" t="n">
        <x:f>IF(A106="","",--(COUNTIFS($A$2:A106,A106,$F$2:F106,F106)=1))</x:f>
        <x:v>1</x:v>
      </x:c>
    </x:row>
    <x:row r="107">
      <x:c r="A107" s="18" t="str">
        <x:v>LEI-07-03-01</x:v>
      </x:c>
      <x:c r="B107" t="str">
        <x:v>Equipe LEI-053</x:v>
      </x:c>
      <x:c r="C107" t="str">
        <x:v>Diego Gomes</x:v>
      </x:c>
      <x:c r="D107" t="str">
        <x:v>Base Arcoverde</x:v>
      </x:c>
      <x:c r="E107" t="str">
        <x:v>Alagoinha</x:v>
      </x:c>
      <x:c r="F107" t="str">
        <x:v>Arcoverde</x:v>
      </x:c>
      <x:c r="G107" t="str">
        <x:v>MR02</x:v>
      </x:c>
      <x:c r="H107" t="str">
        <x:v>Alagoinha</x:v>
      </x:c>
      <x:c r="I107" t="str">
        <x:v>Equipe Dupla</x:v>
      </x:c>
      <x:c r="J107" t="str">
        <x:v>Leitura / Entrega de Conta</x:v>
      </x:c>
      <x:c r="K107" t="str">
        <x:v>Contratada</x:v>
      </x:c>
      <x:c r="L107" t="str">
        <x:v>Leitura</x:v>
      </x:c>
      <x:c r="M107" t="str">
        <x:v>Sim</x:v>
      </x:c>
      <x:c r="N107" t="str">
        <x:v>DADO FICTÍCIO – teste do painel; ID repetido em outra microrrota</x:v>
      </x:c>
      <x:c r="O107" s="15" t="n">
        <x:f>IF(A107="","",--(COUNTIF($A$2:A107,A107)=1))</x:f>
        <x:v>0</x:v>
      </x:c>
      <x:c r="P107" s="15" t="n">
        <x:f>IF(A107="","",--(COUNTIFS($A$2:A107,A107,$F$2:F107,F107)=1))</x:f>
        <x:v>0</x:v>
      </x:c>
    </x:row>
    <x:row r="108">
      <x:c r="A108" s="18" t="str">
        <x:v>LEI-07-03-02</x:v>
      </x:c>
      <x:c r="B108" t="str">
        <x:v>Equipe LEI-054</x:v>
      </x:c>
      <x:c r="C108" t="str">
        <x:v>Carlos Pereira</x:v>
      </x:c>
      <x:c r="D108" t="str">
        <x:v>Base Arcoverde</x:v>
      </x:c>
      <x:c r="E108" t="str">
        <x:v>Alagoinha</x:v>
      </x:c>
      <x:c r="F108" t="str">
        <x:v>Arcoverde</x:v>
      </x:c>
      <x:c r="G108" t="str">
        <x:v>MR02</x:v>
      </x:c>
      <x:c r="H108" t="str">
        <x:v>Alagoinha</x:v>
      </x:c>
      <x:c r="I108" t="str">
        <x:v>Equipe Simples</x:v>
      </x:c>
      <x:c r="J108" t="str">
        <x:v>Leitura / Entrega de Conta</x:v>
      </x:c>
      <x:c r="K108" t="str">
        <x:v>Contratada</x:v>
      </x:c>
      <x:c r="L108" t="str">
        <x:v>Leitura</x:v>
      </x:c>
      <x:c r="M108" t="str">
        <x:v>Sim</x:v>
      </x:c>
      <x:c r="N108" t="str">
        <x:v>DADO FICTÍCIO – teste do painel; ID repetido em outra microrrota</x:v>
      </x:c>
      <x:c r="O108" s="15" t="n">
        <x:f>IF(A108="","",--(COUNTIF($A$2:A108,A108)=1))</x:f>
        <x:v>1</x:v>
      </x:c>
      <x:c r="P108" s="15" t="n">
        <x:f>IF(A108="","",--(COUNTIFS($A$2:A108,A108,$F$2:F108,F108)=1))</x:f>
        <x:v>1</x:v>
      </x:c>
    </x:row>
    <x:row r="109">
      <x:c r="A109" s="18" t="str">
        <x:v>LEI-07-03-02</x:v>
      </x:c>
      <x:c r="B109" t="str">
        <x:v>Equipe LEI-054</x:v>
      </x:c>
      <x:c r="C109" t="str">
        <x:v>Carlos Pereira</x:v>
      </x:c>
      <x:c r="D109" t="str">
        <x:v>Base Arcoverde</x:v>
      </x:c>
      <x:c r="E109" t="str">
        <x:v>Itaíba</x:v>
      </x:c>
      <x:c r="F109" t="str">
        <x:v>Arcoverde</x:v>
      </x:c>
      <x:c r="G109" t="str">
        <x:v>MR03</x:v>
      </x:c>
      <x:c r="H109" t="str">
        <x:v>Itaíba</x:v>
      </x:c>
      <x:c r="I109" t="str">
        <x:v>Equipe Simples</x:v>
      </x:c>
      <x:c r="J109" t="str">
        <x:v>Leitura / Entrega de Conta</x:v>
      </x:c>
      <x:c r="K109" t="str">
        <x:v>Contratada</x:v>
      </x:c>
      <x:c r="L109" t="str">
        <x:v>Leitura</x:v>
      </x:c>
      <x:c r="M109" t="str">
        <x:v>Sim</x:v>
      </x:c>
      <x:c r="N109" t="str">
        <x:v>DADO FICTÍCIO – teste do painel; ID repetido em outra microrrota</x:v>
      </x:c>
      <x:c r="O109" s="15" t="n">
        <x:f>IF(A109="","",--(COUNTIF($A$2:A109,A109)=1))</x:f>
        <x:v>0</x:v>
      </x:c>
      <x:c r="P109" s="15" t="n">
        <x:f>IF(A109="","",--(COUNTIFS($A$2:A109,A109,$F$2:F109,F109)=1))</x:f>
        <x:v>0</x:v>
      </x:c>
    </x:row>
    <x:row r="110">
      <x:c r="A110" s="18" t="str">
        <x:v>LEI-07-04-01</x:v>
      </x:c>
      <x:c r="B110" t="str">
        <x:v>Equipe LEI-055</x:v>
      </x:c>
      <x:c r="C110" t="str">
        <x:v>Felipe Teixeira</x:v>
      </x:c>
      <x:c r="D110" t="str">
        <x:v>Base Arcoverde</x:v>
      </x:c>
      <x:c r="E110" t="str">
        <x:v>Itaíba</x:v>
      </x:c>
      <x:c r="F110" t="str">
        <x:v>Arcoverde</x:v>
      </x:c>
      <x:c r="G110" t="str">
        <x:v>MR03</x:v>
      </x:c>
      <x:c r="H110" t="str">
        <x:v>Itaíba</x:v>
      </x:c>
      <x:c r="I110" t="str">
        <x:v>Equipe Simples</x:v>
      </x:c>
      <x:c r="J110" t="str">
        <x:v>Leitura / Entrega de Conta</x:v>
      </x:c>
      <x:c r="K110" t="str">
        <x:v>Mobilizada</x:v>
      </x:c>
      <x:c r="L110" t="str">
        <x:v>Leitura</x:v>
      </x:c>
      <x:c r="M110" t="str">
        <x:v>Sim</x:v>
      </x:c>
      <x:c r="N110" t="str">
        <x:v>DADO FICTÍCIO – teste do painel; ID repetido em outra microrrota</x:v>
      </x:c>
      <x:c r="O110" s="15" t="n">
        <x:f>IF(A110="","",--(COUNTIF($A$2:A110,A110)=1))</x:f>
        <x:v>1</x:v>
      </x:c>
      <x:c r="P110" s="15" t="n">
        <x:f>IF(A110="","",--(COUNTIFS($A$2:A110,A110,$F$2:F110,F110)=1))</x:f>
        <x:v>1</x:v>
      </x:c>
    </x:row>
    <x:row r="111">
      <x:c r="A111" s="18" t="str">
        <x:v>LEI-07-04-01</x:v>
      </x:c>
      <x:c r="B111" t="str">
        <x:v>Equipe LEI-055</x:v>
      </x:c>
      <x:c r="C111" t="str">
        <x:v>Felipe Teixeira</x:v>
      </x:c>
      <x:c r="D111" t="str">
        <x:v>Base Arcoverde</x:v>
      </x:c>
      <x:c r="E111" t="str">
        <x:v>Custódia</x:v>
      </x:c>
      <x:c r="F111" t="str">
        <x:v>Arcoverde</x:v>
      </x:c>
      <x:c r="G111" t="str">
        <x:v>MR04</x:v>
      </x:c>
      <x:c r="H111" t="str">
        <x:v>Custódia</x:v>
      </x:c>
      <x:c r="I111" t="str">
        <x:v>Equipe Simples</x:v>
      </x:c>
      <x:c r="J111" t="str">
        <x:v>Leitura / Entrega de Conta</x:v>
      </x:c>
      <x:c r="K111" t="str">
        <x:v>Mobilizada</x:v>
      </x:c>
      <x:c r="L111" t="str">
        <x:v>Leitura</x:v>
      </x:c>
      <x:c r="M111" t="str">
        <x:v>Sim</x:v>
      </x:c>
      <x:c r="N111" t="str">
        <x:v>DADO FICTÍCIO – teste do painel; ID repetido em outra microrrota</x:v>
      </x:c>
      <x:c r="O111" s="15" t="n">
        <x:f>IF(A111="","",--(COUNTIF($A$2:A111,A111)=1))</x:f>
        <x:v>0</x:v>
      </x:c>
      <x:c r="P111" s="15" t="n">
        <x:f>IF(A111="","",--(COUNTIFS($A$2:A111,A111,$F$2:F111,F111)=1))</x:f>
        <x:v>0</x:v>
      </x:c>
    </x:row>
    <x:row r="112">
      <x:c r="A112" s="18" t="str">
        <x:v>LEI-07-04-02</x:v>
      </x:c>
      <x:c r="B112" t="str">
        <x:v>Equipe LEI-056</x:v>
      </x:c>
      <x:c r="C112" t="str">
        <x:v>Igor Almeida</x:v>
      </x:c>
      <x:c r="D112" t="str">
        <x:v>Base Arcoverde</x:v>
      </x:c>
      <x:c r="E112" t="str">
        <x:v>Custódia</x:v>
      </x:c>
      <x:c r="F112" t="str">
        <x:v>Arcoverde</x:v>
      </x:c>
      <x:c r="G112" t="str">
        <x:v>MR04</x:v>
      </x:c>
      <x:c r="H112" t="str">
        <x:v>Custódia</x:v>
      </x:c>
      <x:c r="I112" t="str">
        <x:v>Equipe Dupla</x:v>
      </x:c>
      <x:c r="J112" t="str">
        <x:v>Leitura / Entrega de Conta</x:v>
      </x:c>
      <x:c r="K112" t="str">
        <x:v>Mobilizada</x:v>
      </x:c>
      <x:c r="L112" t="str">
        <x:v>Leitura</x:v>
      </x:c>
      <x:c r="M112" t="str">
        <x:v>Sim</x:v>
      </x:c>
      <x:c r="N112" t="str">
        <x:v>DADO FICTÍCIO – teste do painel; ID repetido em outra microrrota</x:v>
      </x:c>
      <x:c r="O112" s="15" t="n">
        <x:f>IF(A112="","",--(COUNTIF($A$2:A112,A112)=1))</x:f>
        <x:v>1</x:v>
      </x:c>
      <x:c r="P112" s="15" t="n">
        <x:f>IF(A112="","",--(COUNTIFS($A$2:A112,A112,$F$2:F112,F112)=1))</x:f>
        <x:v>1</x:v>
      </x:c>
    </x:row>
    <x:row r="113">
      <x:c r="A113" s="18" t="str">
        <x:v>LEI-07-04-02</x:v>
      </x:c>
      <x:c r="B113" t="str">
        <x:v>Equipe LEI-056</x:v>
      </x:c>
      <x:c r="C113" t="str">
        <x:v>Igor Almeida</x:v>
      </x:c>
      <x:c r="D113" t="str">
        <x:v>Base Arcoverde</x:v>
      </x:c>
      <x:c r="E113" t="str">
        <x:v>Buíque</x:v>
      </x:c>
      <x:c r="F113" t="str">
        <x:v>Arcoverde</x:v>
      </x:c>
      <x:c r="G113" t="str">
        <x:v>MR01</x:v>
      </x:c>
      <x:c r="H113" t="str">
        <x:v>Buíque</x:v>
      </x:c>
      <x:c r="I113" t="str">
        <x:v>Equipe Dupla</x:v>
      </x:c>
      <x:c r="J113" t="str">
        <x:v>Leitura / Entrega de Conta</x:v>
      </x:c>
      <x:c r="K113" t="str">
        <x:v>Mobilizada</x:v>
      </x:c>
      <x:c r="L113" t="str">
        <x:v>Leitura</x:v>
      </x:c>
      <x:c r="M113" t="str">
        <x:v>Sim</x:v>
      </x:c>
      <x:c r="N113" t="str">
        <x:v>DADO FICTÍCIO – teste do painel; ID repetido em outra microrrota</x:v>
      </x:c>
      <x:c r="O113" s="15" t="n">
        <x:f>IF(A113="","",--(COUNTIF($A$2:A113,A113)=1))</x:f>
        <x:v>0</x:v>
      </x:c>
      <x:c r="P113" s="15" t="n">
        <x:f>IF(A113="","",--(COUNTIFS($A$2:A113,A113,$F$2:F113,F113)=1))</x:f>
        <x:v>0</x:v>
      </x:c>
    </x:row>
    <x:row r="114">
      <x:c r="A114" s="18" t="str">
        <x:v>LEI-08-01-01</x:v>
      </x:c>
      <x:c r="B114" t="str">
        <x:v>Equipe LEI-057</x:v>
      </x:c>
      <x:c r="C114" t="str">
        <x:v>Marcos Gomes</x:v>
      </x:c>
      <x:c r="D114" t="str">
        <x:v>Base Afogados da Ingazeira</x:v>
      </x:c>
      <x:c r="E114" t="str">
        <x:v>Afogados da Ingazeira</x:v>
      </x:c>
      <x:c r="F114" t="str">
        <x:v>Afogados da Ingazeira</x:v>
      </x:c>
      <x:c r="G114" t="str">
        <x:v>MR03</x:v>
      </x:c>
      <x:c r="H114" t="str">
        <x:v>Afogados da Ingazeira</x:v>
      </x:c>
      <x:c r="I114" t="str">
        <x:v>Equipe Dupla</x:v>
      </x:c>
      <x:c r="J114" t="str">
        <x:v>Leitura / Entrega de Conta</x:v>
      </x:c>
      <x:c r="K114" t="str">
        <x:v>Em recrutamento</x:v>
      </x:c>
      <x:c r="L114" t="str">
        <x:v>Leitura</x:v>
      </x:c>
      <x:c r="M114" t="str">
        <x:v>Sim</x:v>
      </x:c>
      <x:c r="N114" t="str">
        <x:v>DADO FICTÍCIO – teste do painel; ID repetido em outra microrrota</x:v>
      </x:c>
      <x:c r="O114" s="15" t="n">
        <x:f>IF(A114="","",--(COUNTIF($A$2:A114,A114)=1))</x:f>
        <x:v>1</x:v>
      </x:c>
      <x:c r="P114" s="15" t="n">
        <x:f>IF(A114="","",--(COUNTIFS($A$2:A114,A114,$F$2:F114,F114)=1))</x:f>
        <x:v>1</x:v>
      </x:c>
    </x:row>
    <x:row r="115">
      <x:c r="A115" s="18" t="str">
        <x:v>LEI-08-01-01</x:v>
      </x:c>
      <x:c r="B115" t="str">
        <x:v>Equipe LEI-057</x:v>
      </x:c>
      <x:c r="C115" t="str">
        <x:v>Marcos Gomes</x:v>
      </x:c>
      <x:c r="D115" t="str">
        <x:v>Base Afogados da Ingazeira</x:v>
      </x:c>
      <x:c r="E115" t="str">
        <x:v>Brejinho</x:v>
      </x:c>
      <x:c r="F115" t="str">
        <x:v>Afogados da Ingazeira</x:v>
      </x:c>
      <x:c r="G115" t="str">
        <x:v>MR01</x:v>
      </x:c>
      <x:c r="H115" t="str">
        <x:v>Brejinho</x:v>
      </x:c>
      <x:c r="I115" t="str">
        <x:v>Equipe Dupla</x:v>
      </x:c>
      <x:c r="J115" t="str">
        <x:v>Leitura / Entrega de Conta</x:v>
      </x:c>
      <x:c r="K115" t="str">
        <x:v>Em recrutamento</x:v>
      </x:c>
      <x:c r="L115" t="str">
        <x:v>Leitura</x:v>
      </x:c>
      <x:c r="M115" t="str">
        <x:v>Sim</x:v>
      </x:c>
      <x:c r="N115" t="str">
        <x:v>DADO FICTÍCIO – teste do painel; ID repetido em outra microrrota</x:v>
      </x:c>
      <x:c r="O115" s="15" t="n">
        <x:f>IF(A115="","",--(COUNTIF($A$2:A115,A115)=1))</x:f>
        <x:v>0</x:v>
      </x:c>
      <x:c r="P115" s="15" t="n">
        <x:f>IF(A115="","",--(COUNTIFS($A$2:A115,A115,$F$2:F115,F115)=1))</x:f>
        <x:v>0</x:v>
      </x:c>
    </x:row>
    <x:row r="116">
      <x:c r="A116" s="18" t="str">
        <x:v>LEI-08-01-02</x:v>
      </x:c>
      <x:c r="B116" t="str">
        <x:v>Equipe LEI-058</x:v>
      </x:c>
      <x:c r="C116" t="str">
        <x:v>Renato Pereira</x:v>
      </x:c>
      <x:c r="D116" t="str">
        <x:v>Base Afogados da Ingazeira</x:v>
      </x:c>
      <x:c r="E116" t="str">
        <x:v>Brejinho</x:v>
      </x:c>
      <x:c r="F116" t="str">
        <x:v>Afogados da Ingazeira</x:v>
      </x:c>
      <x:c r="G116" t="str">
        <x:v>MR01</x:v>
      </x:c>
      <x:c r="H116" t="str">
        <x:v>Brejinho</x:v>
      </x:c>
      <x:c r="I116" t="str">
        <x:v>Equipe Simples</x:v>
      </x:c>
      <x:c r="J116" t="str">
        <x:v>Leitura / Entrega de Conta</x:v>
      </x:c>
      <x:c r="K116" t="str">
        <x:v>Em recrutamento</x:v>
      </x:c>
      <x:c r="L116" t="str">
        <x:v>Leitura</x:v>
      </x:c>
      <x:c r="M116" t="str">
        <x:v>Não</x:v>
      </x:c>
      <x:c r="N116" t="str">
        <x:v>DADO FICTÍCIO – teste do painel; ID repetido em outra microrrota</x:v>
      </x:c>
      <x:c r="O116" s="15" t="n">
        <x:f>IF(A116="","",--(COUNTIF($A$2:A116,A116)=1))</x:f>
        <x:v>1</x:v>
      </x:c>
      <x:c r="P116" s="15" t="n">
        <x:f>IF(A116="","",--(COUNTIFS($A$2:A116,A116,$F$2:F116,F116)=1))</x:f>
        <x:v>1</x:v>
      </x:c>
    </x:row>
    <x:row r="117">
      <x:c r="A117" s="18" t="str">
        <x:v>LEI-08-01-02</x:v>
      </x:c>
      <x:c r="B117" t="str">
        <x:v>Equipe LEI-058</x:v>
      </x:c>
      <x:c r="C117" t="str">
        <x:v>Renato Pereira</x:v>
      </x:c>
      <x:c r="D117" t="str">
        <x:v>Base Afogados da Ingazeira</x:v>
      </x:c>
      <x:c r="E117" t="str">
        <x:v>Carnaíba</x:v>
      </x:c>
      <x:c r="F117" t="str">
        <x:v>Afogados da Ingazeira</x:v>
      </x:c>
      <x:c r="G117" t="str">
        <x:v>MR02</x:v>
      </x:c>
      <x:c r="H117" t="str">
        <x:v>Carnaíba</x:v>
      </x:c>
      <x:c r="I117" t="str">
        <x:v>Equipe Simples</x:v>
      </x:c>
      <x:c r="J117" t="str">
        <x:v>Leitura / Entrega de Conta</x:v>
      </x:c>
      <x:c r="K117" t="str">
        <x:v>Em recrutamento</x:v>
      </x:c>
      <x:c r="L117" t="str">
        <x:v>Leitura</x:v>
      </x:c>
      <x:c r="M117" t="str">
        <x:v>Não</x:v>
      </x:c>
      <x:c r="N117" t="str">
        <x:v>DADO FICTÍCIO – teste do painel; ID repetido em outra microrrota</x:v>
      </x:c>
      <x:c r="O117" s="15" t="n">
        <x:f>IF(A117="","",--(COUNTIF($A$2:A117,A117)=1))</x:f>
        <x:v>0</x:v>
      </x:c>
      <x:c r="P117" s="15" t="n">
        <x:f>IF(A117="","",--(COUNTIFS($A$2:A117,A117,$F$2:F117,F117)=1))</x:f>
        <x:v>0</x:v>
      </x:c>
    </x:row>
    <x:row r="118">
      <x:c r="A118" s="18" t="str">
        <x:v>LEI-08-02-01</x:v>
      </x:c>
      <x:c r="B118" t="str">
        <x:v>Equipe LEI-059</x:v>
      </x:c>
      <x:c r="C118" t="str">
        <x:v>Wagner Teixeira</x:v>
      </x:c>
      <x:c r="D118" t="str">
        <x:v>Base Afogados da Ingazeira</x:v>
      </x:c>
      <x:c r="E118" t="str">
        <x:v>Carnaíba</x:v>
      </x:c>
      <x:c r="F118" t="str">
        <x:v>Afogados da Ingazeira</x:v>
      </x:c>
      <x:c r="G118" t="str">
        <x:v>MR02</x:v>
      </x:c>
      <x:c r="H118" t="str">
        <x:v>Carnaíba</x:v>
      </x:c>
      <x:c r="I118" t="str">
        <x:v>Equipe Simples</x:v>
      </x:c>
      <x:c r="J118" t="str">
        <x:v>Leitura / Entrega de Conta</x:v>
      </x:c>
      <x:c r="K118" t="str">
        <x:v>Em contratação</x:v>
      </x:c>
      <x:c r="L118" t="str">
        <x:v>Leitura</x:v>
      </x:c>
      <x:c r="M118" t="str">
        <x:v>Sim</x:v>
      </x:c>
      <x:c r="N118" t="str">
        <x:v>DADO FICTÍCIO – teste do painel; ID repetido em outra microrrota</x:v>
      </x:c>
      <x:c r="O118" s="15" t="n">
        <x:f>IF(A118="","",--(COUNTIF($A$2:A118,A118)=1))</x:f>
        <x:v>1</x:v>
      </x:c>
      <x:c r="P118" s="15" t="n">
        <x:f>IF(A118="","",--(COUNTIFS($A$2:A118,A118,$F$2:F118,F118)=1))</x:f>
        <x:v>1</x:v>
      </x:c>
    </x:row>
    <x:row r="119">
      <x:c r="A119" s="18" t="str">
        <x:v>LEI-08-02-01</x:v>
      </x:c>
      <x:c r="B119" t="str">
        <x:v>Equipe LEI-059</x:v>
      </x:c>
      <x:c r="C119" t="str">
        <x:v>Wagner Teixeira</x:v>
      </x:c>
      <x:c r="D119" t="str">
        <x:v>Base Afogados da Ingazeira</x:v>
      </x:c>
      <x:c r="E119" t="str">
        <x:v>Afogados da Ingazeira</x:v>
      </x:c>
      <x:c r="F119" t="str">
        <x:v>Afogados da Ingazeira</x:v>
      </x:c>
      <x:c r="G119" t="str">
        <x:v>MR03</x:v>
      </x:c>
      <x:c r="H119" t="str">
        <x:v>Afogados da Ingazeira</x:v>
      </x:c>
      <x:c r="I119" t="str">
        <x:v>Equipe Simples</x:v>
      </x:c>
      <x:c r="J119" t="str">
        <x:v>Leitura / Entrega de Conta</x:v>
      </x:c>
      <x:c r="K119" t="str">
        <x:v>Em contratação</x:v>
      </x:c>
      <x:c r="L119" t="str">
        <x:v>Leitura</x:v>
      </x:c>
      <x:c r="M119" t="str">
        <x:v>Sim</x:v>
      </x:c>
      <x:c r="N119" t="str">
        <x:v>DADO FICTÍCIO – teste do painel; ID repetido em outra microrrota</x:v>
      </x:c>
      <x:c r="O119" s="15" t="n">
        <x:f>IF(A119="","",--(COUNTIF($A$2:A119,A119)=1))</x:f>
        <x:v>0</x:v>
      </x:c>
      <x:c r="P119" s="15" t="n">
        <x:f>IF(A119="","",--(COUNTIFS($A$2:A119,A119,$F$2:F119,F119)=1))</x:f>
        <x:v>0</x:v>
      </x:c>
    </x:row>
    <x:row r="120">
      <x:c r="A120" s="18" t="str">
        <x:v>LEI-08-02-02</x:v>
      </x:c>
      <x:c r="B120" t="str">
        <x:v>Equipe LEI-060</x:v>
      </x:c>
      <x:c r="C120" t="str">
        <x:v>André Almeida</x:v>
      </x:c>
      <x:c r="D120" t="str">
        <x:v>Base Afogados da Ingazeira</x:v>
      </x:c>
      <x:c r="E120" t="str">
        <x:v>Afogados da Ingazeira</x:v>
      </x:c>
      <x:c r="F120" t="str">
        <x:v>Afogados da Ingazeira</x:v>
      </x:c>
      <x:c r="G120" t="str">
        <x:v>MR03</x:v>
      </x:c>
      <x:c r="H120" t="str">
        <x:v>Afogados da Ingazeira</x:v>
      </x:c>
      <x:c r="I120" t="str">
        <x:v>Equipe Dupla</x:v>
      </x:c>
      <x:c r="J120" t="str">
        <x:v>Leitura / Entrega de Conta</x:v>
      </x:c>
      <x:c r="K120" t="str">
        <x:v>Em contratação</x:v>
      </x:c>
      <x:c r="L120" t="str">
        <x:v>Leitura</x:v>
      </x:c>
      <x:c r="M120" t="str">
        <x:v>Não</x:v>
      </x:c>
      <x:c r="N120" t="str">
        <x:v>DADO FICTÍCIO – teste do painel; ID repetido em outra microrrota</x:v>
      </x:c>
      <x:c r="O120" s="15" t="n">
        <x:f>IF(A120="","",--(COUNTIF($A$2:A120,A120)=1))</x:f>
        <x:v>1</x:v>
      </x:c>
      <x:c r="P120" s="15" t="n">
        <x:f>IF(A120="","",--(COUNTIFS($A$2:A120,A120,$F$2:F120,F120)=1))</x:f>
        <x:v>1</x:v>
      </x:c>
    </x:row>
    <x:row r="121">
      <x:c r="A121" s="18" t="str">
        <x:v>LEI-08-02-02</x:v>
      </x:c>
      <x:c r="B121" t="str">
        <x:v>Equipe LEI-060</x:v>
      </x:c>
      <x:c r="C121" t="str">
        <x:v>André Almeida</x:v>
      </x:c>
      <x:c r="D121" t="str">
        <x:v>Base Afogados da Ingazeira</x:v>
      </x:c>
      <x:c r="E121" t="str">
        <x:v>Brejinho</x:v>
      </x:c>
      <x:c r="F121" t="str">
        <x:v>Afogados da Ingazeira</x:v>
      </x:c>
      <x:c r="G121" t="str">
        <x:v>MR01</x:v>
      </x:c>
      <x:c r="H121" t="str">
        <x:v>Brejinho</x:v>
      </x:c>
      <x:c r="I121" t="str">
        <x:v>Equipe Dupla</x:v>
      </x:c>
      <x:c r="J121" t="str">
        <x:v>Leitura / Entrega de Conta</x:v>
      </x:c>
      <x:c r="K121" t="str">
        <x:v>Em contratação</x:v>
      </x:c>
      <x:c r="L121" t="str">
        <x:v>Leitura</x:v>
      </x:c>
      <x:c r="M121" t="str">
        <x:v>Não</x:v>
      </x:c>
      <x:c r="N121" t="str">
        <x:v>DADO FICTÍCIO – teste do painel; ID repetido em outra microrrota</x:v>
      </x:c>
      <x:c r="O121" s="15" t="n">
        <x:f>IF(A121="","",--(COUNTIF($A$2:A121,A121)=1))</x:f>
        <x:v>0</x:v>
      </x:c>
      <x:c r="P121" s="15" t="n">
        <x:f>IF(A121="","",--(COUNTIFS($A$2:A121,A121,$F$2:F121,F121)=1))</x:f>
        <x:v>0</x:v>
      </x:c>
    </x:row>
    <x:row r="122">
      <x:c r="A122" s="18" t="str">
        <x:v>LEI-08-03-01</x:v>
      </x:c>
      <x:c r="B122" t="str">
        <x:v>Equipe LEI-061</x:v>
      </x:c>
      <x:c r="C122" t="str">
        <x:v>Daniel Gomes</x:v>
      </x:c>
      <x:c r="D122" t="str">
        <x:v>Base Afogados da Ingazeira</x:v>
      </x:c>
      <x:c r="E122" t="str">
        <x:v>Brejinho</x:v>
      </x:c>
      <x:c r="F122" t="str">
        <x:v>Afogados da Ingazeira</x:v>
      </x:c>
      <x:c r="G122" t="str">
        <x:v>MR01</x:v>
      </x:c>
      <x:c r="H122" t="str">
        <x:v>Brejinho</x:v>
      </x:c>
      <x:c r="I122" t="str">
        <x:v>Equipe Dupla</x:v>
      </x:c>
      <x:c r="J122" t="str">
        <x:v>Leitura / Entrega de Conta</x:v>
      </x:c>
      <x:c r="K122" t="str">
        <x:v>Contratada</x:v>
      </x:c>
      <x:c r="L122" t="str">
        <x:v>Leitura</x:v>
      </x:c>
      <x:c r="M122" t="str">
        <x:v>Sim</x:v>
      </x:c>
      <x:c r="N122" t="str">
        <x:v>DADO FICTÍCIO – teste do painel; ID repetido em outra microrrota</x:v>
      </x:c>
      <x:c r="O122" s="15" t="n">
        <x:f>IF(A122="","",--(COUNTIF($A$2:A122,A122)=1))</x:f>
        <x:v>1</x:v>
      </x:c>
      <x:c r="P122" s="15" t="n">
        <x:f>IF(A122="","",--(COUNTIFS($A$2:A122,A122,$F$2:F122,F122)=1))</x:f>
        <x:v>1</x:v>
      </x:c>
    </x:row>
    <x:row r="123">
      <x:c r="A123" s="18" t="str">
        <x:v>LEI-08-03-01</x:v>
      </x:c>
      <x:c r="B123" t="str">
        <x:v>Equipe LEI-061</x:v>
      </x:c>
      <x:c r="C123" t="str">
        <x:v>Daniel Gomes</x:v>
      </x:c>
      <x:c r="D123" t="str">
        <x:v>Base Afogados da Ingazeira</x:v>
      </x:c>
      <x:c r="E123" t="str">
        <x:v>Carnaíba</x:v>
      </x:c>
      <x:c r="F123" t="str">
        <x:v>Afogados da Ingazeira</x:v>
      </x:c>
      <x:c r="G123" t="str">
        <x:v>MR02</x:v>
      </x:c>
      <x:c r="H123" t="str">
        <x:v>Carnaíba</x:v>
      </x:c>
      <x:c r="I123" t="str">
        <x:v>Equipe Dupla</x:v>
      </x:c>
      <x:c r="J123" t="str">
        <x:v>Leitura / Entrega de Conta</x:v>
      </x:c>
      <x:c r="K123" t="str">
        <x:v>Contratada</x:v>
      </x:c>
      <x:c r="L123" t="str">
        <x:v>Leitura</x:v>
      </x:c>
      <x:c r="M123" t="str">
        <x:v>Sim</x:v>
      </x:c>
      <x:c r="N123" t="str">
        <x:v>DADO FICTÍCIO – teste do painel; ID repetido em outra microrrota</x:v>
      </x:c>
      <x:c r="O123" s="15" t="n">
        <x:f>IF(A123="","",--(COUNTIF($A$2:A123,A123)=1))</x:f>
        <x:v>0</x:v>
      </x:c>
      <x:c r="P123" s="15" t="n">
        <x:f>IF(A123="","",--(COUNTIFS($A$2:A123,A123,$F$2:F123,F123)=1))</x:f>
        <x:v>0</x:v>
      </x:c>
    </x:row>
    <x:row r="124">
      <x:c r="A124" s="18" t="str">
        <x:v>LEI-08-03-02</x:v>
      </x:c>
      <x:c r="B124" t="str">
        <x:v>Equipe LEI-062</x:v>
      </x:c>
      <x:c r="C124" t="str">
        <x:v>Gabriel Pereira</x:v>
      </x:c>
      <x:c r="D124" t="str">
        <x:v>Base Afogados da Ingazeira</x:v>
      </x:c>
      <x:c r="E124" t="str">
        <x:v>Carnaíba</x:v>
      </x:c>
      <x:c r="F124" t="str">
        <x:v>Afogados da Ingazeira</x:v>
      </x:c>
      <x:c r="G124" t="str">
        <x:v>MR02</x:v>
      </x:c>
      <x:c r="H124" t="str">
        <x:v>Carnaíba</x:v>
      </x:c>
      <x:c r="I124" t="str">
        <x:v>Equipe Simples</x:v>
      </x:c>
      <x:c r="J124" t="str">
        <x:v>Leitura / Entrega de Conta</x:v>
      </x:c>
      <x:c r="K124" t="str">
        <x:v>Contratada</x:v>
      </x:c>
      <x:c r="L124" t="str">
        <x:v>Leitura</x:v>
      </x:c>
      <x:c r="M124" t="str">
        <x:v>Sim</x:v>
      </x:c>
      <x:c r="N124" t="str">
        <x:v>DADO FICTÍCIO – teste do painel; ID repetido em outra microrrota</x:v>
      </x:c>
      <x:c r="O124" s="15" t="n">
        <x:f>IF(A124="","",--(COUNTIF($A$2:A124,A124)=1))</x:f>
        <x:v>1</x:v>
      </x:c>
      <x:c r="P124" s="15" t="n">
        <x:f>IF(A124="","",--(COUNTIFS($A$2:A124,A124,$F$2:F124,F124)=1))</x:f>
        <x:v>1</x:v>
      </x:c>
    </x:row>
    <x:row r="125">
      <x:c r="A125" s="18" t="str">
        <x:v>LEI-08-03-02</x:v>
      </x:c>
      <x:c r="B125" t="str">
        <x:v>Equipe LEI-062</x:v>
      </x:c>
      <x:c r="C125" t="str">
        <x:v>Gabriel Pereira</x:v>
      </x:c>
      <x:c r="D125" t="str">
        <x:v>Base Afogados da Ingazeira</x:v>
      </x:c>
      <x:c r="E125" t="str">
        <x:v>Afogados da Ingazeira</x:v>
      </x:c>
      <x:c r="F125" t="str">
        <x:v>Afogados da Ingazeira</x:v>
      </x:c>
      <x:c r="G125" t="str">
        <x:v>MR03</x:v>
      </x:c>
      <x:c r="H125" t="str">
        <x:v>Afogados da Ingazeira</x:v>
      </x:c>
      <x:c r="I125" t="str">
        <x:v>Equipe Simples</x:v>
      </x:c>
      <x:c r="J125" t="str">
        <x:v>Leitura / Entrega de Conta</x:v>
      </x:c>
      <x:c r="K125" t="str">
        <x:v>Contratada</x:v>
      </x:c>
      <x:c r="L125" t="str">
        <x:v>Leitura</x:v>
      </x:c>
      <x:c r="M125" t="str">
        <x:v>Sim</x:v>
      </x:c>
      <x:c r="N125" t="str">
        <x:v>DADO FICTÍCIO – teste do painel; ID repetido em outra microrrota</x:v>
      </x:c>
      <x:c r="O125" s="15" t="n">
        <x:f>IF(A125="","",--(COUNTIF($A$2:A125,A125)=1))</x:f>
        <x:v>0</x:v>
      </x:c>
      <x:c r="P125" s="15" t="n">
        <x:f>IF(A125="","",--(COUNTIFS($A$2:A125,A125,$F$2:F125,F125)=1))</x:f>
        <x:v>0</x:v>
      </x:c>
    </x:row>
    <x:row r="126">
      <x:c r="A126" s="18" t="str">
        <x:v>LEI-08-04-01</x:v>
      </x:c>
      <x:c r="B126" t="str">
        <x:v>Equipe LEI-063</x:v>
      </x:c>
      <x:c r="C126" t="str">
        <x:v>João Teixeira</x:v>
      </x:c>
      <x:c r="D126" t="str">
        <x:v>Base Afogados da Ingazeira</x:v>
      </x:c>
      <x:c r="E126" t="str">
        <x:v>Afogados da Ingazeira</x:v>
      </x:c>
      <x:c r="F126" t="str">
        <x:v>Afogados da Ingazeira</x:v>
      </x:c>
      <x:c r="G126" t="str">
        <x:v>MR03</x:v>
      </x:c>
      <x:c r="H126" t="str">
        <x:v>Afogados da Ingazeira</x:v>
      </x:c>
      <x:c r="I126" t="str">
        <x:v>Equipe Simples</x:v>
      </x:c>
      <x:c r="J126" t="str">
        <x:v>Leitura / Entrega de Conta</x:v>
      </x:c>
      <x:c r="K126" t="str">
        <x:v>Mobilizada</x:v>
      </x:c>
      <x:c r="L126" t="str">
        <x:v>Leitura</x:v>
      </x:c>
      <x:c r="M126" t="str">
        <x:v>Sim</x:v>
      </x:c>
      <x:c r="N126" t="str">
        <x:v>DADO FICTÍCIO – teste do painel; ID repetido em outra microrrota</x:v>
      </x:c>
      <x:c r="O126" s="15" t="n">
        <x:f>IF(A126="","",--(COUNTIF($A$2:A126,A126)=1))</x:f>
        <x:v>1</x:v>
      </x:c>
      <x:c r="P126" s="15" t="n">
        <x:f>IF(A126="","",--(COUNTIFS($A$2:A126,A126,$F$2:F126,F126)=1))</x:f>
        <x:v>1</x:v>
      </x:c>
    </x:row>
    <x:row r="127">
      <x:c r="A127" s="18" t="str">
        <x:v>LEI-08-04-01</x:v>
      </x:c>
      <x:c r="B127" t="str">
        <x:v>Equipe LEI-063</x:v>
      </x:c>
      <x:c r="C127" t="str">
        <x:v>João Teixeira</x:v>
      </x:c>
      <x:c r="D127" t="str">
        <x:v>Base Afogados da Ingazeira</x:v>
      </x:c>
      <x:c r="E127" t="str">
        <x:v>Brejinho</x:v>
      </x:c>
      <x:c r="F127" t="str">
        <x:v>Afogados da Ingazeira</x:v>
      </x:c>
      <x:c r="G127" t="str">
        <x:v>MR01</x:v>
      </x:c>
      <x:c r="H127" t="str">
        <x:v>Brejinho</x:v>
      </x:c>
      <x:c r="I127" t="str">
        <x:v>Equipe Simples</x:v>
      </x:c>
      <x:c r="J127" t="str">
        <x:v>Leitura / Entrega de Conta</x:v>
      </x:c>
      <x:c r="K127" t="str">
        <x:v>Mobilizada</x:v>
      </x:c>
      <x:c r="L127" t="str">
        <x:v>Leitura</x:v>
      </x:c>
      <x:c r="M127" t="str">
        <x:v>Sim</x:v>
      </x:c>
      <x:c r="N127" t="str">
        <x:v>DADO FICTÍCIO – teste do painel; ID repetido em outra microrrota</x:v>
      </x:c>
      <x:c r="O127" s="15" t="n">
        <x:f>IF(A127="","",--(COUNTIF($A$2:A127,A127)=1))</x:f>
        <x:v>0</x:v>
      </x:c>
      <x:c r="P127" s="15" t="n">
        <x:f>IF(A127="","",--(COUNTIFS($A$2:A127,A127,$F$2:F127,F127)=1))</x:f>
        <x:v>0</x:v>
      </x:c>
    </x:row>
    <x:row r="128">
      <x:c r="A128" s="18" t="str">
        <x:v>LEI-08-04-02</x:v>
      </x:c>
      <x:c r="B128" t="str">
        <x:v>Equipe LEI-064</x:v>
      </x:c>
      <x:c r="C128" t="str">
        <x:v>Paulo Almeida</x:v>
      </x:c>
      <x:c r="D128" t="str">
        <x:v>Base Afogados da Ingazeira</x:v>
      </x:c>
      <x:c r="E128" t="str">
        <x:v>Brejinho</x:v>
      </x:c>
      <x:c r="F128" t="str">
        <x:v>Afogados da Ingazeira</x:v>
      </x:c>
      <x:c r="G128" t="str">
        <x:v>MR01</x:v>
      </x:c>
      <x:c r="H128" t="str">
        <x:v>Brejinho</x:v>
      </x:c>
      <x:c r="I128" t="str">
        <x:v>Equipe Dupla</x:v>
      </x:c>
      <x:c r="J128" t="str">
        <x:v>Leitura / Entrega de Conta</x:v>
      </x:c>
      <x:c r="K128" t="str">
        <x:v>Mobilizada</x:v>
      </x:c>
      <x:c r="L128" t="str">
        <x:v>Leitura</x:v>
      </x:c>
      <x:c r="M128" t="str">
        <x:v>Sim</x:v>
      </x:c>
      <x:c r="N128" t="str">
        <x:v>DADO FICTÍCIO – teste do painel; ID repetido em outra microrrota</x:v>
      </x:c>
      <x:c r="O128" s="15" t="n">
        <x:f>IF(A128="","",--(COUNTIF($A$2:A128,A128)=1))</x:f>
        <x:v>1</x:v>
      </x:c>
      <x:c r="P128" s="15" t="n">
        <x:f>IF(A128="","",--(COUNTIFS($A$2:A128,A128,$F$2:F128,F128)=1))</x:f>
        <x:v>1</x:v>
      </x:c>
    </x:row>
    <x:row r="129">
      <x:c r="A129" s="18" t="str">
        <x:v>LEI-08-04-02</x:v>
      </x:c>
      <x:c r="B129" t="str">
        <x:v>Equipe LEI-064</x:v>
      </x:c>
      <x:c r="C129" t="str">
        <x:v>Paulo Almeida</x:v>
      </x:c>
      <x:c r="D129" t="str">
        <x:v>Base Afogados da Ingazeira</x:v>
      </x:c>
      <x:c r="E129" t="str">
        <x:v>Carnaíba</x:v>
      </x:c>
      <x:c r="F129" t="str">
        <x:v>Afogados da Ingazeira</x:v>
      </x:c>
      <x:c r="G129" t="str">
        <x:v>MR02</x:v>
      </x:c>
      <x:c r="H129" t="str">
        <x:v>Carnaíba</x:v>
      </x:c>
      <x:c r="I129" t="str">
        <x:v>Equipe Dupla</x:v>
      </x:c>
      <x:c r="J129" t="str">
        <x:v>Leitura / Entrega de Conta</x:v>
      </x:c>
      <x:c r="K129" t="str">
        <x:v>Mobilizada</x:v>
      </x:c>
      <x:c r="L129" t="str">
        <x:v>Leitura</x:v>
      </x:c>
      <x:c r="M129" t="str">
        <x:v>Sim</x:v>
      </x:c>
      <x:c r="N129" t="str">
        <x:v>DADO FICTÍCIO – teste do painel; ID repetido em outra microrrota</x:v>
      </x:c>
      <x:c r="O129" s="15" t="n">
        <x:f>IF(A129="","",--(COUNTIF($A$2:A129,A129)=1))</x:f>
        <x:v>0</x:v>
      </x:c>
      <x:c r="P129" s="15" t="n">
        <x:f>IF(A129="","",--(COUNTIFS($A$2:A129,A129,$F$2:F129,F129)=1))</x:f>
        <x:v>0</x:v>
      </x:c>
    </x:row>
    <x:row r="130">
      <x:c r="A130" s="18" t="str">
        <x:v>LEI-09-01-01</x:v>
      </x:c>
      <x:c r="B130" t="str">
        <x:v>Equipe LEI-065</x:v>
      </x:c>
      <x:c r="C130" t="str">
        <x:v>Thiago Gomes</x:v>
      </x:c>
      <x:c r="D130" t="str">
        <x:v>Base Serra Talhada</x:v>
      </x:c>
      <x:c r="E130" t="str">
        <x:v>Jatobá</x:v>
      </x:c>
      <x:c r="F130" t="str">
        <x:v>Serra Talhada</x:v>
      </x:c>
      <x:c r="G130" t="str">
        <x:v>MR02</x:v>
      </x:c>
      <x:c r="H130" t="str">
        <x:v>Jatobá</x:v>
      </x:c>
      <x:c r="I130" t="str">
        <x:v>Equipe Dupla</x:v>
      </x:c>
      <x:c r="J130" t="str">
        <x:v>Leitura / Entrega de Conta</x:v>
      </x:c>
      <x:c r="K130" t="str">
        <x:v>Em recrutamento</x:v>
      </x:c>
      <x:c r="L130" t="str">
        <x:v>Leitura</x:v>
      </x:c>
      <x:c r="M130" t="str">
        <x:v>Sim</x:v>
      </x:c>
      <x:c r="N130" t="str">
        <x:v>DADO FICTÍCIO – teste do painel; ID repetido em outra microrrota</x:v>
      </x:c>
      <x:c r="O130" s="15" t="n">
        <x:f>IF(A130="","",--(COUNTIF($A$2:A130,A130)=1))</x:f>
        <x:v>1</x:v>
      </x:c>
      <x:c r="P130" s="15" t="n">
        <x:f>IF(A130="","",--(COUNTIFS($A$2:A130,A130,$F$2:F130,F130)=1))</x:f>
        <x:v>1</x:v>
      </x:c>
    </x:row>
    <x:row r="131">
      <x:c r="A131" s="18" t="str">
        <x:v>LEI-09-01-01</x:v>
      </x:c>
      <x:c r="B131" t="str">
        <x:v>Equipe LEI-065</x:v>
      </x:c>
      <x:c r="C131" t="str">
        <x:v>Thiago Gomes</x:v>
      </x:c>
      <x:c r="D131" t="str">
        <x:v>Base Serra Talhada</x:v>
      </x:c>
      <x:c r="E131" t="str">
        <x:v>Belém do São Francisco</x:v>
      </x:c>
      <x:c r="F131" t="str">
        <x:v>Serra Talhada</x:v>
      </x:c>
      <x:c r="G131" t="str">
        <x:v>MR03</x:v>
      </x:c>
      <x:c r="H131" t="str">
        <x:v>Belém do São Francisco</x:v>
      </x:c>
      <x:c r="I131" t="str">
        <x:v>Equipe Dupla</x:v>
      </x:c>
      <x:c r="J131" t="str">
        <x:v>Leitura / Entrega de Conta</x:v>
      </x:c>
      <x:c r="K131" t="str">
        <x:v>Em recrutamento</x:v>
      </x:c>
      <x:c r="L131" t="str">
        <x:v>Leitura</x:v>
      </x:c>
      <x:c r="M131" t="str">
        <x:v>Sim</x:v>
      </x:c>
      <x:c r="N131" t="str">
        <x:v>DADO FICTÍCIO – teste do painel; ID repetido em outra microrrota</x:v>
      </x:c>
      <x:c r="O131" s="15" t="n">
        <x:f>IF(A131="","",--(COUNTIF($A$2:A131,A131)=1))</x:f>
        <x:v>0</x:v>
      </x:c>
      <x:c r="P131" s="15" t="n">
        <x:f>IF(A131="","",--(COUNTIFS($A$2:A131,A131,$F$2:F131,F131)=1))</x:f>
        <x:v>0</x:v>
      </x:c>
    </x:row>
    <x:row r="132">
      <x:c r="A132" s="18" t="str">
        <x:v>LEI-09-01-02</x:v>
      </x:c>
      <x:c r="B132" t="str">
        <x:v>Equipe LEI-066</x:v>
      </x:c>
      <x:c r="C132" t="str">
        <x:v>Alex Pereira</x:v>
      </x:c>
      <x:c r="D132" t="str">
        <x:v>Base Serra Talhada</x:v>
      </x:c>
      <x:c r="E132" t="str">
        <x:v>Belém do São Francisco</x:v>
      </x:c>
      <x:c r="F132" t="str">
        <x:v>Serra Talhada</x:v>
      </x:c>
      <x:c r="G132" t="str">
        <x:v>MR03</x:v>
      </x:c>
      <x:c r="H132" t="str">
        <x:v>Belém do São Francisco</x:v>
      </x:c>
      <x:c r="I132" t="str">
        <x:v>Equipe Simples</x:v>
      </x:c>
      <x:c r="J132" t="str">
        <x:v>Leitura / Entrega de Conta</x:v>
      </x:c>
      <x:c r="K132" t="str">
        <x:v>Em recrutamento</x:v>
      </x:c>
      <x:c r="L132" t="str">
        <x:v>Leitura</x:v>
      </x:c>
      <x:c r="M132" t="str">
        <x:v>Não</x:v>
      </x:c>
      <x:c r="N132" t="str">
        <x:v>DADO FICTÍCIO – teste do painel; ID repetido em outra microrrota</x:v>
      </x:c>
      <x:c r="O132" s="15" t="n">
        <x:f>IF(A132="","",--(COUNTIF($A$2:A132,A132)=1))</x:f>
        <x:v>1</x:v>
      </x:c>
      <x:c r="P132" s="15" t="n">
        <x:f>IF(A132="","",--(COUNTIFS($A$2:A132,A132,$F$2:F132,F132)=1))</x:f>
        <x:v>1</x:v>
      </x:c>
    </x:row>
    <x:row r="133">
      <x:c r="A133" s="18" t="str">
        <x:v>LEI-09-01-02</x:v>
      </x:c>
      <x:c r="B133" t="str">
        <x:v>Equipe LEI-066</x:v>
      </x:c>
      <x:c r="C133" t="str">
        <x:v>Alex Pereira</x:v>
      </x:c>
      <x:c r="D133" t="str">
        <x:v>Base Serra Talhada</x:v>
      </x:c>
      <x:c r="E133" t="str">
        <x:v>Betânia</x:v>
      </x:c>
      <x:c r="F133" t="str">
        <x:v>Serra Talhada</x:v>
      </x:c>
      <x:c r="G133" t="str">
        <x:v>MR01</x:v>
      </x:c>
      <x:c r="H133" t="str">
        <x:v>Betânia</x:v>
      </x:c>
      <x:c r="I133" t="str">
        <x:v>Equipe Simples</x:v>
      </x:c>
      <x:c r="J133" t="str">
        <x:v>Leitura / Entrega de Conta</x:v>
      </x:c>
      <x:c r="K133" t="str">
        <x:v>Em recrutamento</x:v>
      </x:c>
      <x:c r="L133" t="str">
        <x:v>Leitura</x:v>
      </x:c>
      <x:c r="M133" t="str">
        <x:v>Não</x:v>
      </x:c>
      <x:c r="N133" t="str">
        <x:v>DADO FICTÍCIO – teste do painel; ID repetido em outra microrrota</x:v>
      </x:c>
      <x:c r="O133" s="15" t="n">
        <x:f>IF(A133="","",--(COUNTIF($A$2:A133,A133)=1))</x:f>
        <x:v>0</x:v>
      </x:c>
      <x:c r="P133" s="15" t="n">
        <x:f>IF(A133="","",--(COUNTIFS($A$2:A133,A133,$F$2:F133,F133)=1))</x:f>
        <x:v>0</x:v>
      </x:c>
    </x:row>
    <x:row r="134">
      <x:c r="A134" s="18" t="str">
        <x:v>LEI-09-02-01</x:v>
      </x:c>
      <x:c r="B134" t="str">
        <x:v>Equipe LEI-067</x:v>
      </x:c>
      <x:c r="C134" t="str">
        <x:v>Bruno Teixeira</x:v>
      </x:c>
      <x:c r="D134" t="str">
        <x:v>Base Serra Talhada</x:v>
      </x:c>
      <x:c r="E134" t="str">
        <x:v>Betânia</x:v>
      </x:c>
      <x:c r="F134" t="str">
        <x:v>Serra Talhada</x:v>
      </x:c>
      <x:c r="G134" t="str">
        <x:v>MR01</x:v>
      </x:c>
      <x:c r="H134" t="str">
        <x:v>Betânia</x:v>
      </x:c>
      <x:c r="I134" t="str">
        <x:v>Equipe Simples</x:v>
      </x:c>
      <x:c r="J134" t="str">
        <x:v>Leitura / Entrega de Conta</x:v>
      </x:c>
      <x:c r="K134" t="str">
        <x:v>Em contratação</x:v>
      </x:c>
      <x:c r="L134" t="str">
        <x:v>Leitura</x:v>
      </x:c>
      <x:c r="M134" t="str">
        <x:v>Sim</x:v>
      </x:c>
      <x:c r="N134" t="str">
        <x:v>DADO FICTÍCIO – teste do painel; ID repetido em outra microrrota</x:v>
      </x:c>
      <x:c r="O134" s="15" t="n">
        <x:f>IF(A134="","",--(COUNTIF($A$2:A134,A134)=1))</x:f>
        <x:v>1</x:v>
      </x:c>
      <x:c r="P134" s="15" t="n">
        <x:f>IF(A134="","",--(COUNTIFS($A$2:A134,A134,$F$2:F134,F134)=1))</x:f>
        <x:v>1</x:v>
      </x:c>
    </x:row>
    <x:row r="135">
      <x:c r="A135" s="18" t="str">
        <x:v>LEI-09-02-01</x:v>
      </x:c>
      <x:c r="B135" t="str">
        <x:v>Equipe LEI-067</x:v>
      </x:c>
      <x:c r="C135" t="str">
        <x:v>Bruno Teixeira</x:v>
      </x:c>
      <x:c r="D135" t="str">
        <x:v>Base Serra Talhada</x:v>
      </x:c>
      <x:c r="E135" t="str">
        <x:v>Jatobá</x:v>
      </x:c>
      <x:c r="F135" t="str">
        <x:v>Serra Talhada</x:v>
      </x:c>
      <x:c r="G135" t="str">
        <x:v>MR02</x:v>
      </x:c>
      <x:c r="H135" t="str">
        <x:v>Jatobá</x:v>
      </x:c>
      <x:c r="I135" t="str">
        <x:v>Equipe Simples</x:v>
      </x:c>
      <x:c r="J135" t="str">
        <x:v>Leitura / Entrega de Conta</x:v>
      </x:c>
      <x:c r="K135" t="str">
        <x:v>Em contratação</x:v>
      </x:c>
      <x:c r="L135" t="str">
        <x:v>Leitura</x:v>
      </x:c>
      <x:c r="M135" t="str">
        <x:v>Sim</x:v>
      </x:c>
      <x:c r="N135" t="str">
        <x:v>DADO FICTÍCIO – teste do painel; ID repetido em outra microrrota</x:v>
      </x:c>
      <x:c r="O135" s="15" t="n">
        <x:f>IF(A135="","",--(COUNTIF($A$2:A135,A135)=1))</x:f>
        <x:v>0</x:v>
      </x:c>
      <x:c r="P135" s="15" t="n">
        <x:f>IF(A135="","",--(COUNTIFS($A$2:A135,A135,$F$2:F135,F135)=1))</x:f>
        <x:v>0</x:v>
      </x:c>
    </x:row>
    <x:row r="136">
      <x:c r="A136" s="18" t="str">
        <x:v>LEI-09-02-02</x:v>
      </x:c>
      <x:c r="B136" t="str">
        <x:v>Equipe LEI-068</x:v>
      </x:c>
      <x:c r="C136" t="str">
        <x:v>Eduardo Almeida</x:v>
      </x:c>
      <x:c r="D136" t="str">
        <x:v>Base Serra Talhada</x:v>
      </x:c>
      <x:c r="E136" t="str">
        <x:v>Jatobá</x:v>
      </x:c>
      <x:c r="F136" t="str">
        <x:v>Serra Talhada</x:v>
      </x:c>
      <x:c r="G136" t="str">
        <x:v>MR02</x:v>
      </x:c>
      <x:c r="H136" t="str">
        <x:v>Jatobá</x:v>
      </x:c>
      <x:c r="I136" t="str">
        <x:v>Equipe Dupla</x:v>
      </x:c>
      <x:c r="J136" t="str">
        <x:v>Leitura / Entrega de Conta</x:v>
      </x:c>
      <x:c r="K136" t="str">
        <x:v>Em contratação</x:v>
      </x:c>
      <x:c r="L136" t="str">
        <x:v>Leitura</x:v>
      </x:c>
      <x:c r="M136" t="str">
        <x:v>Não</x:v>
      </x:c>
      <x:c r="N136" t="str">
        <x:v>DADO FICTÍCIO – teste do painel; ID repetido em outra microrrota</x:v>
      </x:c>
      <x:c r="O136" s="15" t="n">
        <x:f>IF(A136="","",--(COUNTIF($A$2:A136,A136)=1))</x:f>
        <x:v>1</x:v>
      </x:c>
      <x:c r="P136" s="15" t="n">
        <x:f>IF(A136="","",--(COUNTIFS($A$2:A136,A136,$F$2:F136,F136)=1))</x:f>
        <x:v>1</x:v>
      </x:c>
    </x:row>
    <x:row r="137">
      <x:c r="A137" s="18" t="str">
        <x:v>LEI-09-02-02</x:v>
      </x:c>
      <x:c r="B137" t="str">
        <x:v>Equipe LEI-068</x:v>
      </x:c>
      <x:c r="C137" t="str">
        <x:v>Eduardo Almeida</x:v>
      </x:c>
      <x:c r="D137" t="str">
        <x:v>Base Serra Talhada</x:v>
      </x:c>
      <x:c r="E137" t="str">
        <x:v>Belém do São Francisco</x:v>
      </x:c>
      <x:c r="F137" t="str">
        <x:v>Serra Talhada</x:v>
      </x:c>
      <x:c r="G137" t="str">
        <x:v>MR03</x:v>
      </x:c>
      <x:c r="H137" t="str">
        <x:v>Belém do São Francisco</x:v>
      </x:c>
      <x:c r="I137" t="str">
        <x:v>Equipe Dupla</x:v>
      </x:c>
      <x:c r="J137" t="str">
        <x:v>Leitura / Entrega de Conta</x:v>
      </x:c>
      <x:c r="K137" t="str">
        <x:v>Em contratação</x:v>
      </x:c>
      <x:c r="L137" t="str">
        <x:v>Leitura</x:v>
      </x:c>
      <x:c r="M137" t="str">
        <x:v>Não</x:v>
      </x:c>
      <x:c r="N137" t="str">
        <x:v>DADO FICTÍCIO – teste do painel; ID repetido em outra microrrota</x:v>
      </x:c>
      <x:c r="O137" s="15" t="n">
        <x:f>IF(A137="","",--(COUNTIF($A$2:A137,A137)=1))</x:f>
        <x:v>0</x:v>
      </x:c>
      <x:c r="P137" s="15" t="n">
        <x:f>IF(A137="","",--(COUNTIFS($A$2:A137,A137,$F$2:F137,F137)=1))</x:f>
        <x:v>0</x:v>
      </x:c>
    </x:row>
    <x:row r="138">
      <x:c r="A138" s="18" t="str">
        <x:v>LEI-09-03-01</x:v>
      </x:c>
      <x:c r="B138" t="str">
        <x:v>Equipe LEI-069</x:v>
      </x:c>
      <x:c r="C138" t="str">
        <x:v>Henrique Gomes</x:v>
      </x:c>
      <x:c r="D138" t="str">
        <x:v>Base Serra Talhada</x:v>
      </x:c>
      <x:c r="E138" t="str">
        <x:v>Belém do São Francisco</x:v>
      </x:c>
      <x:c r="F138" t="str">
        <x:v>Serra Talhada</x:v>
      </x:c>
      <x:c r="G138" t="str">
        <x:v>MR03</x:v>
      </x:c>
      <x:c r="H138" t="str">
        <x:v>Belém do São Francisco</x:v>
      </x:c>
      <x:c r="I138" t="str">
        <x:v>Equipe Dupla</x:v>
      </x:c>
      <x:c r="J138" t="str">
        <x:v>Leitura / Entrega de Conta</x:v>
      </x:c>
      <x:c r="K138" t="str">
        <x:v>Contratada</x:v>
      </x:c>
      <x:c r="L138" t="str">
        <x:v>Leitura</x:v>
      </x:c>
      <x:c r="M138" t="str">
        <x:v>Sim</x:v>
      </x:c>
      <x:c r="N138" t="str">
        <x:v>DADO FICTÍCIO – teste do painel; ID repetido em outra microrrota</x:v>
      </x:c>
      <x:c r="O138" s="15" t="n">
        <x:f>IF(A138="","",--(COUNTIF($A$2:A138,A138)=1))</x:f>
        <x:v>1</x:v>
      </x:c>
      <x:c r="P138" s="15" t="n">
        <x:f>IF(A138="","",--(COUNTIFS($A$2:A138,A138,$F$2:F138,F138)=1))</x:f>
        <x:v>1</x:v>
      </x:c>
    </x:row>
    <x:row r="139">
      <x:c r="A139" s="18" t="str">
        <x:v>LEI-09-03-01</x:v>
      </x:c>
      <x:c r="B139" t="str">
        <x:v>Equipe LEI-069</x:v>
      </x:c>
      <x:c r="C139" t="str">
        <x:v>Henrique Gomes</x:v>
      </x:c>
      <x:c r="D139" t="str">
        <x:v>Base Serra Talhada</x:v>
      </x:c>
      <x:c r="E139" t="str">
        <x:v>Betânia</x:v>
      </x:c>
      <x:c r="F139" t="str">
        <x:v>Serra Talhada</x:v>
      </x:c>
      <x:c r="G139" t="str">
        <x:v>MR01</x:v>
      </x:c>
      <x:c r="H139" t="str">
        <x:v>Betânia</x:v>
      </x:c>
      <x:c r="I139" t="str">
        <x:v>Equipe Dupla</x:v>
      </x:c>
      <x:c r="J139" t="str">
        <x:v>Leitura / Entrega de Conta</x:v>
      </x:c>
      <x:c r="K139" t="str">
        <x:v>Contratada</x:v>
      </x:c>
      <x:c r="L139" t="str">
        <x:v>Leitura</x:v>
      </x:c>
      <x:c r="M139" t="str">
        <x:v>Sim</x:v>
      </x:c>
      <x:c r="N139" t="str">
        <x:v>DADO FICTÍCIO – teste do painel; ID repetido em outra microrrota</x:v>
      </x:c>
      <x:c r="O139" s="15" t="n">
        <x:f>IF(A139="","",--(COUNTIF($A$2:A139,A139)=1))</x:f>
        <x:v>0</x:v>
      </x:c>
      <x:c r="P139" s="15" t="n">
        <x:f>IF(A139="","",--(COUNTIFS($A$2:A139,A139,$F$2:F139,F139)=1))</x:f>
        <x:v>0</x:v>
      </x:c>
    </x:row>
    <x:row r="140">
      <x:c r="A140" s="18" t="str">
        <x:v>LEI-09-03-02</x:v>
      </x:c>
      <x:c r="B140" t="str">
        <x:v>Equipe LEI-070</x:v>
      </x:c>
      <x:c r="C140" t="str">
        <x:v>Lucas Pereira</x:v>
      </x:c>
      <x:c r="D140" t="str">
        <x:v>Base Serra Talhada</x:v>
      </x:c>
      <x:c r="E140" t="str">
        <x:v>Betânia</x:v>
      </x:c>
      <x:c r="F140" t="str">
        <x:v>Serra Talhada</x:v>
      </x:c>
      <x:c r="G140" t="str">
        <x:v>MR01</x:v>
      </x:c>
      <x:c r="H140" t="str">
        <x:v>Betânia</x:v>
      </x:c>
      <x:c r="I140" t="str">
        <x:v>Equipe Simples</x:v>
      </x:c>
      <x:c r="J140" t="str">
        <x:v>Leitura / Entrega de Conta</x:v>
      </x:c>
      <x:c r="K140" t="str">
        <x:v>Contratada</x:v>
      </x:c>
      <x:c r="L140" t="str">
        <x:v>Leitura</x:v>
      </x:c>
      <x:c r="M140" t="str">
        <x:v>Sim</x:v>
      </x:c>
      <x:c r="N140" t="str">
        <x:v>DADO FICTÍCIO – teste do painel; ID repetido em outra microrrota</x:v>
      </x:c>
      <x:c r="O140" s="15" t="n">
        <x:f>IF(A140="","",--(COUNTIF($A$2:A140,A140)=1))</x:f>
        <x:v>1</x:v>
      </x:c>
      <x:c r="P140" s="15" t="n">
        <x:f>IF(A140="","",--(COUNTIFS($A$2:A140,A140,$F$2:F140,F140)=1))</x:f>
        <x:v>1</x:v>
      </x:c>
    </x:row>
    <x:row r="141">
      <x:c r="A141" s="18" t="str">
        <x:v>LEI-09-03-02</x:v>
      </x:c>
      <x:c r="B141" t="str">
        <x:v>Equipe LEI-070</x:v>
      </x:c>
      <x:c r="C141" t="str">
        <x:v>Lucas Pereira</x:v>
      </x:c>
      <x:c r="D141" t="str">
        <x:v>Base Serra Talhada</x:v>
      </x:c>
      <x:c r="E141" t="str">
        <x:v>Jatobá</x:v>
      </x:c>
      <x:c r="F141" t="str">
        <x:v>Serra Talhada</x:v>
      </x:c>
      <x:c r="G141" t="str">
        <x:v>MR02</x:v>
      </x:c>
      <x:c r="H141" t="str">
        <x:v>Jatobá</x:v>
      </x:c>
      <x:c r="I141" t="str">
        <x:v>Equipe Simples</x:v>
      </x:c>
      <x:c r="J141" t="str">
        <x:v>Leitura / Entrega de Conta</x:v>
      </x:c>
      <x:c r="K141" t="str">
        <x:v>Contratada</x:v>
      </x:c>
      <x:c r="L141" t="str">
        <x:v>Leitura</x:v>
      </x:c>
      <x:c r="M141" t="str">
        <x:v>Sim</x:v>
      </x:c>
      <x:c r="N141" t="str">
        <x:v>DADO FICTÍCIO – teste do painel; ID repetido em outra microrrota</x:v>
      </x:c>
      <x:c r="O141" s="15" t="n">
        <x:f>IF(A141="","",--(COUNTIF($A$2:A141,A141)=1))</x:f>
        <x:v>0</x:v>
      </x:c>
      <x:c r="P141" s="15" t="n">
        <x:f>IF(A141="","",--(COUNTIFS($A$2:A141,A141,$F$2:F141,F141)=1))</x:f>
        <x:v>0</x:v>
      </x:c>
    </x:row>
    <x:row r="142">
      <x:c r="A142" s="18" t="str">
        <x:v>LEI-09-04-01</x:v>
      </x:c>
      <x:c r="B142" t="str">
        <x:v>Equipe LEI-071</x:v>
      </x:c>
      <x:c r="C142" t="str">
        <x:v>Rafael Teixeira</x:v>
      </x:c>
      <x:c r="D142" t="str">
        <x:v>Base Serra Talhada</x:v>
      </x:c>
      <x:c r="E142" t="str">
        <x:v>Jatobá</x:v>
      </x:c>
      <x:c r="F142" t="str">
        <x:v>Serra Talhada</x:v>
      </x:c>
      <x:c r="G142" t="str">
        <x:v>MR02</x:v>
      </x:c>
      <x:c r="H142" t="str">
        <x:v>Jatobá</x:v>
      </x:c>
      <x:c r="I142" t="str">
        <x:v>Equipe Simples</x:v>
      </x:c>
      <x:c r="J142" t="str">
        <x:v>Leitura / Entrega de Conta</x:v>
      </x:c>
      <x:c r="K142" t="str">
        <x:v>Mobilizada</x:v>
      </x:c>
      <x:c r="L142" t="str">
        <x:v>Leitura</x:v>
      </x:c>
      <x:c r="M142" t="str">
        <x:v>Sim</x:v>
      </x:c>
      <x:c r="N142" t="str">
        <x:v>DADO FICTÍCIO – teste do painel; ID repetido em outra microrrota</x:v>
      </x:c>
      <x:c r="O142" s="15" t="n">
        <x:f>IF(A142="","",--(COUNTIF($A$2:A142,A142)=1))</x:f>
        <x:v>1</x:v>
      </x:c>
      <x:c r="P142" s="15" t="n">
        <x:f>IF(A142="","",--(COUNTIFS($A$2:A142,A142,$F$2:F142,F142)=1))</x:f>
        <x:v>1</x:v>
      </x:c>
    </x:row>
    <x:row r="143">
      <x:c r="A143" s="18" t="str">
        <x:v>LEI-09-04-01</x:v>
      </x:c>
      <x:c r="B143" t="str">
        <x:v>Equipe LEI-071</x:v>
      </x:c>
      <x:c r="C143" t="str">
        <x:v>Rafael Teixeira</x:v>
      </x:c>
      <x:c r="D143" t="str">
        <x:v>Base Serra Talhada</x:v>
      </x:c>
      <x:c r="E143" t="str">
        <x:v>Belém do São Francisco</x:v>
      </x:c>
      <x:c r="F143" t="str">
        <x:v>Serra Talhada</x:v>
      </x:c>
      <x:c r="G143" t="str">
        <x:v>MR03</x:v>
      </x:c>
      <x:c r="H143" t="str">
        <x:v>Belém do São Francisco</x:v>
      </x:c>
      <x:c r="I143" t="str">
        <x:v>Equipe Simples</x:v>
      </x:c>
      <x:c r="J143" t="str">
        <x:v>Leitura / Entrega de Conta</x:v>
      </x:c>
      <x:c r="K143" t="str">
        <x:v>Mobilizada</x:v>
      </x:c>
      <x:c r="L143" t="str">
        <x:v>Leitura</x:v>
      </x:c>
      <x:c r="M143" t="str">
        <x:v>Sim</x:v>
      </x:c>
      <x:c r="N143" t="str">
        <x:v>DADO FICTÍCIO – teste do painel; ID repetido em outra microrrota</x:v>
      </x:c>
      <x:c r="O143" s="15" t="n">
        <x:f>IF(A143="","",--(COUNTIF($A$2:A143,A143)=1))</x:f>
        <x:v>0</x:v>
      </x:c>
      <x:c r="P143" s="15" t="n">
        <x:f>IF(A143="","",--(COUNTIFS($A$2:A143,A143,$F$2:F143,F143)=1))</x:f>
        <x:v>0</x:v>
      </x:c>
    </x:row>
    <x:row r="144">
      <x:c r="A144" s="18" t="str">
        <x:v>LEI-09-04-02</x:v>
      </x:c>
      <x:c r="B144" t="str">
        <x:v>Equipe LEI-072</x:v>
      </x:c>
      <x:c r="C144" t="str">
        <x:v>Vinícius Almeida</x:v>
      </x:c>
      <x:c r="D144" t="str">
        <x:v>Base Serra Talhada</x:v>
      </x:c>
      <x:c r="E144" t="str">
        <x:v>Belém do São Francisco</x:v>
      </x:c>
      <x:c r="F144" t="str">
        <x:v>Serra Talhada</x:v>
      </x:c>
      <x:c r="G144" t="str">
        <x:v>MR03</x:v>
      </x:c>
      <x:c r="H144" t="str">
        <x:v>Belém do São Francisco</x:v>
      </x:c>
      <x:c r="I144" t="str">
        <x:v>Equipe Dupla</x:v>
      </x:c>
      <x:c r="J144" t="str">
        <x:v>Leitura / Entrega de Conta</x:v>
      </x:c>
      <x:c r="K144" t="str">
        <x:v>Mobilizada</x:v>
      </x:c>
      <x:c r="L144" t="str">
        <x:v>Leitura</x:v>
      </x:c>
      <x:c r="M144" t="str">
        <x:v>Sim</x:v>
      </x:c>
      <x:c r="N144" t="str">
        <x:v>DADO FICTÍCIO – teste do painel; ID repetido em outra microrrota</x:v>
      </x:c>
      <x:c r="O144" s="15" t="n">
        <x:f>IF(A144="","",--(COUNTIF($A$2:A144,A144)=1))</x:f>
        <x:v>1</x:v>
      </x:c>
      <x:c r="P144" s="15" t="n">
        <x:f>IF(A144="","",--(COUNTIFS($A$2:A144,A144,$F$2:F144,F144)=1))</x:f>
        <x:v>1</x:v>
      </x:c>
    </x:row>
    <x:row r="145">
      <x:c r="A145" s="18" t="str">
        <x:v>LEI-09-04-02</x:v>
      </x:c>
      <x:c r="B145" t="str">
        <x:v>Equipe LEI-072</x:v>
      </x:c>
      <x:c r="C145" t="str">
        <x:v>Vinícius Almeida</x:v>
      </x:c>
      <x:c r="D145" t="str">
        <x:v>Base Serra Talhada</x:v>
      </x:c>
      <x:c r="E145" t="str">
        <x:v>Betânia</x:v>
      </x:c>
      <x:c r="F145" t="str">
        <x:v>Serra Talhada</x:v>
      </x:c>
      <x:c r="G145" t="str">
        <x:v>MR01</x:v>
      </x:c>
      <x:c r="H145" t="str">
        <x:v>Betânia</x:v>
      </x:c>
      <x:c r="I145" t="str">
        <x:v>Equipe Dupla</x:v>
      </x:c>
      <x:c r="J145" t="str">
        <x:v>Leitura / Entrega de Conta</x:v>
      </x:c>
      <x:c r="K145" t="str">
        <x:v>Mobilizada</x:v>
      </x:c>
      <x:c r="L145" t="str">
        <x:v>Leitura</x:v>
      </x:c>
      <x:c r="M145" t="str">
        <x:v>Sim</x:v>
      </x:c>
      <x:c r="N145" t="str">
        <x:v>DADO FICTÍCIO – teste do painel; ID repetido em outra microrrota</x:v>
      </x:c>
      <x:c r="O145" s="15" t="n">
        <x:f>IF(A145="","",--(COUNTIF($A$2:A145,A145)=1))</x:f>
        <x:v>0</x:v>
      </x:c>
      <x:c r="P145" s="15" t="n">
        <x:f>IF(A145="","",--(COUNTIFS($A$2:A145,A145,$F$2:F145,F145)=1))</x:f>
        <x:v>0</x:v>
      </x:c>
    </x:row>
    <x:row r="146">
      <x:c r="A146" s="18"/>
      <x:c r="O146" s="15" t="str">
        <x:f>IF(A146="","",--(COUNTIF($A$2:A146,A146)=1))</x:f>
      </x:c>
      <x:c r="P146" s="15" t="str">
        <x:f>IF(A146="","",--(COUNTIFS($A$2:A146,A146,$F$2:F146,F146)=1))</x:f>
      </x:c>
    </x:row>
    <x:row r="147">
      <x:c r="A147" s="18"/>
      <x:c r="O147" s="15" t="str">
        <x:f>IF(A147="","",--(COUNTIF($A$2:A147,A147)=1))</x:f>
      </x:c>
      <x:c r="P147" s="15" t="str">
        <x:f>IF(A147="","",--(COUNTIFS($A$2:A147,A147,$F$2:F147,F147)=1))</x:f>
      </x:c>
    </x:row>
    <x:row r="148">
      <x:c r="A148" s="18"/>
      <x:c r="O148" s="15" t="str">
        <x:f>IF(A148="","",--(COUNTIF($A$2:A148,A148)=1))</x:f>
      </x:c>
      <x:c r="P148" s="15" t="str">
        <x:f>IF(A148="","",--(COUNTIFS($A$2:A148,A148,$F$2:F148,F148)=1))</x:f>
      </x:c>
    </x:row>
    <x:row r="149">
      <x:c r="A149" s="18"/>
      <x:c r="O149" s="15" t="str">
        <x:f>IF(A149="","",--(COUNTIF($A$2:A149,A149)=1))</x:f>
      </x:c>
      <x:c r="P149" s="15" t="str">
        <x:f>IF(A149="","",--(COUNTIFS($A$2:A149,A149,$F$2:F149,F149)=1))</x:f>
      </x:c>
    </x:row>
    <x:row r="150">
      <x:c r="A150" s="18"/>
      <x:c r="O150" s="15" t="str">
        <x:f>IF(A150="","",--(COUNTIF($A$2:A150,A150)=1))</x:f>
      </x:c>
      <x:c r="P150" s="15" t="str">
        <x:f>IF(A150="","",--(COUNTIFS($A$2:A150,A150,$F$2:F150,F150)=1))</x:f>
      </x:c>
    </x:row>
    <x:row r="151">
      <x:c r="A151" s="18"/>
      <x:c r="O151" s="15" t="str">
        <x:f>IF(A151="","",--(COUNTIF($A$2:A151,A151)=1))</x:f>
      </x:c>
      <x:c r="P151" s="15" t="str">
        <x:f>IF(A151="","",--(COUNTIFS($A$2:A151,A151,$F$2:F151,F151)=1))</x:f>
      </x:c>
    </x:row>
    <x:row r="152">
      <x:c r="A152" s="18"/>
      <x:c r="O152" s="15" t="str">
        <x:f>IF(A152="","",--(COUNTIF($A$2:A152,A152)=1))</x:f>
      </x:c>
      <x:c r="P152" s="15" t="str">
        <x:f>IF(A152="","",--(COUNTIFS($A$2:A152,A152,$F$2:F152,F152)=1))</x:f>
      </x:c>
    </x:row>
    <x:row r="153">
      <x:c r="A153" s="18"/>
      <x:c r="O153" s="15" t="str">
        <x:f>IF(A153="","",--(COUNTIF($A$2:A153,A153)=1))</x:f>
      </x:c>
      <x:c r="P153" s="15" t="str">
        <x:f>IF(A153="","",--(COUNTIFS($A$2:A153,A153,$F$2:F153,F153)=1))</x:f>
      </x:c>
    </x:row>
    <x:row r="154">
      <x:c r="A154" s="18"/>
      <x:c r="O154" s="15" t="str">
        <x:f>IF(A154="","",--(COUNTIF($A$2:A154,A154)=1))</x:f>
      </x:c>
      <x:c r="P154" s="15" t="str">
        <x:f>IF(A154="","",--(COUNTIFS($A$2:A154,A154,$F$2:F154,F154)=1))</x:f>
      </x:c>
    </x:row>
    <x:row r="155">
      <x:c r="A155" s="18"/>
      <x:c r="O155" s="15" t="str">
        <x:f>IF(A155="","",--(COUNTIF($A$2:A155,A155)=1))</x:f>
      </x:c>
      <x:c r="P155" s="15" t="str">
        <x:f>IF(A155="","",--(COUNTIFS($A$2:A155,A155,$F$2:F155,F155)=1))</x:f>
      </x:c>
    </x:row>
    <x:row r="156">
      <x:c r="A156" s="18"/>
      <x:c r="O156" s="15" t="str">
        <x:f>IF(A156="","",--(COUNTIF($A$2:A156,A156)=1))</x:f>
      </x:c>
      <x:c r="P156" s="15" t="str">
        <x:f>IF(A156="","",--(COUNTIFS($A$2:A156,A156,$F$2:F156,F156)=1))</x:f>
      </x:c>
    </x:row>
    <x:row r="157">
      <x:c r="A157" s="18"/>
      <x:c r="O157" s="15" t="str">
        <x:f>IF(A157="","",--(COUNTIF($A$2:A157,A157)=1))</x:f>
      </x:c>
      <x:c r="P157" s="15" t="str">
        <x:f>IF(A157="","",--(COUNTIFS($A$2:A157,A157,$F$2:F157,F157)=1))</x:f>
      </x:c>
    </x:row>
    <x:row r="158">
      <x:c r="A158" s="18"/>
      <x:c r="O158" s="15" t="str">
        <x:f>IF(A158="","",--(COUNTIF($A$2:A158,A158)=1))</x:f>
      </x:c>
      <x:c r="P158" s="15" t="str">
        <x:f>IF(A158="","",--(COUNTIFS($A$2:A158,A158,$F$2:F158,F158)=1))</x:f>
      </x:c>
    </x:row>
    <x:row r="159">
      <x:c r="A159" s="18"/>
      <x:c r="O159" s="15" t="str">
        <x:f>IF(A159="","",--(COUNTIF($A$2:A159,A159)=1))</x:f>
      </x:c>
      <x:c r="P159" s="15" t="str">
        <x:f>IF(A159="","",--(COUNTIFS($A$2:A159,A159,$F$2:F159,F159)=1))</x:f>
      </x:c>
    </x:row>
    <x:row r="160">
      <x:c r="A160" s="18"/>
      <x:c r="O160" s="15" t="str">
        <x:f>IF(A160="","",--(COUNTIF($A$2:A160,A160)=1))</x:f>
      </x:c>
      <x:c r="P160" s="15" t="str">
        <x:f>IF(A160="","",--(COUNTIFS($A$2:A160,A160,$F$2:F160,F160)=1))</x:f>
      </x:c>
    </x:row>
    <x:row r="161">
      <x:c r="A161" s="18"/>
      <x:c r="O161" s="15" t="str">
        <x:f>IF(A161="","",--(COUNTIF($A$2:A161,A161)=1))</x:f>
      </x:c>
      <x:c r="P161" s="15" t="str">
        <x:f>IF(A161="","",--(COUNTIFS($A$2:A161,A161,$F$2:F161,F161)=1))</x:f>
      </x:c>
    </x:row>
    <x:row r="162">
      <x:c r="A162" s="18"/>
      <x:c r="O162" s="15" t="str">
        <x:f>IF(A162="","",--(COUNTIF($A$2:A162,A162)=1))</x:f>
      </x:c>
      <x:c r="P162" s="15" t="str">
        <x:f>IF(A162="","",--(COUNTIFS($A$2:A162,A162,$F$2:F162,F162)=1))</x:f>
      </x:c>
    </x:row>
    <x:row r="163">
      <x:c r="A163" s="18"/>
      <x:c r="O163" s="15" t="str">
        <x:f>IF(A163="","",--(COUNTIF($A$2:A163,A163)=1))</x:f>
      </x:c>
      <x:c r="P163" s="15" t="str">
        <x:f>IF(A163="","",--(COUNTIFS($A$2:A163,A163,$F$2:F163,F163)=1))</x:f>
      </x:c>
    </x:row>
    <x:row r="164">
      <x:c r="A164" s="18"/>
      <x:c r="O164" s="15" t="str">
        <x:f>IF(A164="","",--(COUNTIF($A$2:A164,A164)=1))</x:f>
      </x:c>
      <x:c r="P164" s="15" t="str">
        <x:f>IF(A164="","",--(COUNTIFS($A$2:A164,A164,$F$2:F164,F164)=1))</x:f>
      </x:c>
    </x:row>
    <x:row r="165">
      <x:c r="A165" s="18"/>
      <x:c r="O165" s="15" t="str">
        <x:f>IF(A165="","",--(COUNTIF($A$2:A165,A165)=1))</x:f>
      </x:c>
      <x:c r="P165" s="15" t="str">
        <x:f>IF(A165="","",--(COUNTIFS($A$2:A165,A165,$F$2:F165,F165)=1))</x:f>
      </x:c>
    </x:row>
    <x:row r="166">
      <x:c r="A166" s="18"/>
      <x:c r="O166" s="15" t="str">
        <x:f>IF(A166="","",--(COUNTIF($A$2:A166,A166)=1))</x:f>
      </x:c>
      <x:c r="P166" s="15" t="str">
        <x:f>IF(A166="","",--(COUNTIFS($A$2:A166,A166,$F$2:F166,F166)=1))</x:f>
      </x:c>
    </x:row>
    <x:row r="167">
      <x:c r="A167" s="18"/>
      <x:c r="O167" s="15" t="str">
        <x:f>IF(A167="","",--(COUNTIF($A$2:A167,A167)=1))</x:f>
      </x:c>
      <x:c r="P167" s="15" t="str">
        <x:f>IF(A167="","",--(COUNTIFS($A$2:A167,A167,$F$2:F167,F167)=1))</x:f>
      </x:c>
    </x:row>
    <x:row r="168">
      <x:c r="A168" s="18"/>
      <x:c r="O168" s="15" t="str">
        <x:f>IF(A168="","",--(COUNTIF($A$2:A168,A168)=1))</x:f>
      </x:c>
      <x:c r="P168" s="15" t="str">
        <x:f>IF(A168="","",--(COUNTIFS($A$2:A168,A168,$F$2:F168,F168)=1))</x:f>
      </x:c>
    </x:row>
    <x:row r="169">
      <x:c r="A169" s="18"/>
      <x:c r="O169" s="15" t="str">
        <x:f>IF(A169="","",--(COUNTIF($A$2:A169,A169)=1))</x:f>
      </x:c>
      <x:c r="P169" s="15" t="str">
        <x:f>IF(A169="","",--(COUNTIFS($A$2:A169,A169,$F$2:F169,F169)=1))</x:f>
      </x:c>
    </x:row>
    <x:row r="170">
      <x:c r="A170" s="18"/>
      <x:c r="O170" s="15" t="str">
        <x:f>IF(A170="","",--(COUNTIF($A$2:A170,A170)=1))</x:f>
      </x:c>
      <x:c r="P170" s="15" t="str">
        <x:f>IF(A170="","",--(COUNTIFS($A$2:A170,A170,$F$2:F170,F170)=1))</x:f>
      </x:c>
    </x:row>
    <x:row r="171">
      <x:c r="A171" s="18"/>
      <x:c r="O171" s="15" t="str">
        <x:f>IF(A171="","",--(COUNTIF($A$2:A171,A171)=1))</x:f>
      </x:c>
      <x:c r="P171" s="15" t="str">
        <x:f>IF(A171="","",--(COUNTIFS($A$2:A171,A171,$F$2:F171,F171)=1))</x:f>
      </x:c>
    </x:row>
    <x:row r="172">
      <x:c r="A172" s="18"/>
      <x:c r="O172" s="15" t="str">
        <x:f>IF(A172="","",--(COUNTIF($A$2:A172,A172)=1))</x:f>
      </x:c>
      <x:c r="P172" s="15" t="str">
        <x:f>IF(A172="","",--(COUNTIFS($A$2:A172,A172,$F$2:F172,F172)=1))</x:f>
      </x:c>
    </x:row>
    <x:row r="173">
      <x:c r="A173" s="18"/>
      <x:c r="O173" s="15" t="str">
        <x:f>IF(A173="","",--(COUNTIF($A$2:A173,A173)=1))</x:f>
      </x:c>
      <x:c r="P173" s="15" t="str">
        <x:f>IF(A173="","",--(COUNTIFS($A$2:A173,A173,$F$2:F173,F173)=1))</x:f>
      </x:c>
    </x:row>
    <x:row r="174">
      <x:c r="A174" s="18"/>
      <x:c r="O174" s="15" t="str">
        <x:f>IF(A174="","",--(COUNTIF($A$2:A174,A174)=1))</x:f>
      </x:c>
      <x:c r="P174" s="15" t="str">
        <x:f>IF(A174="","",--(COUNTIFS($A$2:A174,A174,$F$2:F174,F174)=1))</x:f>
      </x:c>
    </x:row>
    <x:row r="175">
      <x:c r="A175" s="18"/>
      <x:c r="O175" s="15" t="str">
        <x:f>IF(A175="","",--(COUNTIF($A$2:A175,A175)=1))</x:f>
      </x:c>
      <x:c r="P175" s="15" t="str">
        <x:f>IF(A175="","",--(COUNTIFS($A$2:A175,A175,$F$2:F175,F175)=1))</x:f>
      </x:c>
    </x:row>
    <x:row r="176">
      <x:c r="A176" s="18"/>
      <x:c r="O176" s="15" t="str">
        <x:f>IF(A176="","",--(COUNTIF($A$2:A176,A176)=1))</x:f>
      </x:c>
      <x:c r="P176" s="15" t="str">
        <x:f>IF(A176="","",--(COUNTIFS($A$2:A176,A176,$F$2:F176,F176)=1))</x:f>
      </x:c>
    </x:row>
    <x:row r="177">
      <x:c r="A177" s="18"/>
      <x:c r="O177" s="15" t="str">
        <x:f>IF(A177="","",--(COUNTIF($A$2:A177,A177)=1))</x:f>
      </x:c>
      <x:c r="P177" s="15" t="str">
        <x:f>IF(A177="","",--(COUNTIFS($A$2:A177,A177,$F$2:F177,F177)=1))</x:f>
      </x:c>
    </x:row>
    <x:row r="178">
      <x:c r="A178" s="18"/>
      <x:c r="O178" s="15" t="str">
        <x:f>IF(A178="","",--(COUNTIF($A$2:A178,A178)=1))</x:f>
      </x:c>
      <x:c r="P178" s="15" t="str">
        <x:f>IF(A178="","",--(COUNTIFS($A$2:A178,A178,$F$2:F178,F178)=1))</x:f>
      </x:c>
    </x:row>
    <x:row r="179">
      <x:c r="A179" s="18"/>
      <x:c r="O179" s="15" t="str">
        <x:f>IF(A179="","",--(COUNTIF($A$2:A179,A179)=1))</x:f>
      </x:c>
      <x:c r="P179" s="15" t="str">
        <x:f>IF(A179="","",--(COUNTIFS($A$2:A179,A179,$F$2:F179,F179)=1))</x:f>
      </x:c>
    </x:row>
    <x:row r="180">
      <x:c r="A180" s="18"/>
      <x:c r="O180" s="15" t="str">
        <x:f>IF(A180="","",--(COUNTIF($A$2:A180,A180)=1))</x:f>
      </x:c>
      <x:c r="P180" s="15" t="str">
        <x:f>IF(A180="","",--(COUNTIFS($A$2:A180,A180,$F$2:F180,F180)=1))</x:f>
      </x:c>
    </x:row>
    <x:row r="181">
      <x:c r="A181" s="18"/>
      <x:c r="O181" s="15" t="str">
        <x:f>IF(A181="","",--(COUNTIF($A$2:A181,A181)=1))</x:f>
      </x:c>
      <x:c r="P181" s="15" t="str">
        <x:f>IF(A181="","",--(COUNTIFS($A$2:A181,A181,$F$2:F181,F181)=1))</x:f>
      </x:c>
    </x:row>
    <x:row r="182">
      <x:c r="A182" s="18"/>
      <x:c r="O182" s="15" t="str">
        <x:f>IF(A182="","",--(COUNTIF($A$2:A182,A182)=1))</x:f>
      </x:c>
      <x:c r="P182" s="15" t="str">
        <x:f>IF(A182="","",--(COUNTIFS($A$2:A182,A182,$F$2:F182,F182)=1))</x:f>
      </x:c>
    </x:row>
    <x:row r="183">
      <x:c r="A183" s="18"/>
      <x:c r="O183" s="15" t="str">
        <x:f>IF(A183="","",--(COUNTIF($A$2:A183,A183)=1))</x:f>
      </x:c>
      <x:c r="P183" s="15" t="str">
        <x:f>IF(A183="","",--(COUNTIFS($A$2:A183,A183,$F$2:F183,F183)=1))</x:f>
      </x:c>
    </x:row>
    <x:row r="184">
      <x:c r="A184" s="18"/>
      <x:c r="O184" s="15" t="str">
        <x:f>IF(A184="","",--(COUNTIF($A$2:A184,A184)=1))</x:f>
      </x:c>
      <x:c r="P184" s="15" t="str">
        <x:f>IF(A184="","",--(COUNTIFS($A$2:A184,A184,$F$2:F184,F184)=1))</x:f>
      </x:c>
    </x:row>
    <x:row r="185">
      <x:c r="A185" s="18"/>
      <x:c r="O185" s="15" t="str">
        <x:f>IF(A185="","",--(COUNTIF($A$2:A185,A185)=1))</x:f>
      </x:c>
      <x:c r="P185" s="15" t="str">
        <x:f>IF(A185="","",--(COUNTIFS($A$2:A185,A185,$F$2:F185,F185)=1))</x:f>
      </x:c>
    </x:row>
    <x:row r="186">
      <x:c r="A186" s="18"/>
      <x:c r="O186" s="15" t="str">
        <x:f>IF(A186="","",--(COUNTIF($A$2:A186,A186)=1))</x:f>
      </x:c>
      <x:c r="P186" s="15" t="str">
        <x:f>IF(A186="","",--(COUNTIFS($A$2:A186,A186,$F$2:F186,F186)=1))</x:f>
      </x:c>
    </x:row>
    <x:row r="187">
      <x:c r="A187" s="18"/>
      <x:c r="O187" s="15" t="str">
        <x:f>IF(A187="","",--(COUNTIF($A$2:A187,A187)=1))</x:f>
      </x:c>
      <x:c r="P187" s="15" t="str">
        <x:f>IF(A187="","",--(COUNTIFS($A$2:A187,A187,$F$2:F187,F187)=1))</x:f>
      </x:c>
    </x:row>
    <x:row r="188">
      <x:c r="A188" s="18"/>
      <x:c r="O188" s="15" t="str">
        <x:f>IF(A188="","",--(COUNTIF($A$2:A188,A188)=1))</x:f>
      </x:c>
      <x:c r="P188" s="15" t="str">
        <x:f>IF(A188="","",--(COUNTIFS($A$2:A188,A188,$F$2:F188,F188)=1))</x:f>
      </x:c>
    </x:row>
    <x:row r="189">
      <x:c r="A189" s="18"/>
      <x:c r="O189" s="15" t="str">
        <x:f>IF(A189="","",--(COUNTIF($A$2:A189,A189)=1))</x:f>
      </x:c>
      <x:c r="P189" s="15" t="str">
        <x:f>IF(A189="","",--(COUNTIFS($A$2:A189,A189,$F$2:F189,F189)=1))</x:f>
      </x:c>
    </x:row>
    <x:row r="190">
      <x:c r="A190" s="18"/>
      <x:c r="O190" s="15" t="str">
        <x:f>IF(A190="","",--(COUNTIF($A$2:A190,A190)=1))</x:f>
      </x:c>
      <x:c r="P190" s="15" t="str">
        <x:f>IF(A190="","",--(COUNTIFS($A$2:A190,A190,$F$2:F190,F190)=1))</x:f>
      </x:c>
    </x:row>
    <x:row r="191">
      <x:c r="A191" s="18"/>
      <x:c r="O191" s="15" t="str">
        <x:f>IF(A191="","",--(COUNTIF($A$2:A191,A191)=1))</x:f>
      </x:c>
      <x:c r="P191" s="15" t="str">
        <x:f>IF(A191="","",--(COUNTIFS($A$2:A191,A191,$F$2:F191,F191)=1))</x:f>
      </x:c>
    </x:row>
    <x:row r="192">
      <x:c r="A192" s="18"/>
      <x:c r="O192" s="15" t="str">
        <x:f>IF(A192="","",--(COUNTIF($A$2:A192,A192)=1))</x:f>
      </x:c>
      <x:c r="P192" s="15" t="str">
        <x:f>IF(A192="","",--(COUNTIFS($A$2:A192,A192,$F$2:F192,F192)=1))</x:f>
      </x:c>
    </x:row>
    <x:row r="193">
      <x:c r="A193" s="18"/>
      <x:c r="O193" s="15" t="str">
        <x:f>IF(A193="","",--(COUNTIF($A$2:A193,A193)=1))</x:f>
      </x:c>
      <x:c r="P193" s="15" t="str">
        <x:f>IF(A193="","",--(COUNTIFS($A$2:A193,A193,$F$2:F193,F193)=1))</x:f>
      </x:c>
    </x:row>
    <x:row r="194">
      <x:c r="A194" s="18"/>
      <x:c r="O194" s="15" t="str">
        <x:f>IF(A194="","",--(COUNTIF($A$2:A194,A194)=1))</x:f>
      </x:c>
      <x:c r="P194" s="15" t="str">
        <x:f>IF(A194="","",--(COUNTIFS($A$2:A194,A194,$F$2:F194,F194)=1))</x:f>
      </x:c>
    </x:row>
    <x:row r="195">
      <x:c r="A195" s="18"/>
      <x:c r="O195" s="15" t="str">
        <x:f>IF(A195="","",--(COUNTIF($A$2:A195,A195)=1))</x:f>
      </x:c>
      <x:c r="P195" s="15" t="str">
        <x:f>IF(A195="","",--(COUNTIFS($A$2:A195,A195,$F$2:F195,F195)=1))</x:f>
      </x:c>
    </x:row>
    <x:row r="196">
      <x:c r="A196" s="18"/>
      <x:c r="O196" s="15" t="str">
        <x:f>IF(A196="","",--(COUNTIF($A$2:A196,A196)=1))</x:f>
      </x:c>
      <x:c r="P196" s="15" t="str">
        <x:f>IF(A196="","",--(COUNTIFS($A$2:A196,A196,$F$2:F196,F196)=1))</x:f>
      </x:c>
    </x:row>
    <x:row r="197">
      <x:c r="A197" s="18"/>
      <x:c r="O197" s="15" t="str">
        <x:f>IF(A197="","",--(COUNTIF($A$2:A197,A197)=1))</x:f>
      </x:c>
      <x:c r="P197" s="15" t="str">
        <x:f>IF(A197="","",--(COUNTIFS($A$2:A197,A197,$F$2:F197,F197)=1))</x:f>
      </x:c>
    </x:row>
    <x:row r="198">
      <x:c r="A198" s="18"/>
      <x:c r="O198" s="15" t="str">
        <x:f>IF(A198="","",--(COUNTIF($A$2:A198,A198)=1))</x:f>
      </x:c>
      <x:c r="P198" s="15" t="str">
        <x:f>IF(A198="","",--(COUNTIFS($A$2:A198,A198,$F$2:F198,F198)=1))</x:f>
      </x:c>
    </x:row>
    <x:row r="199">
      <x:c r="A199" s="18"/>
      <x:c r="O199" s="15" t="str">
        <x:f>IF(A199="","",--(COUNTIF($A$2:A199,A199)=1))</x:f>
      </x:c>
      <x:c r="P199" s="15" t="str">
        <x:f>IF(A199="","",--(COUNTIFS($A$2:A199,A199,$F$2:F199,F199)=1))</x:f>
      </x:c>
    </x:row>
    <x:row r="200">
      <x:c r="A200" s="18"/>
      <x:c r="O200" s="15" t="str">
        <x:f>IF(A200="","",--(COUNTIF($A$2:A200,A200)=1))</x:f>
      </x:c>
      <x:c r="P200" s="15" t="str">
        <x:f>IF(A200="","",--(COUNTIFS($A$2:A200,A200,$F$2:F200,F200)=1))</x:f>
      </x:c>
    </x:row>
    <x:row r="201">
      <x:c r="A201" s="18"/>
      <x:c r="O201" s="15" t="str">
        <x:f>IF(A201="","",--(COUNTIF($A$2:A201,A201)=1))</x:f>
      </x:c>
      <x:c r="P201" s="15" t="str">
        <x:f>IF(A201="","",--(COUNTIFS($A$2:A201,A201,$F$2:F201,F201)=1))</x:f>
      </x:c>
    </x:row>
    <x:row r="202">
      <x:c r="A202" s="18"/>
      <x:c r="O202" s="15" t="str">
        <x:f>IF(A202="","",--(COUNTIF($A$2:A202,A202)=1))</x:f>
      </x:c>
      <x:c r="P202" s="15" t="str">
        <x:f>IF(A202="","",--(COUNTIFS($A$2:A202,A202,$F$2:F202,F202)=1))</x:f>
      </x:c>
    </x:row>
    <x:row r="203">
      <x:c r="A203" s="18"/>
      <x:c r="O203" s="15" t="str">
        <x:f>IF(A203="","",--(COUNTIF($A$2:A203,A203)=1))</x:f>
      </x:c>
      <x:c r="P203" s="15" t="str">
        <x:f>IF(A203="","",--(COUNTIFS($A$2:A203,A203,$F$2:F203,F203)=1))</x:f>
      </x:c>
    </x:row>
    <x:row r="204">
      <x:c r="A204" s="18"/>
      <x:c r="O204" s="15" t="str">
        <x:f>IF(A204="","",--(COUNTIF($A$2:A204,A204)=1))</x:f>
      </x:c>
      <x:c r="P204" s="15" t="str">
        <x:f>IF(A204="","",--(COUNTIFS($A$2:A204,A204,$F$2:F204,F204)=1))</x:f>
      </x:c>
    </x:row>
    <x:row r="205">
      <x:c r="A205" s="18"/>
      <x:c r="O205" s="15" t="str">
        <x:f>IF(A205="","",--(COUNTIF($A$2:A205,A205)=1))</x:f>
      </x:c>
      <x:c r="P205" s="15" t="str">
        <x:f>IF(A205="","",--(COUNTIFS($A$2:A205,A205,$F$2:F205,F205)=1))</x:f>
      </x:c>
    </x:row>
    <x:row r="206">
      <x:c r="A206" s="18"/>
      <x:c r="O206" s="15" t="str">
        <x:f>IF(A206="","",--(COUNTIF($A$2:A206,A206)=1))</x:f>
      </x:c>
      <x:c r="P206" s="15" t="str">
        <x:f>IF(A206="","",--(COUNTIFS($A$2:A206,A206,$F$2:F206,F206)=1))</x:f>
      </x:c>
    </x:row>
    <x:row r="207">
      <x:c r="A207" s="18"/>
      <x:c r="O207" s="15" t="str">
        <x:f>IF(A207="","",--(COUNTIF($A$2:A207,A207)=1))</x:f>
      </x:c>
      <x:c r="P207" s="15" t="str">
        <x:f>IF(A207="","",--(COUNTIFS($A$2:A207,A207,$F$2:F207,F207)=1))</x:f>
      </x:c>
    </x:row>
    <x:row r="208">
      <x:c r="A208" s="18"/>
      <x:c r="O208" s="15" t="str">
        <x:f>IF(A208="","",--(COUNTIF($A$2:A208,A208)=1))</x:f>
      </x:c>
      <x:c r="P208" s="15" t="str">
        <x:f>IF(A208="","",--(COUNTIFS($A$2:A208,A208,$F$2:F208,F208)=1))</x:f>
      </x:c>
    </x:row>
    <x:row r="209">
      <x:c r="A209" s="18"/>
      <x:c r="O209" s="15" t="str">
        <x:f>IF(A209="","",--(COUNTIF($A$2:A209,A209)=1))</x:f>
      </x:c>
      <x:c r="P209" s="15" t="str">
        <x:f>IF(A209="","",--(COUNTIFS($A$2:A209,A209,$F$2:F209,F209)=1))</x:f>
      </x:c>
    </x:row>
    <x:row r="210">
      <x:c r="A210" s="18"/>
      <x:c r="O210" s="15" t="str">
        <x:f>IF(A210="","",--(COUNTIF($A$2:A210,A210)=1))</x:f>
      </x:c>
      <x:c r="P210" s="15" t="str">
        <x:f>IF(A210="","",--(COUNTIFS($A$2:A210,A210,$F$2:F210,F210)=1))</x:f>
      </x:c>
    </x:row>
    <x:row r="211">
      <x:c r="A211" s="18"/>
      <x:c r="O211" s="15" t="str">
        <x:f>IF(A211="","",--(COUNTIF($A$2:A211,A211)=1))</x:f>
      </x:c>
      <x:c r="P211" s="15" t="str">
        <x:f>IF(A211="","",--(COUNTIFS($A$2:A211,A211,$F$2:F211,F211)=1))</x:f>
      </x:c>
    </x:row>
    <x:row r="212">
      <x:c r="A212" s="18"/>
      <x:c r="O212" s="15" t="str">
        <x:f>IF(A212="","",--(COUNTIF($A$2:A212,A212)=1))</x:f>
      </x:c>
      <x:c r="P212" s="15" t="str">
        <x:f>IF(A212="","",--(COUNTIFS($A$2:A212,A212,$F$2:F212,F212)=1))</x:f>
      </x:c>
    </x:row>
    <x:row r="213">
      <x:c r="A213" s="18"/>
      <x:c r="O213" s="15" t="str">
        <x:f>IF(A213="","",--(COUNTIF($A$2:A213,A213)=1))</x:f>
      </x:c>
      <x:c r="P213" s="15" t="str">
        <x:f>IF(A213="","",--(COUNTIFS($A$2:A213,A213,$F$2:F213,F213)=1))</x:f>
      </x:c>
    </x:row>
    <x:row r="214">
      <x:c r="A214" s="18"/>
      <x:c r="O214" s="15" t="str">
        <x:f>IF(A214="","",--(COUNTIF($A$2:A214,A214)=1))</x:f>
      </x:c>
      <x:c r="P214" s="15" t="str">
        <x:f>IF(A214="","",--(COUNTIFS($A$2:A214,A214,$F$2:F214,F214)=1))</x:f>
      </x:c>
    </x:row>
    <x:row r="215">
      <x:c r="A215" s="18"/>
      <x:c r="O215" s="15" t="str">
        <x:f>IF(A215="","",--(COUNTIF($A$2:A215,A215)=1))</x:f>
      </x:c>
      <x:c r="P215" s="15" t="str">
        <x:f>IF(A215="","",--(COUNTIFS($A$2:A215,A215,$F$2:F215,F215)=1))</x:f>
      </x:c>
    </x:row>
    <x:row r="216">
      <x:c r="A216" s="18"/>
      <x:c r="O216" s="15" t="str">
        <x:f>IF(A216="","",--(COUNTIF($A$2:A216,A216)=1))</x:f>
      </x:c>
      <x:c r="P216" s="15" t="str">
        <x:f>IF(A216="","",--(COUNTIFS($A$2:A216,A216,$F$2:F216,F216)=1))</x:f>
      </x:c>
    </x:row>
    <x:row r="217">
      <x:c r="A217" s="18"/>
      <x:c r="O217" s="15" t="str">
        <x:f>IF(A217="","",--(COUNTIF($A$2:A217,A217)=1))</x:f>
      </x:c>
      <x:c r="P217" s="15" t="str">
        <x:f>IF(A217="","",--(COUNTIFS($A$2:A217,A217,$F$2:F217,F217)=1))</x:f>
      </x:c>
    </x:row>
    <x:row r="218">
      <x:c r="A218" s="18"/>
      <x:c r="O218" s="15" t="str">
        <x:f>IF(A218="","",--(COUNTIF($A$2:A218,A218)=1))</x:f>
      </x:c>
      <x:c r="P218" s="15" t="str">
        <x:f>IF(A218="","",--(COUNTIFS($A$2:A218,A218,$F$2:F218,F218)=1))</x:f>
      </x:c>
    </x:row>
    <x:row r="219">
      <x:c r="A219" s="18"/>
      <x:c r="O219" s="15" t="str">
        <x:f>IF(A219="","",--(COUNTIF($A$2:A219,A219)=1))</x:f>
      </x:c>
      <x:c r="P219" s="15" t="str">
        <x:f>IF(A219="","",--(COUNTIFS($A$2:A219,A219,$F$2:F219,F219)=1))</x:f>
      </x:c>
    </x:row>
    <x:row r="220">
      <x:c r="A220" s="18"/>
      <x:c r="O220" s="15" t="str">
        <x:f>IF(A220="","",--(COUNTIF($A$2:A220,A220)=1))</x:f>
      </x:c>
      <x:c r="P220" s="15" t="str">
        <x:f>IF(A220="","",--(COUNTIFS($A$2:A220,A220,$F$2:F220,F220)=1))</x:f>
      </x:c>
    </x:row>
    <x:row r="221">
      <x:c r="A221" s="18"/>
      <x:c r="O221" s="15" t="str">
        <x:f>IF(A221="","",--(COUNTIF($A$2:A221,A221)=1))</x:f>
      </x:c>
      <x:c r="P221" s="15" t="str">
        <x:f>IF(A221="","",--(COUNTIFS($A$2:A221,A221,$F$2:F221,F221)=1))</x:f>
      </x:c>
    </x:row>
    <x:row r="222">
      <x:c r="A222" s="18"/>
      <x:c r="O222" s="15" t="str">
        <x:f>IF(A222="","",--(COUNTIF($A$2:A222,A222)=1))</x:f>
      </x:c>
      <x:c r="P222" s="15" t="str">
        <x:f>IF(A222="","",--(COUNTIFS($A$2:A222,A222,$F$2:F222,F222)=1))</x:f>
      </x:c>
    </x:row>
    <x:row r="223">
      <x:c r="A223" s="18"/>
      <x:c r="O223" s="15" t="str">
        <x:f>IF(A223="","",--(COUNTIF($A$2:A223,A223)=1))</x:f>
      </x:c>
      <x:c r="P223" s="15" t="str">
        <x:f>IF(A223="","",--(COUNTIFS($A$2:A223,A223,$F$2:F223,F223)=1))</x:f>
      </x:c>
    </x:row>
    <x:row r="224">
      <x:c r="A224" s="18"/>
      <x:c r="O224" s="15" t="str">
        <x:f>IF(A224="","",--(COUNTIF($A$2:A224,A224)=1))</x:f>
      </x:c>
      <x:c r="P224" s="15" t="str">
        <x:f>IF(A224="","",--(COUNTIFS($A$2:A224,A224,$F$2:F224,F224)=1))</x:f>
      </x:c>
    </x:row>
    <x:row r="225">
      <x:c r="A225" s="18"/>
      <x:c r="O225" s="15" t="str">
        <x:f>IF(A225="","",--(COUNTIF($A$2:A225,A225)=1))</x:f>
      </x:c>
      <x:c r="P225" s="15" t="str">
        <x:f>IF(A225="","",--(COUNTIFS($A$2:A225,A225,$F$2:F225,F225)=1))</x:f>
      </x:c>
    </x:row>
    <x:row r="226">
      <x:c r="A226" s="18"/>
      <x:c r="O226" s="15" t="str">
        <x:f>IF(A226="","",--(COUNTIF($A$2:A226,A226)=1))</x:f>
      </x:c>
      <x:c r="P226" s="15" t="str">
        <x:f>IF(A226="","",--(COUNTIFS($A$2:A226,A226,$F$2:F226,F226)=1))</x:f>
      </x:c>
    </x:row>
    <x:row r="227">
      <x:c r="A227" s="18"/>
      <x:c r="O227" s="15" t="str">
        <x:f>IF(A227="","",--(COUNTIF($A$2:A227,A227)=1))</x:f>
      </x:c>
      <x:c r="P227" s="15" t="str">
        <x:f>IF(A227="","",--(COUNTIFS($A$2:A227,A227,$F$2:F227,F227)=1))</x:f>
      </x:c>
    </x:row>
    <x:row r="228">
      <x:c r="A228" s="18"/>
      <x:c r="O228" s="15" t="str">
        <x:f>IF(A228="","",--(COUNTIF($A$2:A228,A228)=1))</x:f>
      </x:c>
      <x:c r="P228" s="15" t="str">
        <x:f>IF(A228="","",--(COUNTIFS($A$2:A228,A228,$F$2:F228,F228)=1))</x:f>
      </x:c>
    </x:row>
    <x:row r="229">
      <x:c r="A229" s="18"/>
      <x:c r="O229" s="15" t="str">
        <x:f>IF(A229="","",--(COUNTIF($A$2:A229,A229)=1))</x:f>
      </x:c>
      <x:c r="P229" s="15" t="str">
        <x:f>IF(A229="","",--(COUNTIFS($A$2:A229,A229,$F$2:F229,F229)=1))</x:f>
      </x:c>
    </x:row>
    <x:row r="230">
      <x:c r="A230" s="18"/>
      <x:c r="O230" s="15" t="str">
        <x:f>IF(A230="","",--(COUNTIF($A$2:A230,A230)=1))</x:f>
      </x:c>
      <x:c r="P230" s="15" t="str">
        <x:f>IF(A230="","",--(COUNTIFS($A$2:A230,A230,$F$2:F230,F230)=1))</x:f>
      </x:c>
    </x:row>
    <x:row r="231">
      <x:c r="A231" s="18"/>
      <x:c r="O231" s="15" t="str">
        <x:f>IF(A231="","",--(COUNTIF($A$2:A231,A231)=1))</x:f>
      </x:c>
      <x:c r="P231" s="15" t="str">
        <x:f>IF(A231="","",--(COUNTIFS($A$2:A231,A231,$F$2:F231,F231)=1))</x:f>
      </x:c>
    </x:row>
    <x:row r="232">
      <x:c r="A232" s="18"/>
      <x:c r="O232" s="15" t="str">
        <x:f>IF(A232="","",--(COUNTIF($A$2:A232,A232)=1))</x:f>
      </x:c>
      <x:c r="P232" s="15" t="str">
        <x:f>IF(A232="","",--(COUNTIFS($A$2:A232,A232,$F$2:F232,F232)=1))</x:f>
      </x:c>
    </x:row>
    <x:row r="233">
      <x:c r="A233" s="18"/>
      <x:c r="O233" s="15" t="str">
        <x:f>IF(A233="","",--(COUNTIF($A$2:A233,A233)=1))</x:f>
      </x:c>
      <x:c r="P233" s="15" t="str">
        <x:f>IF(A233="","",--(COUNTIFS($A$2:A233,A233,$F$2:F233,F233)=1))</x:f>
      </x:c>
    </x:row>
    <x:row r="234">
      <x:c r="A234" s="18"/>
      <x:c r="O234" s="15" t="str">
        <x:f>IF(A234="","",--(COUNTIF($A$2:A234,A234)=1))</x:f>
      </x:c>
      <x:c r="P234" s="15" t="str">
        <x:f>IF(A234="","",--(COUNTIFS($A$2:A234,A234,$F$2:F234,F234)=1))</x:f>
      </x:c>
    </x:row>
    <x:row r="235">
      <x:c r="A235" s="18"/>
      <x:c r="O235" s="15" t="str">
        <x:f>IF(A235="","",--(COUNTIF($A$2:A235,A235)=1))</x:f>
      </x:c>
      <x:c r="P235" s="15" t="str">
        <x:f>IF(A235="","",--(COUNTIFS($A$2:A235,A235,$F$2:F235,F235)=1))</x:f>
      </x:c>
    </x:row>
    <x:row r="236">
      <x:c r="A236" s="18"/>
      <x:c r="O236" s="15" t="str">
        <x:f>IF(A236="","",--(COUNTIF($A$2:A236,A236)=1))</x:f>
      </x:c>
      <x:c r="P236" s="15" t="str">
        <x:f>IF(A236="","",--(COUNTIFS($A$2:A236,A236,$F$2:F236,F236)=1))</x:f>
      </x:c>
    </x:row>
    <x:row r="237">
      <x:c r="A237" s="18"/>
      <x:c r="O237" s="15" t="str">
        <x:f>IF(A237="","",--(COUNTIF($A$2:A237,A237)=1))</x:f>
      </x:c>
      <x:c r="P237" s="15" t="str">
        <x:f>IF(A237="","",--(COUNTIFS($A$2:A237,A237,$F$2:F237,F237)=1))</x:f>
      </x:c>
    </x:row>
    <x:row r="238">
      <x:c r="A238" s="18"/>
      <x:c r="O238" s="15" t="str">
        <x:f>IF(A238="","",--(COUNTIF($A$2:A238,A238)=1))</x:f>
      </x:c>
      <x:c r="P238" s="15" t="str">
        <x:f>IF(A238="","",--(COUNTIFS($A$2:A238,A238,$F$2:F238,F238)=1))</x:f>
      </x:c>
    </x:row>
    <x:row r="239">
      <x:c r="A239" s="18"/>
      <x:c r="O239" s="15" t="str">
        <x:f>IF(A239="","",--(COUNTIF($A$2:A239,A239)=1))</x:f>
      </x:c>
      <x:c r="P239" s="15" t="str">
        <x:f>IF(A239="","",--(COUNTIFS($A$2:A239,A239,$F$2:F239,F239)=1))</x:f>
      </x:c>
    </x:row>
    <x:row r="240">
      <x:c r="A240" s="18"/>
      <x:c r="O240" s="15" t="str">
        <x:f>IF(A240="","",--(COUNTIF($A$2:A240,A240)=1))</x:f>
      </x:c>
      <x:c r="P240" s="15" t="str">
        <x:f>IF(A240="","",--(COUNTIFS($A$2:A240,A240,$F$2:F240,F240)=1))</x:f>
      </x:c>
    </x:row>
    <x:row r="241">
      <x:c r="A241" s="18"/>
      <x:c r="O241" s="15" t="str">
        <x:f>IF(A241="","",--(COUNTIF($A$2:A241,A241)=1))</x:f>
      </x:c>
      <x:c r="P241" s="15" t="str">
        <x:f>IF(A241="","",--(COUNTIFS($A$2:A241,A241,$F$2:F241,F241)=1))</x:f>
      </x:c>
    </x:row>
    <x:row r="242">
      <x:c r="A242" s="18"/>
      <x:c r="O242" s="15" t="str">
        <x:f>IF(A242="","",--(COUNTIF($A$2:A242,A242)=1))</x:f>
      </x:c>
      <x:c r="P242" s="15" t="str">
        <x:f>IF(A242="","",--(COUNTIFS($A$2:A242,A242,$F$2:F242,F242)=1))</x:f>
      </x:c>
    </x:row>
    <x:row r="243">
      <x:c r="A243" s="18"/>
      <x:c r="O243" s="15" t="str">
        <x:f>IF(A243="","",--(COUNTIF($A$2:A243,A243)=1))</x:f>
      </x:c>
      <x:c r="P243" s="15" t="str">
        <x:f>IF(A243="","",--(COUNTIFS($A$2:A243,A243,$F$2:F243,F243)=1))</x:f>
      </x:c>
    </x:row>
    <x:row r="244">
      <x:c r="A244" s="18"/>
      <x:c r="O244" s="15" t="str">
        <x:f>IF(A244="","",--(COUNTIF($A$2:A244,A244)=1))</x:f>
      </x:c>
      <x:c r="P244" s="15" t="str">
        <x:f>IF(A244="","",--(COUNTIFS($A$2:A244,A244,$F$2:F244,F244)=1))</x:f>
      </x:c>
    </x:row>
    <x:row r="245">
      <x:c r="A245" s="18"/>
      <x:c r="O245" s="15" t="str">
        <x:f>IF(A245="","",--(COUNTIF($A$2:A245,A245)=1))</x:f>
      </x:c>
      <x:c r="P245" s="15" t="str">
        <x:f>IF(A245="","",--(COUNTIFS($A$2:A245,A245,$F$2:F245,F245)=1))</x:f>
      </x:c>
    </x:row>
    <x:row r="246">
      <x:c r="A246" s="18"/>
      <x:c r="O246" s="15" t="str">
        <x:f>IF(A246="","",--(COUNTIF($A$2:A246,A246)=1))</x:f>
      </x:c>
      <x:c r="P246" s="15" t="str">
        <x:f>IF(A246="","",--(COUNTIFS($A$2:A246,A246,$F$2:F246,F246)=1))</x:f>
      </x:c>
    </x:row>
    <x:row r="247">
      <x:c r="A247" s="18"/>
      <x:c r="O247" s="15" t="str">
        <x:f>IF(A247="","",--(COUNTIF($A$2:A247,A247)=1))</x:f>
      </x:c>
      <x:c r="P247" s="15" t="str">
        <x:f>IF(A247="","",--(COUNTIFS($A$2:A247,A247,$F$2:F247,F247)=1))</x:f>
      </x:c>
    </x:row>
    <x:row r="248">
      <x:c r="A248" s="18"/>
      <x:c r="O248" s="15" t="str">
        <x:f>IF(A248="","",--(COUNTIF($A$2:A248,A248)=1))</x:f>
      </x:c>
      <x:c r="P248" s="15" t="str">
        <x:f>IF(A248="","",--(COUNTIFS($A$2:A248,A248,$F$2:F248,F248)=1))</x:f>
      </x:c>
    </x:row>
    <x:row r="249">
      <x:c r="A249" s="18"/>
      <x:c r="O249" s="15" t="str">
        <x:f>IF(A249="","",--(COUNTIF($A$2:A249,A249)=1))</x:f>
      </x:c>
      <x:c r="P249" s="15" t="str">
        <x:f>IF(A249="","",--(COUNTIFS($A$2:A249,A249,$F$2:F249,F249)=1))</x:f>
      </x:c>
    </x:row>
    <x:row r="250">
      <x:c r="A250" s="18"/>
      <x:c r="O250" s="15" t="str">
        <x:f>IF(A250="","",--(COUNTIF($A$2:A250,A250)=1))</x:f>
      </x:c>
      <x:c r="P250" s="15" t="str">
        <x:f>IF(A250="","",--(COUNTIFS($A$2:A250,A250,$F$2:F250,F250)=1))</x:f>
      </x:c>
    </x:row>
    <x:row r="251">
      <x:c r="A251" s="18"/>
      <x:c r="O251" s="15" t="str">
        <x:f>IF(A251="","",--(COUNTIF($A$2:A251,A251)=1))</x:f>
      </x:c>
      <x:c r="P251" s="15" t="str">
        <x:f>IF(A251="","",--(COUNTIFS($A$2:A251,A251,$F$2:F251,F251)=1))</x:f>
      </x:c>
    </x:row>
    <x:row r="252">
      <x:c r="A252" s="18"/>
      <x:c r="O252" s="15" t="str">
        <x:f>IF(A252="","",--(COUNTIF($A$2:A252,A252)=1))</x:f>
      </x:c>
      <x:c r="P252" s="15" t="str">
        <x:f>IF(A252="","",--(COUNTIFS($A$2:A252,A252,$F$2:F252,F252)=1))</x:f>
      </x:c>
    </x:row>
    <x:row r="253">
      <x:c r="A253" s="18"/>
      <x:c r="O253" s="15" t="str">
        <x:f>IF(A253="","",--(COUNTIF($A$2:A253,A253)=1))</x:f>
      </x:c>
      <x:c r="P253" s="15" t="str">
        <x:f>IF(A253="","",--(COUNTIFS($A$2:A253,A253,$F$2:F253,F253)=1))</x:f>
      </x:c>
    </x:row>
    <x:row r="254">
      <x:c r="A254" s="18"/>
      <x:c r="O254" s="15" t="str">
        <x:f>IF(A254="","",--(COUNTIF($A$2:A254,A254)=1))</x:f>
      </x:c>
      <x:c r="P254" s="15" t="str">
        <x:f>IF(A254="","",--(COUNTIFS($A$2:A254,A254,$F$2:F254,F254)=1))</x:f>
      </x:c>
    </x:row>
    <x:row r="255">
      <x:c r="A255" s="18"/>
      <x:c r="O255" s="15" t="str">
        <x:f>IF(A255="","",--(COUNTIF($A$2:A255,A255)=1))</x:f>
      </x:c>
      <x:c r="P255" s="15" t="str">
        <x:f>IF(A255="","",--(COUNTIFS($A$2:A255,A255,$F$2:F255,F255)=1))</x:f>
      </x:c>
    </x:row>
    <x:row r="256">
      <x:c r="A256" s="18"/>
      <x:c r="O256" s="15" t="str">
        <x:f>IF(A256="","",--(COUNTIF($A$2:A256,A256)=1))</x:f>
      </x:c>
      <x:c r="P256" s="15" t="str">
        <x:f>IF(A256="","",--(COUNTIFS($A$2:A256,A256,$F$2:F256,F256)=1))</x:f>
      </x:c>
    </x:row>
    <x:row r="257">
      <x:c r="A257" s="18"/>
      <x:c r="O257" s="15" t="str">
        <x:f>IF(A257="","",--(COUNTIF($A$2:A257,A257)=1))</x:f>
      </x:c>
      <x:c r="P257" s="15" t="str">
        <x:f>IF(A257="","",--(COUNTIFS($A$2:A257,A257,$F$2:F257,F257)=1))</x:f>
      </x:c>
    </x:row>
    <x:row r="258">
      <x:c r="A258" s="18"/>
      <x:c r="O258" s="15" t="str">
        <x:f>IF(A258="","",--(COUNTIF($A$2:A258,A258)=1))</x:f>
      </x:c>
      <x:c r="P258" s="15" t="str">
        <x:f>IF(A258="","",--(COUNTIFS($A$2:A258,A258,$F$2:F258,F258)=1))</x:f>
      </x:c>
    </x:row>
    <x:row r="259">
      <x:c r="A259" s="18"/>
      <x:c r="O259" s="15" t="str">
        <x:f>IF(A259="","",--(COUNTIF($A$2:A259,A259)=1))</x:f>
      </x:c>
      <x:c r="P259" s="15" t="str">
        <x:f>IF(A259="","",--(COUNTIFS($A$2:A259,A259,$F$2:F259,F259)=1))</x:f>
      </x:c>
    </x:row>
    <x:row r="260">
      <x:c r="A260" s="18"/>
      <x:c r="O260" s="15" t="str">
        <x:f>IF(A260="","",--(COUNTIF($A$2:A260,A260)=1))</x:f>
      </x:c>
      <x:c r="P260" s="15" t="str">
        <x:f>IF(A260="","",--(COUNTIFS($A$2:A260,A260,$F$2:F260,F260)=1))</x:f>
      </x:c>
    </x:row>
    <x:row r="261">
      <x:c r="A261" s="18"/>
      <x:c r="O261" s="15" t="str">
        <x:f>IF(A261="","",--(COUNTIF($A$2:A261,A261)=1))</x:f>
      </x:c>
      <x:c r="P261" s="15" t="str">
        <x:f>IF(A261="","",--(COUNTIFS($A$2:A261,A261,$F$2:F261,F261)=1))</x:f>
      </x:c>
    </x:row>
    <x:row r="262">
      <x:c r="A262" s="18"/>
      <x:c r="O262" s="15" t="str">
        <x:f>IF(A262="","",--(COUNTIF($A$2:A262,A262)=1))</x:f>
      </x:c>
      <x:c r="P262" s="15" t="str">
        <x:f>IF(A262="","",--(COUNTIFS($A$2:A262,A262,$F$2:F262,F262)=1))</x:f>
      </x:c>
    </x:row>
    <x:row r="263">
      <x:c r="A263" s="18"/>
      <x:c r="O263" s="15" t="str">
        <x:f>IF(A263="","",--(COUNTIF($A$2:A263,A263)=1))</x:f>
      </x:c>
      <x:c r="P263" s="15" t="str">
        <x:f>IF(A263="","",--(COUNTIFS($A$2:A263,A263,$F$2:F263,F263)=1))</x:f>
      </x:c>
    </x:row>
    <x:row r="264">
      <x:c r="A264" s="18"/>
      <x:c r="O264" s="15" t="str">
        <x:f>IF(A264="","",--(COUNTIF($A$2:A264,A264)=1))</x:f>
      </x:c>
      <x:c r="P264" s="15" t="str">
        <x:f>IF(A264="","",--(COUNTIFS($A$2:A264,A264,$F$2:F264,F264)=1))</x:f>
      </x:c>
    </x:row>
    <x:row r="265">
      <x:c r="A265" s="18"/>
      <x:c r="O265" s="15" t="str">
        <x:f>IF(A265="","",--(COUNTIF($A$2:A265,A265)=1))</x:f>
      </x:c>
      <x:c r="P265" s="15" t="str">
        <x:f>IF(A265="","",--(COUNTIFS($A$2:A265,A265,$F$2:F265,F265)=1))</x:f>
      </x:c>
    </x:row>
    <x:row r="266">
      <x:c r="A266" s="18"/>
      <x:c r="O266" s="15" t="str">
        <x:f>IF(A266="","",--(COUNTIF($A$2:A266,A266)=1))</x:f>
      </x:c>
      <x:c r="P266" s="15" t="str">
        <x:f>IF(A266="","",--(COUNTIFS($A$2:A266,A266,$F$2:F266,F266)=1))</x:f>
      </x:c>
    </x:row>
    <x:row r="267">
      <x:c r="A267" s="18"/>
      <x:c r="O267" s="15" t="str">
        <x:f>IF(A267="","",--(COUNTIF($A$2:A267,A267)=1))</x:f>
      </x:c>
      <x:c r="P267" s="15" t="str">
        <x:f>IF(A267="","",--(COUNTIFS($A$2:A267,A267,$F$2:F267,F267)=1))</x:f>
      </x:c>
    </x:row>
    <x:row r="268">
      <x:c r="A268" s="18"/>
      <x:c r="O268" s="15" t="str">
        <x:f>IF(A268="","",--(COUNTIF($A$2:A268,A268)=1))</x:f>
      </x:c>
      <x:c r="P268" s="15" t="str">
        <x:f>IF(A268="","",--(COUNTIFS($A$2:A268,A268,$F$2:F268,F268)=1))</x:f>
      </x:c>
    </x:row>
    <x:row r="269">
      <x:c r="A269" s="18"/>
      <x:c r="O269" s="15" t="str">
        <x:f>IF(A269="","",--(COUNTIF($A$2:A269,A269)=1))</x:f>
      </x:c>
      <x:c r="P269" s="15" t="str">
        <x:f>IF(A269="","",--(COUNTIFS($A$2:A269,A269,$F$2:F269,F269)=1))</x:f>
      </x:c>
    </x:row>
    <x:row r="270">
      <x:c r="A270" s="18"/>
      <x:c r="O270" s="15" t="str">
        <x:f>IF(A270="","",--(COUNTIF($A$2:A270,A270)=1))</x:f>
      </x:c>
      <x:c r="P270" s="15" t="str">
        <x:f>IF(A270="","",--(COUNTIFS($A$2:A270,A270,$F$2:F270,F270)=1))</x:f>
      </x:c>
    </x:row>
    <x:row r="271">
      <x:c r="A271" s="18"/>
      <x:c r="O271" s="15" t="str">
        <x:f>IF(A271="","",--(COUNTIF($A$2:A271,A271)=1))</x:f>
      </x:c>
      <x:c r="P271" s="15" t="str">
        <x:f>IF(A271="","",--(COUNTIFS($A$2:A271,A271,$F$2:F271,F271)=1))</x:f>
      </x:c>
    </x:row>
    <x:row r="272">
      <x:c r="A272" s="18"/>
      <x:c r="O272" s="15" t="str">
        <x:f>IF(A272="","",--(COUNTIF($A$2:A272,A272)=1))</x:f>
      </x:c>
      <x:c r="P272" s="15" t="str">
        <x:f>IF(A272="","",--(COUNTIFS($A$2:A272,A272,$F$2:F272,F272)=1))</x:f>
      </x:c>
    </x:row>
    <x:row r="273">
      <x:c r="A273" s="18"/>
      <x:c r="O273" s="15" t="str">
        <x:f>IF(A273="","",--(COUNTIF($A$2:A273,A273)=1))</x:f>
      </x:c>
      <x:c r="P273" s="15" t="str">
        <x:f>IF(A273="","",--(COUNTIFS($A$2:A273,A273,$F$2:F273,F273)=1))</x:f>
      </x:c>
    </x:row>
    <x:row r="274">
      <x:c r="A274" s="18"/>
      <x:c r="O274" s="15" t="str">
        <x:f>IF(A274="","",--(COUNTIF($A$2:A274,A274)=1))</x:f>
      </x:c>
      <x:c r="P274" s="15" t="str">
        <x:f>IF(A274="","",--(COUNTIFS($A$2:A274,A274,$F$2:F274,F274)=1))</x:f>
      </x:c>
    </x:row>
    <x:row r="275">
      <x:c r="A275" s="18"/>
      <x:c r="O275" s="15" t="str">
        <x:f>IF(A275="","",--(COUNTIF($A$2:A275,A275)=1))</x:f>
      </x:c>
      <x:c r="P275" s="15" t="str">
        <x:f>IF(A275="","",--(COUNTIFS($A$2:A275,A275,$F$2:F275,F275)=1))</x:f>
      </x:c>
    </x:row>
    <x:row r="276">
      <x:c r="A276" s="18"/>
      <x:c r="O276" s="15" t="str">
        <x:f>IF(A276="","",--(COUNTIF($A$2:A276,A276)=1))</x:f>
      </x:c>
      <x:c r="P276" s="15" t="str">
        <x:f>IF(A276="","",--(COUNTIFS($A$2:A276,A276,$F$2:F276,F276)=1))</x:f>
      </x:c>
    </x:row>
    <x:row r="277">
      <x:c r="A277" s="18"/>
      <x:c r="O277" s="15" t="str">
        <x:f>IF(A277="","",--(COUNTIF($A$2:A277,A277)=1))</x:f>
      </x:c>
      <x:c r="P277" s="15" t="str">
        <x:f>IF(A277="","",--(COUNTIFS($A$2:A277,A277,$F$2:F277,F277)=1))</x:f>
      </x:c>
    </x:row>
    <x:row r="278">
      <x:c r="A278" s="18"/>
      <x:c r="O278" s="15" t="str">
        <x:f>IF(A278="","",--(COUNTIF($A$2:A278,A278)=1))</x:f>
      </x:c>
      <x:c r="P278" s="15" t="str">
        <x:f>IF(A278="","",--(COUNTIFS($A$2:A278,A278,$F$2:F278,F278)=1))</x:f>
      </x:c>
    </x:row>
    <x:row r="279">
      <x:c r="A279" s="18"/>
      <x:c r="O279" s="15" t="str">
        <x:f>IF(A279="","",--(COUNTIF($A$2:A279,A279)=1))</x:f>
      </x:c>
      <x:c r="P279" s="15" t="str">
        <x:f>IF(A279="","",--(COUNTIFS($A$2:A279,A279,$F$2:F279,F279)=1))</x:f>
      </x:c>
    </x:row>
    <x:row r="280">
      <x:c r="A280" s="18"/>
      <x:c r="O280" s="15" t="str">
        <x:f>IF(A280="","",--(COUNTIF($A$2:A280,A280)=1))</x:f>
      </x:c>
      <x:c r="P280" s="15" t="str">
        <x:f>IF(A280="","",--(COUNTIFS($A$2:A280,A280,$F$2:F280,F280)=1))</x:f>
      </x:c>
    </x:row>
    <x:row r="281">
      <x:c r="A281" s="18"/>
      <x:c r="O281" s="15" t="str">
        <x:f>IF(A281="","",--(COUNTIF($A$2:A281,A281)=1))</x:f>
      </x:c>
      <x:c r="P281" s="15" t="str">
        <x:f>IF(A281="","",--(COUNTIFS($A$2:A281,A281,$F$2:F281,F281)=1))</x:f>
      </x:c>
    </x:row>
    <x:row r="282">
      <x:c r="A282" s="18"/>
      <x:c r="O282" s="15" t="str">
        <x:f>IF(A282="","",--(COUNTIF($A$2:A282,A282)=1))</x:f>
      </x:c>
      <x:c r="P282" s="15" t="str">
        <x:f>IF(A282="","",--(COUNTIFS($A$2:A282,A282,$F$2:F282,F282)=1))</x:f>
      </x:c>
    </x:row>
    <x:row r="283">
      <x:c r="A283" s="18"/>
      <x:c r="O283" s="15" t="str">
        <x:f>IF(A283="","",--(COUNTIF($A$2:A283,A283)=1))</x:f>
      </x:c>
      <x:c r="P283" s="15" t="str">
        <x:f>IF(A283="","",--(COUNTIFS($A$2:A283,A283,$F$2:F283,F283)=1))</x:f>
      </x:c>
    </x:row>
    <x:row r="284">
      <x:c r="A284" s="18"/>
      <x:c r="O284" s="15" t="str">
        <x:f>IF(A284="","",--(COUNTIF($A$2:A284,A284)=1))</x:f>
      </x:c>
      <x:c r="P284" s="15" t="str">
        <x:f>IF(A284="","",--(COUNTIFS($A$2:A284,A284,$F$2:F284,F284)=1))</x:f>
      </x:c>
    </x:row>
    <x:row r="285">
      <x:c r="A285" s="18"/>
      <x:c r="O285" s="15" t="str">
        <x:f>IF(A285="","",--(COUNTIF($A$2:A285,A285)=1))</x:f>
      </x:c>
      <x:c r="P285" s="15" t="str">
        <x:f>IF(A285="","",--(COUNTIFS($A$2:A285,A285,$F$2:F285,F285)=1))</x:f>
      </x:c>
    </x:row>
    <x:row r="286">
      <x:c r="A286" s="18"/>
      <x:c r="O286" s="15" t="str">
        <x:f>IF(A286="","",--(COUNTIF($A$2:A286,A286)=1))</x:f>
      </x:c>
      <x:c r="P286" s="15" t="str">
        <x:f>IF(A286="","",--(COUNTIFS($A$2:A286,A286,$F$2:F286,F286)=1))</x:f>
      </x:c>
    </x:row>
    <x:row r="287">
      <x:c r="A287" s="18"/>
      <x:c r="O287" s="15" t="str">
        <x:f>IF(A287="","",--(COUNTIF($A$2:A287,A287)=1))</x:f>
      </x:c>
      <x:c r="P287" s="15" t="str">
        <x:f>IF(A287="","",--(COUNTIFS($A$2:A287,A287,$F$2:F287,F287)=1))</x:f>
      </x:c>
    </x:row>
    <x:row r="288">
      <x:c r="A288" s="18"/>
      <x:c r="O288" s="15" t="str">
        <x:f>IF(A288="","",--(COUNTIF($A$2:A288,A288)=1))</x:f>
      </x:c>
      <x:c r="P288" s="15" t="str">
        <x:f>IF(A288="","",--(COUNTIFS($A$2:A288,A288,$F$2:F288,F288)=1))</x:f>
      </x:c>
    </x:row>
    <x:row r="289">
      <x:c r="A289" s="18"/>
      <x:c r="O289" s="15" t="str">
        <x:f>IF(A289="","",--(COUNTIF($A$2:A289,A289)=1))</x:f>
      </x:c>
      <x:c r="P289" s="15" t="str">
        <x:f>IF(A289="","",--(COUNTIFS($A$2:A289,A289,$F$2:F289,F289)=1))</x:f>
      </x:c>
    </x:row>
    <x:row r="290">
      <x:c r="A290" s="18"/>
      <x:c r="O290" s="15" t="str">
        <x:f>IF(A290="","",--(COUNTIF($A$2:A290,A290)=1))</x:f>
      </x:c>
      <x:c r="P290" s="15" t="str">
        <x:f>IF(A290="","",--(COUNTIFS($A$2:A290,A290,$F$2:F290,F290)=1))</x:f>
      </x:c>
    </x:row>
    <x:row r="291">
      <x:c r="A291" s="18"/>
      <x:c r="O291" s="15" t="str">
        <x:f>IF(A291="","",--(COUNTIF($A$2:A291,A291)=1))</x:f>
      </x:c>
      <x:c r="P291" s="15" t="str">
        <x:f>IF(A291="","",--(COUNTIFS($A$2:A291,A291,$F$2:F291,F291)=1))</x:f>
      </x:c>
    </x:row>
    <x:row r="292">
      <x:c r="A292" s="18"/>
      <x:c r="O292" s="15" t="str">
        <x:f>IF(A292="","",--(COUNTIF($A$2:A292,A292)=1))</x:f>
      </x:c>
      <x:c r="P292" s="15" t="str">
        <x:f>IF(A292="","",--(COUNTIFS($A$2:A292,A292,$F$2:F292,F292)=1))</x:f>
      </x:c>
    </x:row>
    <x:row r="293">
      <x:c r="A293" s="18"/>
      <x:c r="O293" s="15" t="str">
        <x:f>IF(A293="","",--(COUNTIF($A$2:A293,A293)=1))</x:f>
      </x:c>
      <x:c r="P293" s="15" t="str">
        <x:f>IF(A293="","",--(COUNTIFS($A$2:A293,A293,$F$2:F293,F293)=1))</x:f>
      </x:c>
    </x:row>
    <x:row r="294">
      <x:c r="A294" s="18"/>
      <x:c r="O294" s="15" t="str">
        <x:f>IF(A294="","",--(COUNTIF($A$2:A294,A294)=1))</x:f>
      </x:c>
      <x:c r="P294" s="15" t="str">
        <x:f>IF(A294="","",--(COUNTIFS($A$2:A294,A294,$F$2:F294,F294)=1))</x:f>
      </x:c>
    </x:row>
    <x:row r="295">
      <x:c r="A295" s="18"/>
      <x:c r="O295" s="15" t="str">
        <x:f>IF(A295="","",--(COUNTIF($A$2:A295,A295)=1))</x:f>
      </x:c>
      <x:c r="P295" s="15" t="str">
        <x:f>IF(A295="","",--(COUNTIFS($A$2:A295,A295,$F$2:F295,F295)=1))</x:f>
      </x:c>
    </x:row>
    <x:row r="296">
      <x:c r="A296" s="18"/>
      <x:c r="O296" s="15" t="str">
        <x:f>IF(A296="","",--(COUNTIF($A$2:A296,A296)=1))</x:f>
      </x:c>
      <x:c r="P296" s="15" t="str">
        <x:f>IF(A296="","",--(COUNTIFS($A$2:A296,A296,$F$2:F296,F296)=1))</x:f>
      </x:c>
    </x:row>
    <x:row r="297">
      <x:c r="A297" s="18"/>
      <x:c r="O297" s="15" t="str">
        <x:f>IF(A297="","",--(COUNTIF($A$2:A297,A297)=1))</x:f>
      </x:c>
      <x:c r="P297" s="15" t="str">
        <x:f>IF(A297="","",--(COUNTIFS($A$2:A297,A297,$F$2:F297,F297)=1))</x:f>
      </x:c>
    </x:row>
    <x:row r="298">
      <x:c r="A298" s="18"/>
      <x:c r="O298" s="15" t="str">
        <x:f>IF(A298="","",--(COUNTIF($A$2:A298,A298)=1))</x:f>
      </x:c>
      <x:c r="P298" s="15" t="str">
        <x:f>IF(A298="","",--(COUNTIFS($A$2:A298,A298,$F$2:F298,F298)=1))</x:f>
      </x:c>
    </x:row>
    <x:row r="299">
      <x:c r="A299" s="18"/>
      <x:c r="O299" s="15" t="str">
        <x:f>IF(A299="","",--(COUNTIF($A$2:A299,A299)=1))</x:f>
      </x:c>
      <x:c r="P299" s="15" t="str">
        <x:f>IF(A299="","",--(COUNTIFS($A$2:A299,A299,$F$2:F299,F299)=1))</x:f>
      </x:c>
    </x:row>
    <x:row r="300">
      <x:c r="A300" s="18"/>
      <x:c r="O300" s="15" t="str">
        <x:f>IF(A300="","",--(COUNTIF($A$2:A300,A300)=1))</x:f>
      </x:c>
      <x:c r="P300" s="15" t="str">
        <x:f>IF(A300="","",--(COUNTIFS($A$2:A300,A300,$F$2:F300,F300)=1))</x:f>
      </x:c>
    </x:row>
    <x:row r="301">
      <x:c r="A301" s="18"/>
      <x:c r="O301" s="15" t="str">
        <x:f>IF(A301="","",--(COUNTIF($A$2:A301,A301)=1))</x:f>
      </x:c>
      <x:c r="P301" s="15" t="str">
        <x:f>IF(A301="","",--(COUNTIFS($A$2:A301,A301,$F$2:F301,F301)=1))</x:f>
      </x:c>
    </x:row>
    <x:row r="302">
      <x:c r="A302" s="18"/>
      <x:c r="O302" s="15" t="str">
        <x:f>IF(A302="","",--(COUNTIF($A$2:A302,A302)=1))</x:f>
      </x:c>
      <x:c r="P302" s="15" t="str">
        <x:f>IF(A302="","",--(COUNTIFS($A$2:A302,A302,$F$2:F302,F302)=1))</x:f>
      </x:c>
    </x:row>
    <x:row r="303">
      <x:c r="A303" s="18"/>
      <x:c r="O303" s="15" t="str">
        <x:f>IF(A303="","",--(COUNTIF($A$2:A303,A303)=1))</x:f>
      </x:c>
      <x:c r="P303" s="15" t="str">
        <x:f>IF(A303="","",--(COUNTIFS($A$2:A303,A303,$F$2:F303,F303)=1))</x:f>
      </x:c>
    </x:row>
    <x:row r="304">
      <x:c r="A304" s="18"/>
      <x:c r="O304" s="15" t="str">
        <x:f>IF(A304="","",--(COUNTIF($A$2:A304,A304)=1))</x:f>
      </x:c>
      <x:c r="P304" s="15" t="str">
        <x:f>IF(A304="","",--(COUNTIFS($A$2:A304,A304,$F$2:F304,F304)=1))</x:f>
      </x:c>
    </x:row>
    <x:row r="305">
      <x:c r="A305" s="18"/>
      <x:c r="O305" s="15" t="str">
        <x:f>IF(A305="","",--(COUNTIF($A$2:A305,A305)=1))</x:f>
      </x:c>
      <x:c r="P305" s="15" t="str">
        <x:f>IF(A305="","",--(COUNTIFS($A$2:A305,A305,$F$2:F305,F305)=1))</x:f>
      </x:c>
    </x:row>
    <x:row r="306">
      <x:c r="A306" s="18"/>
      <x:c r="O306" s="15" t="str">
        <x:f>IF(A306="","",--(COUNTIF($A$2:A306,A306)=1))</x:f>
      </x:c>
      <x:c r="P306" s="15" t="str">
        <x:f>IF(A306="","",--(COUNTIFS($A$2:A306,A306,$F$2:F306,F306)=1))</x:f>
      </x:c>
    </x:row>
    <x:row r="307">
      <x:c r="A307" s="18"/>
      <x:c r="O307" s="15" t="str">
        <x:f>IF(A307="","",--(COUNTIF($A$2:A307,A307)=1))</x:f>
      </x:c>
      <x:c r="P307" s="15" t="str">
        <x:f>IF(A307="","",--(COUNTIFS($A$2:A307,A307,$F$2:F307,F307)=1))</x:f>
      </x:c>
    </x:row>
    <x:row r="308">
      <x:c r="A308" s="18"/>
      <x:c r="O308" s="15" t="str">
        <x:f>IF(A308="","",--(COUNTIF($A$2:A308,A308)=1))</x:f>
      </x:c>
      <x:c r="P308" s="15" t="str">
        <x:f>IF(A308="","",--(COUNTIFS($A$2:A308,A308,$F$2:F308,F308)=1))</x:f>
      </x:c>
    </x:row>
    <x:row r="309">
      <x:c r="A309" s="18"/>
      <x:c r="O309" s="15" t="str">
        <x:f>IF(A309="","",--(COUNTIF($A$2:A309,A309)=1))</x:f>
      </x:c>
      <x:c r="P309" s="15" t="str">
        <x:f>IF(A309="","",--(COUNTIFS($A$2:A309,A309,$F$2:F309,F309)=1))</x:f>
      </x:c>
    </x:row>
    <x:row r="310">
      <x:c r="A310" s="18"/>
      <x:c r="O310" s="15" t="str">
        <x:f>IF(A310="","",--(COUNTIF($A$2:A310,A310)=1))</x:f>
      </x:c>
      <x:c r="P310" s="15" t="str">
        <x:f>IF(A310="","",--(COUNTIFS($A$2:A310,A310,$F$2:F310,F310)=1))</x:f>
      </x:c>
    </x:row>
    <x:row r="311">
      <x:c r="A311" s="18"/>
      <x:c r="O311" s="15" t="str">
        <x:f>IF(A311="","",--(COUNTIF($A$2:A311,A311)=1))</x:f>
      </x:c>
      <x:c r="P311" s="15" t="str">
        <x:f>IF(A311="","",--(COUNTIFS($A$2:A311,A311,$F$2:F311,F311)=1))</x:f>
      </x:c>
    </x:row>
    <x:row r="312">
      <x:c r="A312" s="18"/>
      <x:c r="O312" s="15" t="str">
        <x:f>IF(A312="","",--(COUNTIF($A$2:A312,A312)=1))</x:f>
      </x:c>
      <x:c r="P312" s="15" t="str">
        <x:f>IF(A312="","",--(COUNTIFS($A$2:A312,A312,$F$2:F312,F312)=1))</x:f>
      </x:c>
    </x:row>
    <x:row r="313">
      <x:c r="A313" s="18"/>
      <x:c r="O313" s="15" t="str">
        <x:f>IF(A313="","",--(COUNTIF($A$2:A313,A313)=1))</x:f>
      </x:c>
      <x:c r="P313" s="15" t="str">
        <x:f>IF(A313="","",--(COUNTIFS($A$2:A313,A313,$F$2:F313,F313)=1))</x:f>
      </x:c>
    </x:row>
    <x:row r="314">
      <x:c r="A314" s="18"/>
      <x:c r="O314" s="15" t="str">
        <x:f>IF(A314="","",--(COUNTIF($A$2:A314,A314)=1))</x:f>
      </x:c>
      <x:c r="P314" s="15" t="str">
        <x:f>IF(A314="","",--(COUNTIFS($A$2:A314,A314,$F$2:F314,F314)=1))</x:f>
      </x:c>
    </x:row>
    <x:row r="315">
      <x:c r="A315" s="18"/>
      <x:c r="O315" s="15" t="str">
        <x:f>IF(A315="","",--(COUNTIF($A$2:A315,A315)=1))</x:f>
      </x:c>
      <x:c r="P315" s="15" t="str">
        <x:f>IF(A315="","",--(COUNTIFS($A$2:A315,A315,$F$2:F315,F315)=1))</x:f>
      </x:c>
    </x:row>
    <x:row r="316">
      <x:c r="A316" s="18"/>
      <x:c r="O316" s="15" t="str">
        <x:f>IF(A316="","",--(COUNTIF($A$2:A316,A316)=1))</x:f>
      </x:c>
      <x:c r="P316" s="15" t="str">
        <x:f>IF(A316="","",--(COUNTIFS($A$2:A316,A316,$F$2:F316,F316)=1))</x:f>
      </x:c>
    </x:row>
    <x:row r="317">
      <x:c r="A317" s="18"/>
      <x:c r="O317" s="15" t="str">
        <x:f>IF(A317="","",--(COUNTIF($A$2:A317,A317)=1))</x:f>
      </x:c>
      <x:c r="P317" s="15" t="str">
        <x:f>IF(A317="","",--(COUNTIFS($A$2:A317,A317,$F$2:F317,F317)=1))</x:f>
      </x:c>
    </x:row>
    <x:row r="318">
      <x:c r="A318" s="18"/>
      <x:c r="O318" s="15" t="str">
        <x:f>IF(A318="","",--(COUNTIF($A$2:A318,A318)=1))</x:f>
      </x:c>
      <x:c r="P318" s="15" t="str">
        <x:f>IF(A318="","",--(COUNTIFS($A$2:A318,A318,$F$2:F318,F318)=1))</x:f>
      </x:c>
    </x:row>
    <x:row r="319">
      <x:c r="A319" s="18"/>
      <x:c r="O319" s="15" t="str">
        <x:f>IF(A319="","",--(COUNTIF($A$2:A319,A319)=1))</x:f>
      </x:c>
      <x:c r="P319" s="15" t="str">
        <x:f>IF(A319="","",--(COUNTIFS($A$2:A319,A319,$F$2:F319,F319)=1))</x:f>
      </x:c>
    </x:row>
    <x:row r="320">
      <x:c r="A320" s="18"/>
      <x:c r="O320" s="15" t="str">
        <x:f>IF(A320="","",--(COUNTIF($A$2:A320,A320)=1))</x:f>
      </x:c>
      <x:c r="P320" s="15" t="str">
        <x:f>IF(A320="","",--(COUNTIFS($A$2:A320,A320,$F$2:F320,F320)=1))</x:f>
      </x:c>
    </x:row>
    <x:row r="321">
      <x:c r="A321" s="18"/>
      <x:c r="O321" s="15" t="str">
        <x:f>IF(A321="","",--(COUNTIF($A$2:A321,A321)=1))</x:f>
      </x:c>
      <x:c r="P321" s="15" t="str">
        <x:f>IF(A321="","",--(COUNTIFS($A$2:A321,A321,$F$2:F321,F321)=1))</x:f>
      </x:c>
    </x:row>
    <x:row r="322">
      <x:c r="A322" s="18"/>
      <x:c r="O322" s="15" t="str">
        <x:f>IF(A322="","",--(COUNTIF($A$2:A322,A322)=1))</x:f>
      </x:c>
      <x:c r="P322" s="15" t="str">
        <x:f>IF(A322="","",--(COUNTIFS($A$2:A322,A322,$F$2:F322,F322)=1))</x:f>
      </x:c>
    </x:row>
    <x:row r="323">
      <x:c r="A323" s="18"/>
      <x:c r="O323" s="15" t="str">
        <x:f>IF(A323="","",--(COUNTIF($A$2:A323,A323)=1))</x:f>
      </x:c>
      <x:c r="P323" s="15" t="str">
        <x:f>IF(A323="","",--(COUNTIFS($A$2:A323,A323,$F$2:F323,F323)=1))</x:f>
      </x:c>
    </x:row>
    <x:row r="324">
      <x:c r="A324" s="18"/>
      <x:c r="O324" s="15" t="str">
        <x:f>IF(A324="","",--(COUNTIF($A$2:A324,A324)=1))</x:f>
      </x:c>
      <x:c r="P324" s="15" t="str">
        <x:f>IF(A324="","",--(COUNTIFS($A$2:A324,A324,$F$2:F324,F324)=1))</x:f>
      </x:c>
    </x:row>
    <x:row r="325">
      <x:c r="A325" s="18"/>
      <x:c r="O325" s="15" t="str">
        <x:f>IF(A325="","",--(COUNTIF($A$2:A325,A325)=1))</x:f>
      </x:c>
      <x:c r="P325" s="15" t="str">
        <x:f>IF(A325="","",--(COUNTIFS($A$2:A325,A325,$F$2:F325,F325)=1))</x:f>
      </x:c>
    </x:row>
    <x:row r="326">
      <x:c r="A326" s="18"/>
      <x:c r="O326" s="15" t="str">
        <x:f>IF(A326="","",--(COUNTIF($A$2:A326,A326)=1))</x:f>
      </x:c>
      <x:c r="P326" s="15" t="str">
        <x:f>IF(A326="","",--(COUNTIFS($A$2:A326,A326,$F$2:F326,F326)=1))</x:f>
      </x:c>
    </x:row>
    <x:row r="327">
      <x:c r="A327" s="18"/>
      <x:c r="O327" s="15" t="str">
        <x:f>IF(A327="","",--(COUNTIF($A$2:A327,A327)=1))</x:f>
      </x:c>
      <x:c r="P327" s="15" t="str">
        <x:f>IF(A327="","",--(COUNTIFS($A$2:A327,A327,$F$2:F327,F327)=1))</x:f>
      </x:c>
    </x:row>
    <x:row r="328">
      <x:c r="A328" s="18"/>
      <x:c r="O328" s="15" t="str">
        <x:f>IF(A328="","",--(COUNTIF($A$2:A328,A328)=1))</x:f>
      </x:c>
      <x:c r="P328" s="15" t="str">
        <x:f>IF(A328="","",--(COUNTIFS($A$2:A328,A328,$F$2:F328,F328)=1))</x:f>
      </x:c>
    </x:row>
    <x:row r="329">
      <x:c r="A329" s="18"/>
      <x:c r="O329" s="15" t="str">
        <x:f>IF(A329="","",--(COUNTIF($A$2:A329,A329)=1))</x:f>
      </x:c>
      <x:c r="P329" s="15" t="str">
        <x:f>IF(A329="","",--(COUNTIFS($A$2:A329,A329,$F$2:F329,F329)=1))</x:f>
      </x:c>
    </x:row>
    <x:row r="330">
      <x:c r="A330" s="18"/>
      <x:c r="O330" s="15" t="str">
        <x:f>IF(A330="","",--(COUNTIF($A$2:A330,A330)=1))</x:f>
      </x:c>
      <x:c r="P330" s="15" t="str">
        <x:f>IF(A330="","",--(COUNTIFS($A$2:A330,A330,$F$2:F330,F330)=1))</x:f>
      </x:c>
    </x:row>
    <x:row r="331">
      <x:c r="A331" s="18"/>
      <x:c r="O331" s="15" t="str">
        <x:f>IF(A331="","",--(COUNTIF($A$2:A331,A331)=1))</x:f>
      </x:c>
      <x:c r="P331" s="15" t="str">
        <x:f>IF(A331="","",--(COUNTIFS($A$2:A331,A331,$F$2:F331,F331)=1))</x:f>
      </x:c>
    </x:row>
    <x:row r="332">
      <x:c r="A332" s="18"/>
      <x:c r="O332" s="15" t="str">
        <x:f>IF(A332="","",--(COUNTIF($A$2:A332,A332)=1))</x:f>
      </x:c>
      <x:c r="P332" s="15" t="str">
        <x:f>IF(A332="","",--(COUNTIFS($A$2:A332,A332,$F$2:F332,F332)=1))</x:f>
      </x:c>
    </x:row>
    <x:row r="333">
      <x:c r="A333" s="18"/>
      <x:c r="O333" s="15" t="str">
        <x:f>IF(A333="","",--(COUNTIF($A$2:A333,A333)=1))</x:f>
      </x:c>
      <x:c r="P333" s="15" t="str">
        <x:f>IF(A333="","",--(COUNTIFS($A$2:A333,A333,$F$2:F333,F333)=1))</x:f>
      </x:c>
    </x:row>
    <x:row r="334">
      <x:c r="A334" s="18"/>
      <x:c r="O334" s="15" t="str">
        <x:f>IF(A334="","",--(COUNTIF($A$2:A334,A334)=1))</x:f>
      </x:c>
      <x:c r="P334" s="15" t="str">
        <x:f>IF(A334="","",--(COUNTIFS($A$2:A334,A334,$F$2:F334,F334)=1))</x:f>
      </x:c>
    </x:row>
    <x:row r="335">
      <x:c r="A335" s="18"/>
      <x:c r="O335" s="15" t="str">
        <x:f>IF(A335="","",--(COUNTIF($A$2:A335,A335)=1))</x:f>
      </x:c>
      <x:c r="P335" s="15" t="str">
        <x:f>IF(A335="","",--(COUNTIFS($A$2:A335,A335,$F$2:F335,F335)=1))</x:f>
      </x:c>
    </x:row>
    <x:row r="336">
      <x:c r="A336" s="18"/>
      <x:c r="O336" s="15" t="str">
        <x:f>IF(A336="","",--(COUNTIF($A$2:A336,A336)=1))</x:f>
      </x:c>
      <x:c r="P336" s="15" t="str">
        <x:f>IF(A336="","",--(COUNTIFS($A$2:A336,A336,$F$2:F336,F336)=1))</x:f>
      </x:c>
    </x:row>
    <x:row r="337">
      <x:c r="A337" s="18"/>
      <x:c r="O337" s="15" t="str">
        <x:f>IF(A337="","",--(COUNTIF($A$2:A337,A337)=1))</x:f>
      </x:c>
      <x:c r="P337" s="15" t="str">
        <x:f>IF(A337="","",--(COUNTIFS($A$2:A337,A337,$F$2:F337,F337)=1))</x:f>
      </x:c>
    </x:row>
    <x:row r="338">
      <x:c r="A338" s="18"/>
      <x:c r="O338" s="15" t="str">
        <x:f>IF(A338="","",--(COUNTIF($A$2:A338,A338)=1))</x:f>
      </x:c>
      <x:c r="P338" s="15" t="str">
        <x:f>IF(A338="","",--(COUNTIFS($A$2:A338,A338,$F$2:F338,F338)=1))</x:f>
      </x:c>
    </x:row>
    <x:row r="339">
      <x:c r="A339" s="18"/>
      <x:c r="O339" s="15" t="str">
        <x:f>IF(A339="","",--(COUNTIF($A$2:A339,A339)=1))</x:f>
      </x:c>
      <x:c r="P339" s="15" t="str">
        <x:f>IF(A339="","",--(COUNTIFS($A$2:A339,A339,$F$2:F339,F339)=1))</x:f>
      </x:c>
    </x:row>
    <x:row r="340">
      <x:c r="A340" s="18"/>
      <x:c r="O340" s="15" t="str">
        <x:f>IF(A340="","",--(COUNTIF($A$2:A340,A340)=1))</x:f>
      </x:c>
      <x:c r="P340" s="15" t="str">
        <x:f>IF(A340="","",--(COUNTIFS($A$2:A340,A340,$F$2:F340,F340)=1))</x:f>
      </x:c>
    </x:row>
    <x:row r="341">
      <x:c r="A341" s="18"/>
      <x:c r="O341" s="15" t="str">
        <x:f>IF(A341="","",--(COUNTIF($A$2:A341,A341)=1))</x:f>
      </x:c>
      <x:c r="P341" s="15" t="str">
        <x:f>IF(A341="","",--(COUNTIFS($A$2:A341,A341,$F$2:F341,F341)=1))</x:f>
      </x:c>
    </x:row>
    <x:row r="342">
      <x:c r="A342" s="18"/>
      <x:c r="O342" s="15" t="str">
        <x:f>IF(A342="","",--(COUNTIF($A$2:A342,A342)=1))</x:f>
      </x:c>
      <x:c r="P342" s="15" t="str">
        <x:f>IF(A342="","",--(COUNTIFS($A$2:A342,A342,$F$2:F342,F342)=1))</x:f>
      </x:c>
    </x:row>
    <x:row r="343">
      <x:c r="A343" s="18"/>
      <x:c r="O343" s="15" t="str">
        <x:f>IF(A343="","",--(COUNTIF($A$2:A343,A343)=1))</x:f>
      </x:c>
      <x:c r="P343" s="15" t="str">
        <x:f>IF(A343="","",--(COUNTIFS($A$2:A343,A343,$F$2:F343,F343)=1))</x:f>
      </x:c>
    </x:row>
    <x:row r="344">
      <x:c r="A344" s="18"/>
      <x:c r="O344" s="15" t="str">
        <x:f>IF(A344="","",--(COUNTIF($A$2:A344,A344)=1))</x:f>
      </x:c>
      <x:c r="P344" s="15" t="str">
        <x:f>IF(A344="","",--(COUNTIFS($A$2:A344,A344,$F$2:F344,F344)=1))</x:f>
      </x:c>
    </x:row>
    <x:row r="345">
      <x:c r="A345" s="18"/>
      <x:c r="O345" s="15" t="str">
        <x:f>IF(A345="","",--(COUNTIF($A$2:A345,A345)=1))</x:f>
      </x:c>
      <x:c r="P345" s="15" t="str">
        <x:f>IF(A345="","",--(COUNTIFS($A$2:A345,A345,$F$2:F345,F345)=1))</x:f>
      </x:c>
    </x:row>
    <x:row r="346">
      <x:c r="A346" s="18"/>
      <x:c r="O346" s="15" t="str">
        <x:f>IF(A346="","",--(COUNTIF($A$2:A346,A346)=1))</x:f>
      </x:c>
      <x:c r="P346" s="15" t="str">
        <x:f>IF(A346="","",--(COUNTIFS($A$2:A346,A346,$F$2:F346,F346)=1))</x:f>
      </x:c>
    </x:row>
    <x:row r="347">
      <x:c r="A347" s="18"/>
      <x:c r="O347" s="15" t="str">
        <x:f>IF(A347="","",--(COUNTIF($A$2:A347,A347)=1))</x:f>
      </x:c>
      <x:c r="P347" s="15" t="str">
        <x:f>IF(A347="","",--(COUNTIFS($A$2:A347,A347,$F$2:F347,F347)=1))</x:f>
      </x:c>
    </x:row>
    <x:row r="348">
      <x:c r="A348" s="18"/>
      <x:c r="O348" s="15" t="str">
        <x:f>IF(A348="","",--(COUNTIF($A$2:A348,A348)=1))</x:f>
      </x:c>
      <x:c r="P348" s="15" t="str">
        <x:f>IF(A348="","",--(COUNTIFS($A$2:A348,A348,$F$2:F348,F348)=1))</x:f>
      </x:c>
    </x:row>
    <x:row r="349">
      <x:c r="A349" s="18"/>
      <x:c r="O349" s="15" t="str">
        <x:f>IF(A349="","",--(COUNTIF($A$2:A349,A349)=1))</x:f>
      </x:c>
      <x:c r="P349" s="15" t="str">
        <x:f>IF(A349="","",--(COUNTIFS($A$2:A349,A349,$F$2:F349,F349)=1))</x:f>
      </x:c>
    </x:row>
    <x:row r="350">
      <x:c r="A350" s="18"/>
      <x:c r="O350" s="15" t="str">
        <x:f>IF(A350="","",--(COUNTIF($A$2:A350,A350)=1))</x:f>
      </x:c>
      <x:c r="P350" s="15" t="str">
        <x:f>IF(A350="","",--(COUNTIFS($A$2:A350,A350,$F$2:F350,F350)=1))</x:f>
      </x:c>
    </x:row>
    <x:row r="351">
      <x:c r="A351" s="18"/>
      <x:c r="O351" s="15" t="str">
        <x:f>IF(A351="","",--(COUNTIF($A$2:A351,A351)=1))</x:f>
      </x:c>
      <x:c r="P351" s="15" t="str">
        <x:f>IF(A351="","",--(COUNTIFS($A$2:A351,A351,$F$2:F351,F351)=1))</x:f>
      </x:c>
    </x:row>
    <x:row r="352">
      <x:c r="A352" s="18"/>
      <x:c r="O352" s="15" t="str">
        <x:f>IF(A352="","",--(COUNTIF($A$2:A352,A352)=1))</x:f>
      </x:c>
      <x:c r="P352" s="15" t="str">
        <x:f>IF(A352="","",--(COUNTIFS($A$2:A352,A352,$F$2:F352,F352)=1))</x:f>
      </x:c>
    </x:row>
    <x:row r="353">
      <x:c r="A353" s="18"/>
      <x:c r="O353" s="15" t="str">
        <x:f>IF(A353="","",--(COUNTIF($A$2:A353,A353)=1))</x:f>
      </x:c>
      <x:c r="P353" s="15" t="str">
        <x:f>IF(A353="","",--(COUNTIFS($A$2:A353,A353,$F$2:F353,F353)=1))</x:f>
      </x:c>
    </x:row>
    <x:row r="354">
      <x:c r="A354" s="18"/>
      <x:c r="O354" s="15" t="str">
        <x:f>IF(A354="","",--(COUNTIF($A$2:A354,A354)=1))</x:f>
      </x:c>
      <x:c r="P354" s="15" t="str">
        <x:f>IF(A354="","",--(COUNTIFS($A$2:A354,A354,$F$2:F354,F354)=1))</x:f>
      </x:c>
    </x:row>
    <x:row r="355">
      <x:c r="A355" s="18"/>
      <x:c r="O355" s="15" t="str">
        <x:f>IF(A355="","",--(COUNTIF($A$2:A355,A355)=1))</x:f>
      </x:c>
      <x:c r="P355" s="15" t="str">
        <x:f>IF(A355="","",--(COUNTIFS($A$2:A355,A355,$F$2:F355,F355)=1))</x:f>
      </x:c>
    </x:row>
    <x:row r="356">
      <x:c r="A356" s="18"/>
      <x:c r="O356" s="15" t="str">
        <x:f>IF(A356="","",--(COUNTIF($A$2:A356,A356)=1))</x:f>
      </x:c>
      <x:c r="P356" s="15" t="str">
        <x:f>IF(A356="","",--(COUNTIFS($A$2:A356,A356,$F$2:F356,F356)=1))</x:f>
      </x:c>
    </x:row>
    <x:row r="357">
      <x:c r="A357" s="18"/>
      <x:c r="O357" s="15" t="str">
        <x:f>IF(A357="","",--(COUNTIF($A$2:A357,A357)=1))</x:f>
      </x:c>
      <x:c r="P357" s="15" t="str">
        <x:f>IF(A357="","",--(COUNTIFS($A$2:A357,A357,$F$2:F357,F357)=1))</x:f>
      </x:c>
    </x:row>
    <x:row r="358">
      <x:c r="A358" s="18"/>
      <x:c r="O358" s="15" t="str">
        <x:f>IF(A358="","",--(COUNTIF($A$2:A358,A358)=1))</x:f>
      </x:c>
      <x:c r="P358" s="15" t="str">
        <x:f>IF(A358="","",--(COUNTIFS($A$2:A358,A358,$F$2:F358,F358)=1))</x:f>
      </x:c>
    </x:row>
    <x:row r="359">
      <x:c r="A359" s="18"/>
      <x:c r="O359" s="15" t="str">
        <x:f>IF(A359="","",--(COUNTIF($A$2:A359,A359)=1))</x:f>
      </x:c>
      <x:c r="P359" s="15" t="str">
        <x:f>IF(A359="","",--(COUNTIFS($A$2:A359,A359,$F$2:F359,F359)=1))</x:f>
      </x:c>
    </x:row>
    <x:row r="360">
      <x:c r="A360" s="18"/>
      <x:c r="O360" s="15" t="str">
        <x:f>IF(A360="","",--(COUNTIF($A$2:A360,A360)=1))</x:f>
      </x:c>
      <x:c r="P360" s="15" t="str">
        <x:f>IF(A360="","",--(COUNTIFS($A$2:A360,A360,$F$2:F360,F360)=1))</x:f>
      </x:c>
    </x:row>
    <x:row r="361">
      <x:c r="A361" s="18"/>
      <x:c r="O361" s="15" t="str">
        <x:f>IF(A361="","",--(COUNTIF($A$2:A361,A361)=1))</x:f>
      </x:c>
      <x:c r="P361" s="15" t="str">
        <x:f>IF(A361="","",--(COUNTIFS($A$2:A361,A361,$F$2:F361,F361)=1))</x:f>
      </x:c>
    </x:row>
    <x:row r="362">
      <x:c r="A362" s="18"/>
      <x:c r="O362" s="15" t="str">
        <x:f>IF(A362="","",--(COUNTIF($A$2:A362,A362)=1))</x:f>
      </x:c>
      <x:c r="P362" s="15" t="str">
        <x:f>IF(A362="","",--(COUNTIFS($A$2:A362,A362,$F$2:F362,F362)=1))</x:f>
      </x:c>
    </x:row>
    <x:row r="363">
      <x:c r="A363" s="18"/>
      <x:c r="O363" s="15" t="str">
        <x:f>IF(A363="","",--(COUNTIF($A$2:A363,A363)=1))</x:f>
      </x:c>
      <x:c r="P363" s="15" t="str">
        <x:f>IF(A363="","",--(COUNTIFS($A$2:A363,A363,$F$2:F363,F363)=1))</x:f>
      </x:c>
    </x:row>
    <x:row r="364">
      <x:c r="A364" s="18"/>
      <x:c r="O364" s="15" t="str">
        <x:f>IF(A364="","",--(COUNTIF($A$2:A364,A364)=1))</x:f>
      </x:c>
      <x:c r="P364" s="15" t="str">
        <x:f>IF(A364="","",--(COUNTIFS($A$2:A364,A364,$F$2:F364,F364)=1))</x:f>
      </x:c>
    </x:row>
    <x:row r="365">
      <x:c r="A365" s="18"/>
      <x:c r="O365" s="15" t="str">
        <x:f>IF(A365="","",--(COUNTIF($A$2:A365,A365)=1))</x:f>
      </x:c>
      <x:c r="P365" s="15" t="str">
        <x:f>IF(A365="","",--(COUNTIFS($A$2:A365,A365,$F$2:F365,F365)=1))</x:f>
      </x:c>
    </x:row>
    <x:row r="366">
      <x:c r="A366" s="18"/>
      <x:c r="O366" s="15" t="str">
        <x:f>IF(A366="","",--(COUNTIF($A$2:A366,A366)=1))</x:f>
      </x:c>
      <x:c r="P366" s="15" t="str">
        <x:f>IF(A366="","",--(COUNTIFS($A$2:A366,A366,$F$2:F366,F366)=1))</x:f>
      </x:c>
    </x:row>
    <x:row r="367">
      <x:c r="A367" s="18"/>
      <x:c r="O367" s="15" t="str">
        <x:f>IF(A367="","",--(COUNTIF($A$2:A367,A367)=1))</x:f>
      </x:c>
      <x:c r="P367" s="15" t="str">
        <x:f>IF(A367="","",--(COUNTIFS($A$2:A367,A367,$F$2:F367,F367)=1))</x:f>
      </x:c>
    </x:row>
    <x:row r="368">
      <x:c r="A368" s="18"/>
      <x:c r="O368" s="15" t="str">
        <x:f>IF(A368="","",--(COUNTIF($A$2:A368,A368)=1))</x:f>
      </x:c>
      <x:c r="P368" s="15" t="str">
        <x:f>IF(A368="","",--(COUNTIFS($A$2:A368,A368,$F$2:F368,F368)=1))</x:f>
      </x:c>
    </x:row>
    <x:row r="369">
      <x:c r="A369" s="18"/>
      <x:c r="O369" s="15" t="str">
        <x:f>IF(A369="","",--(COUNTIF($A$2:A369,A369)=1))</x:f>
      </x:c>
      <x:c r="P369" s="15" t="str">
        <x:f>IF(A369="","",--(COUNTIFS($A$2:A369,A369,$F$2:F369,F369)=1))</x:f>
      </x:c>
    </x:row>
    <x:row r="370">
      <x:c r="A370" s="18"/>
      <x:c r="O370" s="15" t="str">
        <x:f>IF(A370="","",--(COUNTIF($A$2:A370,A370)=1))</x:f>
      </x:c>
      <x:c r="P370" s="15" t="str">
        <x:f>IF(A370="","",--(COUNTIFS($A$2:A370,A370,$F$2:F370,F370)=1))</x:f>
      </x:c>
    </x:row>
    <x:row r="371">
      <x:c r="A371" s="18"/>
      <x:c r="O371" s="15" t="str">
        <x:f>IF(A371="","",--(COUNTIF($A$2:A371,A371)=1))</x:f>
      </x:c>
      <x:c r="P371" s="15" t="str">
        <x:f>IF(A371="","",--(COUNTIFS($A$2:A371,A371,$F$2:F371,F371)=1))</x:f>
      </x:c>
    </x:row>
    <x:row r="372">
      <x:c r="A372" s="18"/>
      <x:c r="O372" s="15" t="str">
        <x:f>IF(A372="","",--(COUNTIF($A$2:A372,A372)=1))</x:f>
      </x:c>
      <x:c r="P372" s="15" t="str">
        <x:f>IF(A372="","",--(COUNTIFS($A$2:A372,A372,$F$2:F372,F372)=1))</x:f>
      </x:c>
    </x:row>
    <x:row r="373">
      <x:c r="A373" s="18"/>
      <x:c r="O373" s="15" t="str">
        <x:f>IF(A373="","",--(COUNTIF($A$2:A373,A373)=1))</x:f>
      </x:c>
      <x:c r="P373" s="15" t="str">
        <x:f>IF(A373="","",--(COUNTIFS($A$2:A373,A373,$F$2:F373,F373)=1))</x:f>
      </x:c>
    </x:row>
    <x:row r="374">
      <x:c r="A374" s="18"/>
      <x:c r="O374" s="15" t="str">
        <x:f>IF(A374="","",--(COUNTIF($A$2:A374,A374)=1))</x:f>
      </x:c>
      <x:c r="P374" s="15" t="str">
        <x:f>IF(A374="","",--(COUNTIFS($A$2:A374,A374,$F$2:F374,F374)=1))</x:f>
      </x:c>
    </x:row>
    <x:row r="375">
      <x:c r="A375" s="18"/>
      <x:c r="O375" s="15" t="str">
        <x:f>IF(A375="","",--(COUNTIF($A$2:A375,A375)=1))</x:f>
      </x:c>
      <x:c r="P375" s="15" t="str">
        <x:f>IF(A375="","",--(COUNTIFS($A$2:A375,A375,$F$2:F375,F375)=1))</x:f>
      </x:c>
    </x:row>
    <x:row r="376">
      <x:c r="A376" s="18"/>
      <x:c r="O376" s="15" t="str">
        <x:f>IF(A376="","",--(COUNTIF($A$2:A376,A376)=1))</x:f>
      </x:c>
      <x:c r="P376" s="15" t="str">
        <x:f>IF(A376="","",--(COUNTIFS($A$2:A376,A376,$F$2:F376,F376)=1))</x:f>
      </x:c>
    </x:row>
    <x:row r="377">
      <x:c r="A377" s="18"/>
      <x:c r="O377" s="15" t="str">
        <x:f>IF(A377="","",--(COUNTIF($A$2:A377,A377)=1))</x:f>
      </x:c>
      <x:c r="P377" s="15" t="str">
        <x:f>IF(A377="","",--(COUNTIFS($A$2:A377,A377,$F$2:F377,F377)=1))</x:f>
      </x:c>
    </x:row>
    <x:row r="378">
      <x:c r="A378" s="18"/>
      <x:c r="O378" s="15" t="str">
        <x:f>IF(A378="","",--(COUNTIF($A$2:A378,A378)=1))</x:f>
      </x:c>
      <x:c r="P378" s="15" t="str">
        <x:f>IF(A378="","",--(COUNTIFS($A$2:A378,A378,$F$2:F378,F378)=1))</x:f>
      </x:c>
    </x:row>
    <x:row r="379">
      <x:c r="A379" s="18"/>
      <x:c r="O379" s="15" t="str">
        <x:f>IF(A379="","",--(COUNTIF($A$2:A379,A379)=1))</x:f>
      </x:c>
      <x:c r="P379" s="15" t="str">
        <x:f>IF(A379="","",--(COUNTIFS($A$2:A379,A379,$F$2:F379,F379)=1))</x:f>
      </x:c>
    </x:row>
    <x:row r="380">
      <x:c r="A380" s="18"/>
      <x:c r="O380" s="15" t="str">
        <x:f>IF(A380="","",--(COUNTIF($A$2:A380,A380)=1))</x:f>
      </x:c>
      <x:c r="P380" s="15" t="str">
        <x:f>IF(A380="","",--(COUNTIFS($A$2:A380,A380,$F$2:F380,F380)=1))</x:f>
      </x:c>
    </x:row>
    <x:row r="381">
      <x:c r="A381" s="18"/>
      <x:c r="O381" s="15" t="str">
        <x:f>IF(A381="","",--(COUNTIF($A$2:A381,A381)=1))</x:f>
      </x:c>
      <x:c r="P381" s="15" t="str">
        <x:f>IF(A381="","",--(COUNTIFS($A$2:A381,A381,$F$2:F381,F381)=1))</x:f>
      </x:c>
    </x:row>
    <x:row r="382">
      <x:c r="A382" s="18"/>
      <x:c r="O382" s="15" t="str">
        <x:f>IF(A382="","",--(COUNTIF($A$2:A382,A382)=1))</x:f>
      </x:c>
      <x:c r="P382" s="15" t="str">
        <x:f>IF(A382="","",--(COUNTIFS($A$2:A382,A382,$F$2:F382,F382)=1))</x:f>
      </x:c>
    </x:row>
    <x:row r="383">
      <x:c r="A383" s="18"/>
      <x:c r="O383" s="15" t="str">
        <x:f>IF(A383="","",--(COUNTIF($A$2:A383,A383)=1))</x:f>
      </x:c>
      <x:c r="P383" s="15" t="str">
        <x:f>IF(A383="","",--(COUNTIFS($A$2:A383,A383,$F$2:F383,F383)=1))</x:f>
      </x:c>
    </x:row>
    <x:row r="384">
      <x:c r="A384" s="18"/>
      <x:c r="O384" s="15" t="str">
        <x:f>IF(A384="","",--(COUNTIF($A$2:A384,A384)=1))</x:f>
      </x:c>
      <x:c r="P384" s="15" t="str">
        <x:f>IF(A384="","",--(COUNTIFS($A$2:A384,A384,$F$2:F384,F384)=1))</x:f>
      </x:c>
    </x:row>
    <x:row r="385">
      <x:c r="A385" s="18"/>
      <x:c r="O385" s="15" t="str">
        <x:f>IF(A385="","",--(COUNTIF($A$2:A385,A385)=1))</x:f>
      </x:c>
      <x:c r="P385" s="15" t="str">
        <x:f>IF(A385="","",--(COUNTIFS($A$2:A385,A385,$F$2:F385,F385)=1))</x:f>
      </x:c>
    </x:row>
    <x:row r="386">
      <x:c r="A386" s="18"/>
      <x:c r="O386" s="15" t="str">
        <x:f>IF(A386="","",--(COUNTIF($A$2:A386,A386)=1))</x:f>
      </x:c>
      <x:c r="P386" s="15" t="str">
        <x:f>IF(A386="","",--(COUNTIFS($A$2:A386,A386,$F$2:F386,F386)=1))</x:f>
      </x:c>
    </x:row>
    <x:row r="387">
      <x:c r="A387" s="18"/>
      <x:c r="O387" s="15" t="str">
        <x:f>IF(A387="","",--(COUNTIF($A$2:A387,A387)=1))</x:f>
      </x:c>
      <x:c r="P387" s="15" t="str">
        <x:f>IF(A387="","",--(COUNTIFS($A$2:A387,A387,$F$2:F387,F387)=1))</x:f>
      </x:c>
    </x:row>
    <x:row r="388">
      <x:c r="A388" s="18"/>
      <x:c r="O388" s="15" t="str">
        <x:f>IF(A388="","",--(COUNTIF($A$2:A388,A388)=1))</x:f>
      </x:c>
      <x:c r="P388" s="15" t="str">
        <x:f>IF(A388="","",--(COUNTIFS($A$2:A388,A388,$F$2:F388,F388)=1))</x:f>
      </x:c>
    </x:row>
    <x:row r="389">
      <x:c r="A389" s="18"/>
      <x:c r="O389" s="15" t="str">
        <x:f>IF(A389="","",--(COUNTIF($A$2:A389,A389)=1))</x:f>
      </x:c>
      <x:c r="P389" s="15" t="str">
        <x:f>IF(A389="","",--(COUNTIFS($A$2:A389,A389,$F$2:F389,F389)=1))</x:f>
      </x:c>
    </x:row>
    <x:row r="390">
      <x:c r="A390" s="18"/>
      <x:c r="O390" s="15" t="str">
        <x:f>IF(A390="","",--(COUNTIF($A$2:A390,A390)=1))</x:f>
      </x:c>
      <x:c r="P390" s="15" t="str">
        <x:f>IF(A390="","",--(COUNTIFS($A$2:A390,A390,$F$2:F390,F390)=1))</x:f>
      </x:c>
    </x:row>
    <x:row r="391">
      <x:c r="A391" s="18"/>
      <x:c r="O391" s="15" t="str">
        <x:f>IF(A391="","",--(COUNTIF($A$2:A391,A391)=1))</x:f>
      </x:c>
      <x:c r="P391" s="15" t="str">
        <x:f>IF(A391="","",--(COUNTIFS($A$2:A391,A391,$F$2:F391,F391)=1))</x:f>
      </x:c>
    </x:row>
    <x:row r="392">
      <x:c r="A392" s="18"/>
      <x:c r="O392" s="15" t="str">
        <x:f>IF(A392="","",--(COUNTIF($A$2:A392,A392)=1))</x:f>
      </x:c>
      <x:c r="P392" s="15" t="str">
        <x:f>IF(A392="","",--(COUNTIFS($A$2:A392,A392,$F$2:F392,F392)=1))</x:f>
      </x:c>
    </x:row>
    <x:row r="393">
      <x:c r="A393" s="18"/>
      <x:c r="O393" s="15" t="str">
        <x:f>IF(A393="","",--(COUNTIF($A$2:A393,A393)=1))</x:f>
      </x:c>
      <x:c r="P393" s="15" t="str">
        <x:f>IF(A393="","",--(COUNTIFS($A$2:A393,A393,$F$2:F393,F393)=1))</x:f>
      </x:c>
    </x:row>
    <x:row r="394">
      <x:c r="A394" s="18"/>
      <x:c r="O394" s="15" t="str">
        <x:f>IF(A394="","",--(COUNTIF($A$2:A394,A394)=1))</x:f>
      </x:c>
      <x:c r="P394" s="15" t="str">
        <x:f>IF(A394="","",--(COUNTIFS($A$2:A394,A394,$F$2:F394,F394)=1))</x:f>
      </x:c>
    </x:row>
    <x:row r="395">
      <x:c r="A395" s="18"/>
      <x:c r="O395" s="15" t="str">
        <x:f>IF(A395="","",--(COUNTIF($A$2:A395,A395)=1))</x:f>
      </x:c>
      <x:c r="P395" s="15" t="str">
        <x:f>IF(A395="","",--(COUNTIFS($A$2:A395,A395,$F$2:F395,F395)=1))</x:f>
      </x:c>
    </x:row>
    <x:row r="396">
      <x:c r="A396" s="18"/>
      <x:c r="O396" s="15" t="str">
        <x:f>IF(A396="","",--(COUNTIF($A$2:A396,A396)=1))</x:f>
      </x:c>
      <x:c r="P396" s="15" t="str">
        <x:f>IF(A396="","",--(COUNTIFS($A$2:A396,A396,$F$2:F396,F396)=1))</x:f>
      </x:c>
    </x:row>
    <x:row r="397">
      <x:c r="A397" s="18"/>
      <x:c r="O397" s="15" t="str">
        <x:f>IF(A397="","",--(COUNTIF($A$2:A397,A397)=1))</x:f>
      </x:c>
      <x:c r="P397" s="15" t="str">
        <x:f>IF(A397="","",--(COUNTIFS($A$2:A397,A397,$F$2:F397,F397)=1))</x:f>
      </x:c>
    </x:row>
    <x:row r="398">
      <x:c r="A398" s="18"/>
      <x:c r="O398" s="15" t="str">
        <x:f>IF(A398="","",--(COUNTIF($A$2:A398,A398)=1))</x:f>
      </x:c>
      <x:c r="P398" s="15" t="str">
        <x:f>IF(A398="","",--(COUNTIFS($A$2:A398,A398,$F$2:F398,F398)=1))</x:f>
      </x:c>
    </x:row>
    <x:row r="399">
      <x:c r="A399" s="18"/>
      <x:c r="O399" s="15" t="str">
        <x:f>IF(A399="","",--(COUNTIF($A$2:A399,A399)=1))</x:f>
      </x:c>
      <x:c r="P399" s="15" t="str">
        <x:f>IF(A399="","",--(COUNTIFS($A$2:A399,A399,$F$2:F399,F399)=1))</x:f>
      </x:c>
    </x:row>
    <x:row r="400">
      <x:c r="A400" s="18"/>
      <x:c r="O400" s="15" t="str">
        <x:f>IF(A400="","",--(COUNTIF($A$2:A400,A400)=1))</x:f>
      </x:c>
      <x:c r="P400" s="15" t="str">
        <x:f>IF(A400="","",--(COUNTIFS($A$2:A400,A400,$F$2:F400,F400)=1))</x:f>
      </x:c>
    </x:row>
    <x:row r="401">
      <x:c r="A401" s="18"/>
      <x:c r="O401" s="15" t="str">
        <x:f>IF(A401="","",--(COUNTIF($A$2:A401,A401)=1))</x:f>
      </x:c>
      <x:c r="P401" s="15" t="str">
        <x:f>IF(A401="","",--(COUNTIFS($A$2:A401,A401,$F$2:F401,F401)=1))</x:f>
      </x:c>
    </x:row>
    <x:row r="402">
      <x:c r="A402" s="18"/>
      <x:c r="O402" s="15" t="str">
        <x:f>IF(A402="","",--(COUNTIF($A$2:A402,A402)=1))</x:f>
      </x:c>
      <x:c r="P402" s="15" t="str">
        <x:f>IF(A402="","",--(COUNTIFS($A$2:A402,A402,$F$2:F402,F402)=1))</x:f>
      </x:c>
    </x:row>
    <x:row r="403">
      <x:c r="A403" s="18"/>
      <x:c r="O403" s="15" t="str">
        <x:f>IF(A403="","",--(COUNTIF($A$2:A403,A403)=1))</x:f>
      </x:c>
      <x:c r="P403" s="15" t="str">
        <x:f>IF(A403="","",--(COUNTIFS($A$2:A403,A403,$F$2:F403,F403)=1))</x:f>
      </x:c>
    </x:row>
    <x:row r="404">
      <x:c r="A404" s="18"/>
      <x:c r="O404" s="15" t="str">
        <x:f>IF(A404="","",--(COUNTIF($A$2:A404,A404)=1))</x:f>
      </x:c>
      <x:c r="P404" s="15" t="str">
        <x:f>IF(A404="","",--(COUNTIFS($A$2:A404,A404,$F$2:F404,F404)=1))</x:f>
      </x:c>
    </x:row>
    <x:row r="405">
      <x:c r="A405" s="18"/>
      <x:c r="O405" s="15" t="str">
        <x:f>IF(A405="","",--(COUNTIF($A$2:A405,A405)=1))</x:f>
      </x:c>
      <x:c r="P405" s="15" t="str">
        <x:f>IF(A405="","",--(COUNTIFS($A$2:A405,A405,$F$2:F405,F405)=1))</x:f>
      </x:c>
    </x:row>
    <x:row r="406">
      <x:c r="A406" s="18"/>
      <x:c r="O406" s="15" t="str">
        <x:f>IF(A406="","",--(COUNTIF($A$2:A406,A406)=1))</x:f>
      </x:c>
      <x:c r="P406" s="15" t="str">
        <x:f>IF(A406="","",--(COUNTIFS($A$2:A406,A406,$F$2:F406,F406)=1))</x:f>
      </x:c>
    </x:row>
    <x:row r="407">
      <x:c r="A407" s="18"/>
      <x:c r="O407" s="15" t="str">
        <x:f>IF(A407="","",--(COUNTIF($A$2:A407,A407)=1))</x:f>
      </x:c>
      <x:c r="P407" s="15" t="str">
        <x:f>IF(A407="","",--(COUNTIFS($A$2:A407,A407,$F$2:F407,F407)=1))</x:f>
      </x:c>
    </x:row>
    <x:row r="408">
      <x:c r="A408" s="18"/>
      <x:c r="O408" s="15" t="str">
        <x:f>IF(A408="","",--(COUNTIF($A$2:A408,A408)=1))</x:f>
      </x:c>
      <x:c r="P408" s="15" t="str">
        <x:f>IF(A408="","",--(COUNTIFS($A$2:A408,A408,$F$2:F408,F408)=1))</x:f>
      </x:c>
    </x:row>
    <x:row r="409">
      <x:c r="A409" s="18"/>
      <x:c r="O409" s="15" t="str">
        <x:f>IF(A409="","",--(COUNTIF($A$2:A409,A409)=1))</x:f>
      </x:c>
      <x:c r="P409" s="15" t="str">
        <x:f>IF(A409="","",--(COUNTIFS($A$2:A409,A409,$F$2:F409,F409)=1))</x:f>
      </x:c>
    </x:row>
    <x:row r="410">
      <x:c r="A410" s="18"/>
      <x:c r="O410" s="15" t="str">
        <x:f>IF(A410="","",--(COUNTIF($A$2:A410,A410)=1))</x:f>
      </x:c>
      <x:c r="P410" s="15" t="str">
        <x:f>IF(A410="","",--(COUNTIFS($A$2:A410,A410,$F$2:F410,F410)=1))</x:f>
      </x:c>
    </x:row>
    <x:row r="411">
      <x:c r="A411" s="18"/>
      <x:c r="O411" s="15" t="str">
        <x:f>IF(A411="","",--(COUNTIF($A$2:A411,A411)=1))</x:f>
      </x:c>
      <x:c r="P411" s="15" t="str">
        <x:f>IF(A411="","",--(COUNTIFS($A$2:A411,A411,$F$2:F411,F411)=1))</x:f>
      </x:c>
    </x:row>
    <x:row r="412">
      <x:c r="A412" s="18"/>
      <x:c r="O412" s="15" t="str">
        <x:f>IF(A412="","",--(COUNTIF($A$2:A412,A412)=1))</x:f>
      </x:c>
      <x:c r="P412" s="15" t="str">
        <x:f>IF(A412="","",--(COUNTIFS($A$2:A412,A412,$F$2:F412,F412)=1))</x:f>
      </x:c>
    </x:row>
    <x:row r="413">
      <x:c r="A413" s="18"/>
      <x:c r="O413" s="15" t="str">
        <x:f>IF(A413="","",--(COUNTIF($A$2:A413,A413)=1))</x:f>
      </x:c>
      <x:c r="P413" s="15" t="str">
        <x:f>IF(A413="","",--(COUNTIFS($A$2:A413,A413,$F$2:F413,F413)=1))</x:f>
      </x:c>
    </x:row>
    <x:row r="414">
      <x:c r="A414" s="18"/>
      <x:c r="O414" s="15" t="str">
        <x:f>IF(A414="","",--(COUNTIF($A$2:A414,A414)=1))</x:f>
      </x:c>
      <x:c r="P414" s="15" t="str">
        <x:f>IF(A414="","",--(COUNTIFS($A$2:A414,A414,$F$2:F414,F414)=1))</x:f>
      </x:c>
    </x:row>
    <x:row r="415">
      <x:c r="A415" s="18"/>
      <x:c r="O415" s="15" t="str">
        <x:f>IF(A415="","",--(COUNTIF($A$2:A415,A415)=1))</x:f>
      </x:c>
      <x:c r="P415" s="15" t="str">
        <x:f>IF(A415="","",--(COUNTIFS($A$2:A415,A415,$F$2:F415,F415)=1))</x:f>
      </x:c>
    </x:row>
    <x:row r="416">
      <x:c r="A416" s="18"/>
      <x:c r="O416" s="15" t="str">
        <x:f>IF(A416="","",--(COUNTIF($A$2:A416,A416)=1))</x:f>
      </x:c>
      <x:c r="P416" s="15" t="str">
        <x:f>IF(A416="","",--(COUNTIFS($A$2:A416,A416,$F$2:F416,F416)=1))</x:f>
      </x:c>
    </x:row>
    <x:row r="417">
      <x:c r="A417" s="18"/>
      <x:c r="O417" s="15" t="str">
        <x:f>IF(A417="","",--(COUNTIF($A$2:A417,A417)=1))</x:f>
      </x:c>
      <x:c r="P417" s="15" t="str">
        <x:f>IF(A417="","",--(COUNTIFS($A$2:A417,A417,$F$2:F417,F417)=1))</x:f>
      </x:c>
    </x:row>
    <x:row r="418">
      <x:c r="A418" s="18"/>
      <x:c r="O418" s="15" t="str">
        <x:f>IF(A418="","",--(COUNTIF($A$2:A418,A418)=1))</x:f>
      </x:c>
      <x:c r="P418" s="15" t="str">
        <x:f>IF(A418="","",--(COUNTIFS($A$2:A418,A418,$F$2:F418,F418)=1))</x:f>
      </x:c>
    </x:row>
    <x:row r="419">
      <x:c r="A419" s="18"/>
      <x:c r="O419" s="15" t="str">
        <x:f>IF(A419="","",--(COUNTIF($A$2:A419,A419)=1))</x:f>
      </x:c>
      <x:c r="P419" s="15" t="str">
        <x:f>IF(A419="","",--(COUNTIFS($A$2:A419,A419,$F$2:F419,F419)=1))</x:f>
      </x:c>
    </x:row>
    <x:row r="420">
      <x:c r="A420" s="18"/>
      <x:c r="O420" s="15" t="str">
        <x:f>IF(A420="","",--(COUNTIF($A$2:A420,A420)=1))</x:f>
      </x:c>
      <x:c r="P420" s="15" t="str">
        <x:f>IF(A420="","",--(COUNTIFS($A$2:A420,A420,$F$2:F420,F420)=1))</x:f>
      </x:c>
    </x:row>
    <x:row r="421">
      <x:c r="A421" s="18"/>
      <x:c r="O421" s="15" t="str">
        <x:f>IF(A421="","",--(COUNTIF($A$2:A421,A421)=1))</x:f>
      </x:c>
      <x:c r="P421" s="15" t="str">
        <x:f>IF(A421="","",--(COUNTIFS($A$2:A421,A421,$F$2:F421,F421)=1))</x:f>
      </x:c>
    </x:row>
    <x:row r="422">
      <x:c r="A422" s="18"/>
      <x:c r="O422" s="15" t="str">
        <x:f>IF(A422="","",--(COUNTIF($A$2:A422,A422)=1))</x:f>
      </x:c>
      <x:c r="P422" s="15" t="str">
        <x:f>IF(A422="","",--(COUNTIFS($A$2:A422,A422,$F$2:F422,F422)=1))</x:f>
      </x:c>
    </x:row>
    <x:row r="423">
      <x:c r="A423" s="18"/>
      <x:c r="O423" s="15" t="str">
        <x:f>IF(A423="","",--(COUNTIF($A$2:A423,A423)=1))</x:f>
      </x:c>
      <x:c r="P423" s="15" t="str">
        <x:f>IF(A423="","",--(COUNTIFS($A$2:A423,A423,$F$2:F423,F423)=1))</x:f>
      </x:c>
    </x:row>
    <x:row r="424">
      <x:c r="A424" s="18"/>
      <x:c r="O424" s="15" t="str">
        <x:f>IF(A424="","",--(COUNTIF($A$2:A424,A424)=1))</x:f>
      </x:c>
      <x:c r="P424" s="15" t="str">
        <x:f>IF(A424="","",--(COUNTIFS($A$2:A424,A424,$F$2:F424,F424)=1))</x:f>
      </x:c>
    </x:row>
    <x:row r="425">
      <x:c r="A425" s="18"/>
      <x:c r="O425" s="15" t="str">
        <x:f>IF(A425="","",--(COUNTIF($A$2:A425,A425)=1))</x:f>
      </x:c>
      <x:c r="P425" s="15" t="str">
        <x:f>IF(A425="","",--(COUNTIFS($A$2:A425,A425,$F$2:F425,F425)=1))</x:f>
      </x:c>
    </x:row>
    <x:row r="426">
      <x:c r="A426" s="18"/>
      <x:c r="O426" s="15" t="str">
        <x:f>IF(A426="","",--(COUNTIF($A$2:A426,A426)=1))</x:f>
      </x:c>
      <x:c r="P426" s="15" t="str">
        <x:f>IF(A426="","",--(COUNTIFS($A$2:A426,A426,$F$2:F426,F426)=1))</x:f>
      </x:c>
    </x:row>
    <x:row r="427">
      <x:c r="A427" s="18"/>
      <x:c r="O427" s="15" t="str">
        <x:f>IF(A427="","",--(COUNTIF($A$2:A427,A427)=1))</x:f>
      </x:c>
      <x:c r="P427" s="15" t="str">
        <x:f>IF(A427="","",--(COUNTIFS($A$2:A427,A427,$F$2:F427,F427)=1))</x:f>
      </x:c>
    </x:row>
    <x:row r="428">
      <x:c r="A428" s="18"/>
      <x:c r="O428" s="15" t="str">
        <x:f>IF(A428="","",--(COUNTIF($A$2:A428,A428)=1))</x:f>
      </x:c>
      <x:c r="P428" s="15" t="str">
        <x:f>IF(A428="","",--(COUNTIFS($A$2:A428,A428,$F$2:F428,F428)=1))</x:f>
      </x:c>
    </x:row>
    <x:row r="429">
      <x:c r="A429" s="18"/>
      <x:c r="O429" s="15" t="str">
        <x:f>IF(A429="","",--(COUNTIF($A$2:A429,A429)=1))</x:f>
      </x:c>
      <x:c r="P429" s="15" t="str">
        <x:f>IF(A429="","",--(COUNTIFS($A$2:A429,A429,$F$2:F429,F429)=1))</x:f>
      </x:c>
    </x:row>
    <x:row r="430">
      <x:c r="A430" s="18"/>
      <x:c r="O430" s="15" t="str">
        <x:f>IF(A430="","",--(COUNTIF($A$2:A430,A430)=1))</x:f>
      </x:c>
      <x:c r="P430" s="15" t="str">
        <x:f>IF(A430="","",--(COUNTIFS($A$2:A430,A430,$F$2:F430,F430)=1))</x:f>
      </x:c>
    </x:row>
    <x:row r="431">
      <x:c r="A431" s="18"/>
      <x:c r="O431" s="15" t="str">
        <x:f>IF(A431="","",--(COUNTIF($A$2:A431,A431)=1))</x:f>
      </x:c>
      <x:c r="P431" s="15" t="str">
        <x:f>IF(A431="","",--(COUNTIFS($A$2:A431,A431,$F$2:F431,F431)=1))</x:f>
      </x:c>
    </x:row>
    <x:row r="432">
      <x:c r="A432" s="18"/>
      <x:c r="O432" s="15" t="str">
        <x:f>IF(A432="","",--(COUNTIF($A$2:A432,A432)=1))</x:f>
      </x:c>
      <x:c r="P432" s="15" t="str">
        <x:f>IF(A432="","",--(COUNTIFS($A$2:A432,A432,$F$2:F432,F432)=1))</x:f>
      </x:c>
    </x:row>
    <x:row r="433">
      <x:c r="A433" s="18"/>
      <x:c r="O433" s="15" t="str">
        <x:f>IF(A433="","",--(COUNTIF($A$2:A433,A433)=1))</x:f>
      </x:c>
      <x:c r="P433" s="15" t="str">
        <x:f>IF(A433="","",--(COUNTIFS($A$2:A433,A433,$F$2:F433,F433)=1))</x:f>
      </x:c>
    </x:row>
    <x:row r="434">
      <x:c r="A434" s="18"/>
      <x:c r="O434" s="15" t="str">
        <x:f>IF(A434="","",--(COUNTIF($A$2:A434,A434)=1))</x:f>
      </x:c>
      <x:c r="P434" s="15" t="str">
        <x:f>IF(A434="","",--(COUNTIFS($A$2:A434,A434,$F$2:F434,F434)=1))</x:f>
      </x:c>
    </x:row>
    <x:row r="435">
      <x:c r="A435" s="18"/>
      <x:c r="O435" s="15" t="str">
        <x:f>IF(A435="","",--(COUNTIF($A$2:A435,A435)=1))</x:f>
      </x:c>
      <x:c r="P435" s="15" t="str">
        <x:f>IF(A435="","",--(COUNTIFS($A$2:A435,A435,$F$2:F435,F435)=1))</x:f>
      </x:c>
    </x:row>
    <x:row r="436">
      <x:c r="A436" s="18"/>
      <x:c r="O436" s="15" t="str">
        <x:f>IF(A436="","",--(COUNTIF($A$2:A436,A436)=1))</x:f>
      </x:c>
      <x:c r="P436" s="15" t="str">
        <x:f>IF(A436="","",--(COUNTIFS($A$2:A436,A436,$F$2:F436,F436)=1))</x:f>
      </x:c>
    </x:row>
    <x:row r="437">
      <x:c r="A437" s="18"/>
      <x:c r="O437" s="15" t="str">
        <x:f>IF(A437="","",--(COUNTIF($A$2:A437,A437)=1))</x:f>
      </x:c>
      <x:c r="P437" s="15" t="str">
        <x:f>IF(A437="","",--(COUNTIFS($A$2:A437,A437,$F$2:F437,F437)=1))</x:f>
      </x:c>
    </x:row>
    <x:row r="438">
      <x:c r="A438" s="18"/>
      <x:c r="O438" s="15" t="str">
        <x:f>IF(A438="","",--(COUNTIF($A$2:A438,A438)=1))</x:f>
      </x:c>
      <x:c r="P438" s="15" t="str">
        <x:f>IF(A438="","",--(COUNTIFS($A$2:A438,A438,$F$2:F438,F438)=1))</x:f>
      </x:c>
    </x:row>
    <x:row r="439">
      <x:c r="A439" s="18"/>
      <x:c r="O439" s="15" t="str">
        <x:f>IF(A439="","",--(COUNTIF($A$2:A439,A439)=1))</x:f>
      </x:c>
      <x:c r="P439" s="15" t="str">
        <x:f>IF(A439="","",--(COUNTIFS($A$2:A439,A439,$F$2:F439,F439)=1))</x:f>
      </x:c>
    </x:row>
    <x:row r="440">
      <x:c r="A440" s="18"/>
      <x:c r="O440" s="15" t="str">
        <x:f>IF(A440="","",--(COUNTIF($A$2:A440,A440)=1))</x:f>
      </x:c>
      <x:c r="P440" s="15" t="str">
        <x:f>IF(A440="","",--(COUNTIFS($A$2:A440,A440,$F$2:F440,F440)=1))</x:f>
      </x:c>
    </x:row>
    <x:row r="441">
      <x:c r="A441" s="18"/>
      <x:c r="O441" s="15" t="str">
        <x:f>IF(A441="","",--(COUNTIF($A$2:A441,A441)=1))</x:f>
      </x:c>
      <x:c r="P441" s="15" t="str">
        <x:f>IF(A441="","",--(COUNTIFS($A$2:A441,A441,$F$2:F441,F441)=1))</x:f>
      </x:c>
    </x:row>
    <x:row r="442">
      <x:c r="A442" s="18"/>
      <x:c r="O442" s="15" t="str">
        <x:f>IF(A442="","",--(COUNTIF($A$2:A442,A442)=1))</x:f>
      </x:c>
      <x:c r="P442" s="15" t="str">
        <x:f>IF(A442="","",--(COUNTIFS($A$2:A442,A442,$F$2:F442,F442)=1))</x:f>
      </x:c>
    </x:row>
    <x:row r="443">
      <x:c r="A443" s="18"/>
      <x:c r="O443" s="15" t="str">
        <x:f>IF(A443="","",--(COUNTIF($A$2:A443,A443)=1))</x:f>
      </x:c>
      <x:c r="P443" s="15" t="str">
        <x:f>IF(A443="","",--(COUNTIFS($A$2:A443,A443,$F$2:F443,F443)=1))</x:f>
      </x:c>
    </x:row>
    <x:row r="444">
      <x:c r="A444" s="18"/>
      <x:c r="O444" s="15" t="str">
        <x:f>IF(A444="","",--(COUNTIF($A$2:A444,A444)=1))</x:f>
      </x:c>
      <x:c r="P444" s="15" t="str">
        <x:f>IF(A444="","",--(COUNTIFS($A$2:A444,A444,$F$2:F444,F444)=1))</x:f>
      </x:c>
    </x:row>
    <x:row r="445">
      <x:c r="A445" s="18"/>
      <x:c r="O445" s="15" t="str">
        <x:f>IF(A445="","",--(COUNTIF($A$2:A445,A445)=1))</x:f>
      </x:c>
      <x:c r="P445" s="15" t="str">
        <x:f>IF(A445="","",--(COUNTIFS($A$2:A445,A445,$F$2:F445,F445)=1))</x:f>
      </x:c>
    </x:row>
    <x:row r="446">
      <x:c r="A446" s="18"/>
      <x:c r="O446" s="15" t="str">
        <x:f>IF(A446="","",--(COUNTIF($A$2:A446,A446)=1))</x:f>
      </x:c>
      <x:c r="P446" s="15" t="str">
        <x:f>IF(A446="","",--(COUNTIFS($A$2:A446,A446,$F$2:F446,F446)=1))</x:f>
      </x:c>
    </x:row>
    <x:row r="447">
      <x:c r="A447" s="18"/>
      <x:c r="O447" s="15" t="str">
        <x:f>IF(A447="","",--(COUNTIF($A$2:A447,A447)=1))</x:f>
      </x:c>
      <x:c r="P447" s="15" t="str">
        <x:f>IF(A447="","",--(COUNTIFS($A$2:A447,A447,$F$2:F447,F447)=1))</x:f>
      </x:c>
    </x:row>
    <x:row r="448">
      <x:c r="A448" s="18"/>
      <x:c r="O448" s="15" t="str">
        <x:f>IF(A448="","",--(COUNTIF($A$2:A448,A448)=1))</x:f>
      </x:c>
      <x:c r="P448" s="15" t="str">
        <x:f>IF(A448="","",--(COUNTIFS($A$2:A448,A448,$F$2:F448,F448)=1))</x:f>
      </x:c>
    </x:row>
    <x:row r="449">
      <x:c r="A449" s="18"/>
      <x:c r="O449" s="15" t="str">
        <x:f>IF(A449="","",--(COUNTIF($A$2:A449,A449)=1))</x:f>
      </x:c>
      <x:c r="P449" s="15" t="str">
        <x:f>IF(A449="","",--(COUNTIFS($A$2:A449,A449,$F$2:F449,F449)=1))</x:f>
      </x:c>
    </x:row>
    <x:row r="450">
      <x:c r="A450" s="18"/>
      <x:c r="O450" s="15" t="str">
        <x:f>IF(A450="","",--(COUNTIF($A$2:A450,A450)=1))</x:f>
      </x:c>
      <x:c r="P450" s="15" t="str">
        <x:f>IF(A450="","",--(COUNTIFS($A$2:A450,A450,$F$2:F450,F450)=1))</x:f>
      </x:c>
    </x:row>
    <x:row r="451">
      <x:c r="A451" s="18"/>
      <x:c r="O451" s="15" t="str">
        <x:f>IF(A451="","",--(COUNTIF($A$2:A451,A451)=1))</x:f>
      </x:c>
      <x:c r="P451" s="15" t="str">
        <x:f>IF(A451="","",--(COUNTIFS($A$2:A451,A451,$F$2:F451,F451)=1))</x:f>
      </x:c>
    </x:row>
    <x:row r="452">
      <x:c r="A452" s="18"/>
      <x:c r="O452" s="15" t="str">
        <x:f>IF(A452="","",--(COUNTIF($A$2:A452,A452)=1))</x:f>
      </x:c>
      <x:c r="P452" s="15" t="str">
        <x:f>IF(A452="","",--(COUNTIFS($A$2:A452,A452,$F$2:F452,F452)=1))</x:f>
      </x:c>
    </x:row>
    <x:row r="453">
      <x:c r="A453" s="18"/>
      <x:c r="O453" s="15" t="str">
        <x:f>IF(A453="","",--(COUNTIF($A$2:A453,A453)=1))</x:f>
      </x:c>
      <x:c r="P453" s="15" t="str">
        <x:f>IF(A453="","",--(COUNTIFS($A$2:A453,A453,$F$2:F453,F453)=1))</x:f>
      </x:c>
    </x:row>
    <x:row r="454">
      <x:c r="A454" s="18"/>
      <x:c r="O454" s="15" t="str">
        <x:f>IF(A454="","",--(COUNTIF($A$2:A454,A454)=1))</x:f>
      </x:c>
      <x:c r="P454" s="15" t="str">
        <x:f>IF(A454="","",--(COUNTIFS($A$2:A454,A454,$F$2:F454,F454)=1))</x:f>
      </x:c>
    </x:row>
    <x:row r="455">
      <x:c r="A455" s="18"/>
      <x:c r="O455" s="15" t="str">
        <x:f>IF(A455="","",--(COUNTIF($A$2:A455,A455)=1))</x:f>
      </x:c>
      <x:c r="P455" s="15" t="str">
        <x:f>IF(A455="","",--(COUNTIFS($A$2:A455,A455,$F$2:F455,F455)=1))</x:f>
      </x:c>
    </x:row>
    <x:row r="456">
      <x:c r="A456" s="18"/>
      <x:c r="O456" s="15" t="str">
        <x:f>IF(A456="","",--(COUNTIF($A$2:A456,A456)=1))</x:f>
      </x:c>
      <x:c r="P456" s="15" t="str">
        <x:f>IF(A456="","",--(COUNTIFS($A$2:A456,A456,$F$2:F456,F456)=1))</x:f>
      </x:c>
    </x:row>
    <x:row r="457">
      <x:c r="A457" s="18"/>
      <x:c r="O457" s="15" t="str">
        <x:f>IF(A457="","",--(COUNTIF($A$2:A457,A457)=1))</x:f>
      </x:c>
      <x:c r="P457" s="15" t="str">
        <x:f>IF(A457="","",--(COUNTIFS($A$2:A457,A457,$F$2:F457,F457)=1))</x:f>
      </x:c>
    </x:row>
    <x:row r="458">
      <x:c r="A458" s="18"/>
      <x:c r="O458" s="15" t="str">
        <x:f>IF(A458="","",--(COUNTIF($A$2:A458,A458)=1))</x:f>
      </x:c>
      <x:c r="P458" s="15" t="str">
        <x:f>IF(A458="","",--(COUNTIFS($A$2:A458,A458,$F$2:F458,F458)=1))</x:f>
      </x:c>
    </x:row>
    <x:row r="459">
      <x:c r="A459" s="18"/>
      <x:c r="O459" s="15" t="str">
        <x:f>IF(A459="","",--(COUNTIF($A$2:A459,A459)=1))</x:f>
      </x:c>
      <x:c r="P459" s="15" t="str">
        <x:f>IF(A459="","",--(COUNTIFS($A$2:A459,A459,$F$2:F459,F459)=1))</x:f>
      </x:c>
    </x:row>
    <x:row r="460">
      <x:c r="A460" s="18"/>
      <x:c r="O460" s="15" t="str">
        <x:f>IF(A460="","",--(COUNTIF($A$2:A460,A460)=1))</x:f>
      </x:c>
      <x:c r="P460" s="15" t="str">
        <x:f>IF(A460="","",--(COUNTIFS($A$2:A460,A460,$F$2:F460,F460)=1))</x:f>
      </x:c>
    </x:row>
    <x:row r="461">
      <x:c r="A461" s="18"/>
      <x:c r="O461" s="15" t="str">
        <x:f>IF(A461="","",--(COUNTIF($A$2:A461,A461)=1))</x:f>
      </x:c>
      <x:c r="P461" s="15" t="str">
        <x:f>IF(A461="","",--(COUNTIFS($A$2:A461,A461,$F$2:F461,F461)=1))</x:f>
      </x:c>
    </x:row>
    <x:row r="462">
      <x:c r="A462" s="18"/>
      <x:c r="O462" s="15" t="str">
        <x:f>IF(A462="","",--(COUNTIF($A$2:A462,A462)=1))</x:f>
      </x:c>
      <x:c r="P462" s="15" t="str">
        <x:f>IF(A462="","",--(COUNTIFS($A$2:A462,A462,$F$2:F462,F462)=1))</x:f>
      </x:c>
    </x:row>
    <x:row r="463">
      <x:c r="A463" s="18"/>
      <x:c r="O463" s="15" t="str">
        <x:f>IF(A463="","",--(COUNTIF($A$2:A463,A463)=1))</x:f>
      </x:c>
      <x:c r="P463" s="15" t="str">
        <x:f>IF(A463="","",--(COUNTIFS($A$2:A463,A463,$F$2:F463,F463)=1))</x:f>
      </x:c>
    </x:row>
    <x:row r="464">
      <x:c r="A464" s="18"/>
      <x:c r="O464" s="15" t="str">
        <x:f>IF(A464="","",--(COUNTIF($A$2:A464,A464)=1))</x:f>
      </x:c>
      <x:c r="P464" s="15" t="str">
        <x:f>IF(A464="","",--(COUNTIFS($A$2:A464,A464,$F$2:F464,F464)=1))</x:f>
      </x:c>
    </x:row>
    <x:row r="465">
      <x:c r="A465" s="18"/>
      <x:c r="O465" s="15" t="str">
        <x:f>IF(A465="","",--(COUNTIF($A$2:A465,A465)=1))</x:f>
      </x:c>
      <x:c r="P465" s="15" t="str">
        <x:f>IF(A465="","",--(COUNTIFS($A$2:A465,A465,$F$2:F465,F465)=1))</x:f>
      </x:c>
    </x:row>
    <x:row r="466">
      <x:c r="A466" s="18"/>
      <x:c r="O466" s="15" t="str">
        <x:f>IF(A466="","",--(COUNTIF($A$2:A466,A466)=1))</x:f>
      </x:c>
      <x:c r="P466" s="15" t="str">
        <x:f>IF(A466="","",--(COUNTIFS($A$2:A466,A466,$F$2:F466,F466)=1))</x:f>
      </x:c>
    </x:row>
    <x:row r="467">
      <x:c r="A467" s="18"/>
      <x:c r="O467" s="15" t="str">
        <x:f>IF(A467="","",--(COUNTIF($A$2:A467,A467)=1))</x:f>
      </x:c>
      <x:c r="P467" s="15" t="str">
        <x:f>IF(A467="","",--(COUNTIFS($A$2:A467,A467,$F$2:F467,F467)=1))</x:f>
      </x:c>
    </x:row>
    <x:row r="468">
      <x:c r="A468" s="18"/>
      <x:c r="O468" s="15" t="str">
        <x:f>IF(A468="","",--(COUNTIF($A$2:A468,A468)=1))</x:f>
      </x:c>
      <x:c r="P468" s="15" t="str">
        <x:f>IF(A468="","",--(COUNTIFS($A$2:A468,A468,$F$2:F468,F468)=1))</x:f>
      </x:c>
    </x:row>
    <x:row r="469">
      <x:c r="A469" s="18"/>
      <x:c r="O469" s="15" t="str">
        <x:f>IF(A469="","",--(COUNTIF($A$2:A469,A469)=1))</x:f>
      </x:c>
      <x:c r="P469" s="15" t="str">
        <x:f>IF(A469="","",--(COUNTIFS($A$2:A469,A469,$F$2:F469,F469)=1))</x:f>
      </x:c>
    </x:row>
    <x:row r="470">
      <x:c r="A470" s="18"/>
      <x:c r="O470" s="15" t="str">
        <x:f>IF(A470="","",--(COUNTIF($A$2:A470,A470)=1))</x:f>
      </x:c>
      <x:c r="P470" s="15" t="str">
        <x:f>IF(A470="","",--(COUNTIFS($A$2:A470,A470,$F$2:F470,F470)=1))</x:f>
      </x:c>
    </x:row>
    <x:row r="471">
      <x:c r="A471" s="18"/>
      <x:c r="O471" s="15" t="str">
        <x:f>IF(A471="","",--(COUNTIF($A$2:A471,A471)=1))</x:f>
      </x:c>
      <x:c r="P471" s="15" t="str">
        <x:f>IF(A471="","",--(COUNTIFS($A$2:A471,A471,$F$2:F471,F471)=1))</x:f>
      </x:c>
    </x:row>
    <x:row r="472">
      <x:c r="A472" s="18"/>
      <x:c r="O472" s="15" t="str">
        <x:f>IF(A472="","",--(COUNTIF($A$2:A472,A472)=1))</x:f>
      </x:c>
      <x:c r="P472" s="15" t="str">
        <x:f>IF(A472="","",--(COUNTIFS($A$2:A472,A472,$F$2:F472,F472)=1))</x:f>
      </x:c>
    </x:row>
    <x:row r="473">
      <x:c r="A473" s="18"/>
      <x:c r="O473" s="15" t="str">
        <x:f>IF(A473="","",--(COUNTIF($A$2:A473,A473)=1))</x:f>
      </x:c>
      <x:c r="P473" s="15" t="str">
        <x:f>IF(A473="","",--(COUNTIFS($A$2:A473,A473,$F$2:F473,F473)=1))</x:f>
      </x:c>
    </x:row>
    <x:row r="474">
      <x:c r="A474" s="18"/>
      <x:c r="O474" s="15" t="str">
        <x:f>IF(A474="","",--(COUNTIF($A$2:A474,A474)=1))</x:f>
      </x:c>
      <x:c r="P474" s="15" t="str">
        <x:f>IF(A474="","",--(COUNTIFS($A$2:A474,A474,$F$2:F474,F474)=1))</x:f>
      </x:c>
    </x:row>
    <x:row r="475">
      <x:c r="A475" s="18"/>
      <x:c r="O475" s="15" t="str">
        <x:f>IF(A475="","",--(COUNTIF($A$2:A475,A475)=1))</x:f>
      </x:c>
      <x:c r="P475" s="15" t="str">
        <x:f>IF(A475="","",--(COUNTIFS($A$2:A475,A475,$F$2:F475,F475)=1))</x:f>
      </x:c>
    </x:row>
    <x:row r="476">
      <x:c r="A476" s="18"/>
      <x:c r="O476" s="15" t="str">
        <x:f>IF(A476="","",--(COUNTIF($A$2:A476,A476)=1))</x:f>
      </x:c>
      <x:c r="P476" s="15" t="str">
        <x:f>IF(A476="","",--(COUNTIFS($A$2:A476,A476,$F$2:F476,F476)=1))</x:f>
      </x:c>
    </x:row>
    <x:row r="477">
      <x:c r="A477" s="18"/>
      <x:c r="O477" s="15" t="str">
        <x:f>IF(A477="","",--(COUNTIF($A$2:A477,A477)=1))</x:f>
      </x:c>
      <x:c r="P477" s="15" t="str">
        <x:f>IF(A477="","",--(COUNTIFS($A$2:A477,A477,$F$2:F477,F477)=1))</x:f>
      </x:c>
    </x:row>
    <x:row r="478">
      <x:c r="A478" s="18"/>
      <x:c r="O478" s="15" t="str">
        <x:f>IF(A478="","",--(COUNTIF($A$2:A478,A478)=1))</x:f>
      </x:c>
      <x:c r="P478" s="15" t="str">
        <x:f>IF(A478="","",--(COUNTIFS($A$2:A478,A478,$F$2:F478,F478)=1))</x:f>
      </x:c>
    </x:row>
    <x:row r="479">
      <x:c r="A479" s="18"/>
      <x:c r="O479" s="15" t="str">
        <x:f>IF(A479="","",--(COUNTIF($A$2:A479,A479)=1))</x:f>
      </x:c>
      <x:c r="P479" s="15" t="str">
        <x:f>IF(A479="","",--(COUNTIFS($A$2:A479,A479,$F$2:F479,F479)=1))</x:f>
      </x:c>
    </x:row>
    <x:row r="480">
      <x:c r="A480" s="18"/>
      <x:c r="O480" s="15" t="str">
        <x:f>IF(A480="","",--(COUNTIF($A$2:A480,A480)=1))</x:f>
      </x:c>
      <x:c r="P480" s="15" t="str">
        <x:f>IF(A480="","",--(COUNTIFS($A$2:A480,A480,$F$2:F480,F480)=1))</x:f>
      </x:c>
    </x:row>
    <x:row r="481">
      <x:c r="A481" s="18"/>
      <x:c r="O481" s="15" t="str">
        <x:f>IF(A481="","",--(COUNTIF($A$2:A481,A481)=1))</x:f>
      </x:c>
      <x:c r="P481" s="15" t="str">
        <x:f>IF(A481="","",--(COUNTIFS($A$2:A481,A481,$F$2:F481,F481)=1))</x:f>
      </x:c>
    </x:row>
    <x:row r="482">
      <x:c r="A482" s="18"/>
      <x:c r="O482" s="15" t="str">
        <x:f>IF(A482="","",--(COUNTIF($A$2:A482,A482)=1))</x:f>
      </x:c>
      <x:c r="P482" s="15" t="str">
        <x:f>IF(A482="","",--(COUNTIFS($A$2:A482,A482,$F$2:F482,F482)=1))</x:f>
      </x:c>
    </x:row>
    <x:row r="483">
      <x:c r="A483" s="18"/>
      <x:c r="O483" s="15" t="str">
        <x:f>IF(A483="","",--(COUNTIF($A$2:A483,A483)=1))</x:f>
      </x:c>
      <x:c r="P483" s="15" t="str">
        <x:f>IF(A483="","",--(COUNTIFS($A$2:A483,A483,$F$2:F483,F483)=1))</x:f>
      </x:c>
    </x:row>
    <x:row r="484">
      <x:c r="A484" s="18"/>
      <x:c r="O484" s="15" t="str">
        <x:f>IF(A484="","",--(COUNTIF($A$2:A484,A484)=1))</x:f>
      </x:c>
      <x:c r="P484" s="15" t="str">
        <x:f>IF(A484="","",--(COUNTIFS($A$2:A484,A484,$F$2:F484,F484)=1))</x:f>
      </x:c>
    </x:row>
    <x:row r="485">
      <x:c r="A485" s="18"/>
      <x:c r="O485" s="15" t="str">
        <x:f>IF(A485="","",--(COUNTIF($A$2:A485,A485)=1))</x:f>
      </x:c>
      <x:c r="P485" s="15" t="str">
        <x:f>IF(A485="","",--(COUNTIFS($A$2:A485,A485,$F$2:F485,F485)=1))</x:f>
      </x:c>
    </x:row>
    <x:row r="486">
      <x:c r="A486" s="18"/>
      <x:c r="O486" s="15" t="str">
        <x:f>IF(A486="","",--(COUNTIF($A$2:A486,A486)=1))</x:f>
      </x:c>
      <x:c r="P486" s="15" t="str">
        <x:f>IF(A486="","",--(COUNTIFS($A$2:A486,A486,$F$2:F486,F486)=1))</x:f>
      </x:c>
    </x:row>
    <x:row r="487">
      <x:c r="A487" s="18"/>
      <x:c r="O487" s="15" t="str">
        <x:f>IF(A487="","",--(COUNTIF($A$2:A487,A487)=1))</x:f>
      </x:c>
      <x:c r="P487" s="15" t="str">
        <x:f>IF(A487="","",--(COUNTIFS($A$2:A487,A487,$F$2:F487,F487)=1))</x:f>
      </x:c>
    </x:row>
    <x:row r="488">
      <x:c r="A488" s="18"/>
      <x:c r="O488" s="15" t="str">
        <x:f>IF(A488="","",--(COUNTIF($A$2:A488,A488)=1))</x:f>
      </x:c>
      <x:c r="P488" s="15" t="str">
        <x:f>IF(A488="","",--(COUNTIFS($A$2:A488,A488,$F$2:F488,F488)=1))</x:f>
      </x:c>
    </x:row>
    <x:row r="489">
      <x:c r="A489" s="18"/>
      <x:c r="O489" s="15" t="str">
        <x:f>IF(A489="","",--(COUNTIF($A$2:A489,A489)=1))</x:f>
      </x:c>
      <x:c r="P489" s="15" t="str">
        <x:f>IF(A489="","",--(COUNTIFS($A$2:A489,A489,$F$2:F489,F489)=1))</x:f>
      </x:c>
    </x:row>
    <x:row r="490">
      <x:c r="A490" s="18"/>
      <x:c r="O490" s="15" t="str">
        <x:f>IF(A490="","",--(COUNTIF($A$2:A490,A490)=1))</x:f>
      </x:c>
      <x:c r="P490" s="15" t="str">
        <x:f>IF(A490="","",--(COUNTIFS($A$2:A490,A490,$F$2:F490,F490)=1))</x:f>
      </x:c>
    </x:row>
    <x:row r="491">
      <x:c r="A491" s="18"/>
      <x:c r="O491" s="15" t="str">
        <x:f>IF(A491="","",--(COUNTIF($A$2:A491,A491)=1))</x:f>
      </x:c>
      <x:c r="P491" s="15" t="str">
        <x:f>IF(A491="","",--(COUNTIFS($A$2:A491,A491,$F$2:F491,F491)=1))</x:f>
      </x:c>
    </x:row>
    <x:row r="492">
      <x:c r="A492" s="18"/>
      <x:c r="O492" s="15" t="str">
        <x:f>IF(A492="","",--(COUNTIF($A$2:A492,A492)=1))</x:f>
      </x:c>
      <x:c r="P492" s="15" t="str">
        <x:f>IF(A492="","",--(COUNTIFS($A$2:A492,A492,$F$2:F492,F492)=1))</x:f>
      </x:c>
    </x:row>
    <x:row r="493">
      <x:c r="A493" s="18"/>
      <x:c r="O493" s="15" t="str">
        <x:f>IF(A493="","",--(COUNTIF($A$2:A493,A493)=1))</x:f>
      </x:c>
      <x:c r="P493" s="15" t="str">
        <x:f>IF(A493="","",--(COUNTIFS($A$2:A493,A493,$F$2:F493,F493)=1))</x:f>
      </x:c>
    </x:row>
    <x:row r="494">
      <x:c r="A494" s="18"/>
      <x:c r="O494" s="15" t="str">
        <x:f>IF(A494="","",--(COUNTIF($A$2:A494,A494)=1))</x:f>
      </x:c>
      <x:c r="P494" s="15" t="str">
        <x:f>IF(A494="","",--(COUNTIFS($A$2:A494,A494,$F$2:F494,F494)=1))</x:f>
      </x:c>
    </x:row>
    <x:row r="495">
      <x:c r="A495" s="18"/>
      <x:c r="O495" s="15" t="str">
        <x:f>IF(A495="","",--(COUNTIF($A$2:A495,A495)=1))</x:f>
      </x:c>
      <x:c r="P495" s="15" t="str">
        <x:f>IF(A495="","",--(COUNTIFS($A$2:A495,A495,$F$2:F495,F495)=1))</x:f>
      </x:c>
    </x:row>
    <x:row r="496">
      <x:c r="A496" s="18"/>
      <x:c r="O496" s="15" t="str">
        <x:f>IF(A496="","",--(COUNTIF($A$2:A496,A496)=1))</x:f>
      </x:c>
      <x:c r="P496" s="15" t="str">
        <x:f>IF(A496="","",--(COUNTIFS($A$2:A496,A496,$F$2:F496,F496)=1))</x:f>
      </x:c>
    </x:row>
    <x:row r="497">
      <x:c r="A497" s="18"/>
      <x:c r="O497" s="15" t="str">
        <x:f>IF(A497="","",--(COUNTIF($A$2:A497,A497)=1))</x:f>
      </x:c>
      <x:c r="P497" s="15" t="str">
        <x:f>IF(A497="","",--(COUNTIFS($A$2:A497,A497,$F$2:F497,F497)=1))</x:f>
      </x:c>
    </x:row>
    <x:row r="498">
      <x:c r="A498" s="18"/>
      <x:c r="O498" s="15" t="str">
        <x:f>IF(A498="","",--(COUNTIF($A$2:A498,A498)=1))</x:f>
      </x:c>
      <x:c r="P498" s="15" t="str">
        <x:f>IF(A498="","",--(COUNTIFS($A$2:A498,A498,$F$2:F498,F498)=1))</x:f>
      </x:c>
    </x:row>
    <x:row r="499">
      <x:c r="A499" s="18"/>
      <x:c r="O499" s="15" t="str">
        <x:f>IF(A499="","",--(COUNTIF($A$2:A499,A499)=1))</x:f>
      </x:c>
      <x:c r="P499" s="15" t="str">
        <x:f>IF(A499="","",--(COUNTIFS($A$2:A499,A499,$F$2:F499,F499)=1))</x:f>
      </x:c>
    </x:row>
    <x:row r="500">
      <x:c r="A500" s="18"/>
      <x:c r="O500" s="15" t="str">
        <x:f>IF(A500="","",--(COUNTIF($A$2:A500,A500)=1))</x:f>
      </x:c>
      <x:c r="P500" s="15" t="str">
        <x:f>IF(A500="","",--(COUNTIFS($A$2:A500,A500,$F$2:F500,F500)=1))</x:f>
      </x:c>
    </x:row>
    <x:row r="501">
      <x:c r="A501" s="18"/>
      <x:c r="O501" s="15" t="str">
        <x:f>IF(A501="","",--(COUNTIF($A$2:A501,A501)=1))</x:f>
      </x:c>
      <x:c r="P501" s="15" t="str">
        <x:f>IF(A501="","",--(COUNTIFS($A$2:A501,A501,$F$2:F501,F501)=1))</x:f>
      </x:c>
    </x:row>
    <x:row r="502">
      <x:c r="A502" s="18"/>
      <x:c r="O502" s="15" t="str">
        <x:f>IF(A502="","",--(COUNTIF($A$2:A502,A502)=1))</x:f>
      </x:c>
      <x:c r="P502" s="15" t="str">
        <x:f>IF(A502="","",--(COUNTIFS($A$2:A502,A502,$F$2:F502,F502)=1))</x:f>
      </x:c>
    </x:row>
    <x:row r="503">
      <x:c r="A503" s="18"/>
      <x:c r="O503" s="15" t="str">
        <x:f>IF(A503="","",--(COUNTIF($A$2:A503,A503)=1))</x:f>
      </x:c>
      <x:c r="P503" s="15" t="str">
        <x:f>IF(A503="","",--(COUNTIFS($A$2:A503,A503,$F$2:F503,F503)=1))</x:f>
      </x:c>
    </x:row>
    <x:row r="504">
      <x:c r="A504" s="18"/>
      <x:c r="O504" s="15" t="str">
        <x:f>IF(A504="","",--(COUNTIF($A$2:A504,A504)=1))</x:f>
      </x:c>
      <x:c r="P504" s="15" t="str">
        <x:f>IF(A504="","",--(COUNTIFS($A$2:A504,A504,$F$2:F504,F504)=1))</x:f>
      </x:c>
    </x:row>
    <x:row r="505">
      <x:c r="A505" s="18"/>
      <x:c r="O505" s="15" t="str">
        <x:f>IF(A505="","",--(COUNTIF($A$2:A505,A505)=1))</x:f>
      </x:c>
      <x:c r="P505" s="15" t="str">
        <x:f>IF(A505="","",--(COUNTIFS($A$2:A505,A505,$F$2:F505,F505)=1))</x:f>
      </x:c>
    </x:row>
    <x:row r="506">
      <x:c r="A506" s="18"/>
      <x:c r="O506" s="15" t="str">
        <x:f>IF(A506="","",--(COUNTIF($A$2:A506,A506)=1))</x:f>
      </x:c>
      <x:c r="P506" s="15" t="str">
        <x:f>IF(A506="","",--(COUNTIFS($A$2:A506,A506,$F$2:F506,F506)=1))</x:f>
      </x:c>
    </x:row>
    <x:row r="507">
      <x:c r="A507" s="18"/>
      <x:c r="O507" s="15" t="str">
        <x:f>IF(A507="","",--(COUNTIF($A$2:A507,A507)=1))</x:f>
      </x:c>
      <x:c r="P507" s="15" t="str">
        <x:f>IF(A507="","",--(COUNTIFS($A$2:A507,A507,$F$2:F507,F507)=1))</x:f>
      </x:c>
    </x:row>
    <x:row r="508">
      <x:c r="A508" s="18"/>
      <x:c r="O508" s="15" t="str">
        <x:f>IF(A508="","",--(COUNTIF($A$2:A508,A508)=1))</x:f>
      </x:c>
      <x:c r="P508" s="15" t="str">
        <x:f>IF(A508="","",--(COUNTIFS($A$2:A508,A508,$F$2:F508,F508)=1))</x:f>
      </x:c>
    </x:row>
    <x:row r="509">
      <x:c r="A509" s="18"/>
      <x:c r="O509" s="15" t="str">
        <x:f>IF(A509="","",--(COUNTIF($A$2:A509,A509)=1))</x:f>
      </x:c>
      <x:c r="P509" s="15" t="str">
        <x:f>IF(A509="","",--(COUNTIFS($A$2:A509,A509,$F$2:F509,F509)=1))</x:f>
      </x:c>
    </x:row>
    <x:row r="510">
      <x:c r="A510" s="18"/>
      <x:c r="O510" s="15" t="str">
        <x:f>IF(A510="","",--(COUNTIF($A$2:A510,A510)=1))</x:f>
      </x:c>
      <x:c r="P510" s="15" t="str">
        <x:f>IF(A510="","",--(COUNTIFS($A$2:A510,A510,$F$2:F510,F510)=1))</x:f>
      </x:c>
    </x:row>
    <x:row r="511">
      <x:c r="A511" s="18"/>
      <x:c r="O511" s="15" t="str">
        <x:f>IF(A511="","",--(COUNTIF($A$2:A511,A511)=1))</x:f>
      </x:c>
      <x:c r="P511" s="15" t="str">
        <x:f>IF(A511="","",--(COUNTIFS($A$2:A511,A511,$F$2:F511,F511)=1))</x:f>
      </x:c>
    </x:row>
    <x:row r="512">
      <x:c r="A512" s="18"/>
      <x:c r="O512" s="15" t="str">
        <x:f>IF(A512="","",--(COUNTIF($A$2:A512,A512)=1))</x:f>
      </x:c>
      <x:c r="P512" s="15" t="str">
        <x:f>IF(A512="","",--(COUNTIFS($A$2:A512,A512,$F$2:F512,F512)=1))</x:f>
      </x:c>
    </x:row>
    <x:row r="513">
      <x:c r="A513" s="18"/>
      <x:c r="O513" s="15" t="str">
        <x:f>IF(A513="","",--(COUNTIF($A$2:A513,A513)=1))</x:f>
      </x:c>
      <x:c r="P513" s="15" t="str">
        <x:f>IF(A513="","",--(COUNTIFS($A$2:A513,A513,$F$2:F513,F513)=1))</x:f>
      </x:c>
    </x:row>
    <x:row r="514">
      <x:c r="A514" s="18"/>
      <x:c r="O514" s="15" t="str">
        <x:f>IF(A514="","",--(COUNTIF($A$2:A514,A514)=1))</x:f>
      </x:c>
      <x:c r="P514" s="15" t="str">
        <x:f>IF(A514="","",--(COUNTIFS($A$2:A514,A514,$F$2:F514,F514)=1))</x:f>
      </x:c>
    </x:row>
    <x:row r="515">
      <x:c r="A515" s="18"/>
      <x:c r="O515" s="15" t="str">
        <x:f>IF(A515="","",--(COUNTIF($A$2:A515,A515)=1))</x:f>
      </x:c>
      <x:c r="P515" s="15" t="str">
        <x:f>IF(A515="","",--(COUNTIFS($A$2:A515,A515,$F$2:F515,F515)=1))</x:f>
      </x:c>
    </x:row>
    <x:row r="516">
      <x:c r="A516" s="18"/>
      <x:c r="O516" s="15" t="str">
        <x:f>IF(A516="","",--(COUNTIF($A$2:A516,A516)=1))</x:f>
      </x:c>
      <x:c r="P516" s="15" t="str">
        <x:f>IF(A516="","",--(COUNTIFS($A$2:A516,A516,$F$2:F516,F516)=1))</x:f>
      </x:c>
    </x:row>
    <x:row r="517">
      <x:c r="A517" s="18"/>
      <x:c r="O517" s="15" t="str">
        <x:f>IF(A517="","",--(COUNTIF($A$2:A517,A517)=1))</x:f>
      </x:c>
      <x:c r="P517" s="15" t="str">
        <x:f>IF(A517="","",--(COUNTIFS($A$2:A517,A517,$F$2:F517,F517)=1))</x:f>
      </x:c>
    </x:row>
    <x:row r="518">
      <x:c r="A518" s="18"/>
      <x:c r="O518" s="15" t="str">
        <x:f>IF(A518="","",--(COUNTIF($A$2:A518,A518)=1))</x:f>
      </x:c>
      <x:c r="P518" s="15" t="str">
        <x:f>IF(A518="","",--(COUNTIFS($A$2:A518,A518,$F$2:F518,F518)=1))</x:f>
      </x:c>
    </x:row>
    <x:row r="519">
      <x:c r="A519" s="18"/>
      <x:c r="O519" s="15" t="str">
        <x:f>IF(A519="","",--(COUNTIF($A$2:A519,A519)=1))</x:f>
      </x:c>
      <x:c r="P519" s="15" t="str">
        <x:f>IF(A519="","",--(COUNTIFS($A$2:A519,A519,$F$2:F519,F519)=1))</x:f>
      </x:c>
    </x:row>
    <x:row r="520">
      <x:c r="A520" s="18"/>
      <x:c r="O520" s="15" t="str">
        <x:f>IF(A520="","",--(COUNTIF($A$2:A520,A520)=1))</x:f>
      </x:c>
      <x:c r="P520" s="15" t="str">
        <x:f>IF(A520="","",--(COUNTIFS($A$2:A520,A520,$F$2:F520,F520)=1))</x:f>
      </x:c>
    </x:row>
    <x:row r="521">
      <x:c r="A521" s="18"/>
      <x:c r="O521" s="15" t="str">
        <x:f>IF(A521="","",--(COUNTIF($A$2:A521,A521)=1))</x:f>
      </x:c>
      <x:c r="P521" s="15" t="str">
        <x:f>IF(A521="","",--(COUNTIFS($A$2:A521,A521,$F$2:F521,F521)=1))</x:f>
      </x:c>
    </x:row>
    <x:row r="522">
      <x:c r="A522" s="18"/>
      <x:c r="O522" s="15" t="str">
        <x:f>IF(A522="","",--(COUNTIF($A$2:A522,A522)=1))</x:f>
      </x:c>
      <x:c r="P522" s="15" t="str">
        <x:f>IF(A522="","",--(COUNTIFS($A$2:A522,A522,$F$2:F522,F522)=1))</x:f>
      </x:c>
    </x:row>
    <x:row r="523">
      <x:c r="A523" s="18"/>
      <x:c r="O523" s="15" t="str">
        <x:f>IF(A523="","",--(COUNTIF($A$2:A523,A523)=1))</x:f>
      </x:c>
      <x:c r="P523" s="15" t="str">
        <x:f>IF(A523="","",--(COUNTIFS($A$2:A523,A523,$F$2:F523,F523)=1))</x:f>
      </x:c>
    </x:row>
    <x:row r="524">
      <x:c r="A524" s="18"/>
      <x:c r="O524" s="15" t="str">
        <x:f>IF(A524="","",--(COUNTIF($A$2:A524,A524)=1))</x:f>
      </x:c>
      <x:c r="P524" s="15" t="str">
        <x:f>IF(A524="","",--(COUNTIFS($A$2:A524,A524,$F$2:F524,F524)=1))</x:f>
      </x:c>
    </x:row>
    <x:row r="525">
      <x:c r="A525" s="18"/>
      <x:c r="O525" s="15" t="str">
        <x:f>IF(A525="","",--(COUNTIF($A$2:A525,A525)=1))</x:f>
      </x:c>
      <x:c r="P525" s="15" t="str">
        <x:f>IF(A525="","",--(COUNTIFS($A$2:A525,A525,$F$2:F525,F525)=1))</x:f>
      </x:c>
    </x:row>
    <x:row r="526">
      <x:c r="A526" s="18"/>
      <x:c r="O526" s="15" t="str">
        <x:f>IF(A526="","",--(COUNTIF($A$2:A526,A526)=1))</x:f>
      </x:c>
      <x:c r="P526" s="15" t="str">
        <x:f>IF(A526="","",--(COUNTIFS($A$2:A526,A526,$F$2:F526,F526)=1))</x:f>
      </x:c>
    </x:row>
    <x:row r="527">
      <x:c r="A527" s="18"/>
      <x:c r="O527" s="15" t="str">
        <x:f>IF(A527="","",--(COUNTIF($A$2:A527,A527)=1))</x:f>
      </x:c>
      <x:c r="P527" s="15" t="str">
        <x:f>IF(A527="","",--(COUNTIFS($A$2:A527,A527,$F$2:F527,F527)=1))</x:f>
      </x:c>
    </x:row>
    <x:row r="528">
      <x:c r="A528" s="18"/>
      <x:c r="O528" s="15" t="str">
        <x:f>IF(A528="","",--(COUNTIF($A$2:A528,A528)=1))</x:f>
      </x:c>
      <x:c r="P528" s="15" t="str">
        <x:f>IF(A528="","",--(COUNTIFS($A$2:A528,A528,$F$2:F528,F528)=1))</x:f>
      </x:c>
    </x:row>
    <x:row r="529">
      <x:c r="A529" s="18"/>
      <x:c r="O529" s="15" t="str">
        <x:f>IF(A529="","",--(COUNTIF($A$2:A529,A529)=1))</x:f>
      </x:c>
      <x:c r="P529" s="15" t="str">
        <x:f>IF(A529="","",--(COUNTIFS($A$2:A529,A529,$F$2:F529,F529)=1))</x:f>
      </x:c>
    </x:row>
    <x:row r="530">
      <x:c r="A530" s="18"/>
      <x:c r="O530" s="15" t="str">
        <x:f>IF(A530="","",--(COUNTIF($A$2:A530,A530)=1))</x:f>
      </x:c>
      <x:c r="P530" s="15" t="str">
        <x:f>IF(A530="","",--(COUNTIFS($A$2:A530,A530,$F$2:F530,F530)=1))</x:f>
      </x:c>
    </x:row>
    <x:row r="531">
      <x:c r="A531" s="18"/>
      <x:c r="O531" s="15" t="str">
        <x:f>IF(A531="","",--(COUNTIF($A$2:A531,A531)=1))</x:f>
      </x:c>
      <x:c r="P531" s="15" t="str">
        <x:f>IF(A531="","",--(COUNTIFS($A$2:A531,A531,$F$2:F531,F531)=1))</x:f>
      </x:c>
    </x:row>
    <x:row r="532">
      <x:c r="A532" s="18"/>
      <x:c r="O532" s="15" t="str">
        <x:f>IF(A532="","",--(COUNTIF($A$2:A532,A532)=1))</x:f>
      </x:c>
      <x:c r="P532" s="15" t="str">
        <x:f>IF(A532="","",--(COUNTIFS($A$2:A532,A532,$F$2:F532,F532)=1))</x:f>
      </x:c>
    </x:row>
    <x:row r="533">
      <x:c r="A533" s="18"/>
      <x:c r="O533" s="15" t="str">
        <x:f>IF(A533="","",--(COUNTIF($A$2:A533,A533)=1))</x:f>
      </x:c>
      <x:c r="P533" s="15" t="str">
        <x:f>IF(A533="","",--(COUNTIFS($A$2:A533,A533,$F$2:F533,F533)=1))</x:f>
      </x:c>
    </x:row>
    <x:row r="534">
      <x:c r="A534" s="18"/>
      <x:c r="O534" s="15" t="str">
        <x:f>IF(A534="","",--(COUNTIF($A$2:A534,A534)=1))</x:f>
      </x:c>
      <x:c r="P534" s="15" t="str">
        <x:f>IF(A534="","",--(COUNTIFS($A$2:A534,A534,$F$2:F534,F534)=1))</x:f>
      </x:c>
    </x:row>
    <x:row r="535">
      <x:c r="A535" s="18"/>
      <x:c r="O535" s="15" t="str">
        <x:f>IF(A535="","",--(COUNTIF($A$2:A535,A535)=1))</x:f>
      </x:c>
      <x:c r="P535" s="15" t="str">
        <x:f>IF(A535="","",--(COUNTIFS($A$2:A535,A535,$F$2:F535,F535)=1))</x:f>
      </x:c>
    </x:row>
    <x:row r="536">
      <x:c r="A536" s="18"/>
      <x:c r="O536" s="15" t="str">
        <x:f>IF(A536="","",--(COUNTIF($A$2:A536,A536)=1))</x:f>
      </x:c>
      <x:c r="P536" s="15" t="str">
        <x:f>IF(A536="","",--(COUNTIFS($A$2:A536,A536,$F$2:F536,F536)=1))</x:f>
      </x:c>
    </x:row>
    <x:row r="537">
      <x:c r="A537" s="18"/>
      <x:c r="O537" s="15" t="str">
        <x:f>IF(A537="","",--(COUNTIF($A$2:A537,A537)=1))</x:f>
      </x:c>
      <x:c r="P537" s="15" t="str">
        <x:f>IF(A537="","",--(COUNTIFS($A$2:A537,A537,$F$2:F537,F537)=1))</x:f>
      </x:c>
    </x:row>
    <x:row r="538">
      <x:c r="A538" s="18"/>
      <x:c r="O538" s="15" t="str">
        <x:f>IF(A538="","",--(COUNTIF($A$2:A538,A538)=1))</x:f>
      </x:c>
      <x:c r="P538" s="15" t="str">
        <x:f>IF(A538="","",--(COUNTIFS($A$2:A538,A538,$F$2:F538,F538)=1))</x:f>
      </x:c>
    </x:row>
    <x:row r="539">
      <x:c r="A539" s="18"/>
      <x:c r="O539" s="15" t="str">
        <x:f>IF(A539="","",--(COUNTIF($A$2:A539,A539)=1))</x:f>
      </x:c>
      <x:c r="P539" s="15" t="str">
        <x:f>IF(A539="","",--(COUNTIFS($A$2:A539,A539,$F$2:F539,F539)=1))</x:f>
      </x:c>
    </x:row>
    <x:row r="540">
      <x:c r="A540" s="18"/>
      <x:c r="O540" s="15" t="str">
        <x:f>IF(A540="","",--(COUNTIF($A$2:A540,A540)=1))</x:f>
      </x:c>
      <x:c r="P540" s="15" t="str">
        <x:f>IF(A540="","",--(COUNTIFS($A$2:A540,A540,$F$2:F540,F540)=1))</x:f>
      </x:c>
    </x:row>
    <x:row r="541">
      <x:c r="A541" s="18"/>
      <x:c r="O541" s="15" t="str">
        <x:f>IF(A541="","",--(COUNTIF($A$2:A541,A541)=1))</x:f>
      </x:c>
      <x:c r="P541" s="15" t="str">
        <x:f>IF(A541="","",--(COUNTIFS($A$2:A541,A541,$F$2:F541,F541)=1))</x:f>
      </x:c>
    </x:row>
    <x:row r="542">
      <x:c r="A542" s="18"/>
      <x:c r="O542" s="15" t="str">
        <x:f>IF(A542="","",--(COUNTIF($A$2:A542,A542)=1))</x:f>
      </x:c>
      <x:c r="P542" s="15" t="str">
        <x:f>IF(A542="","",--(COUNTIFS($A$2:A542,A542,$F$2:F542,F542)=1))</x:f>
      </x:c>
    </x:row>
    <x:row r="543">
      <x:c r="A543" s="18"/>
      <x:c r="O543" s="15" t="str">
        <x:f>IF(A543="","",--(COUNTIF($A$2:A543,A543)=1))</x:f>
      </x:c>
      <x:c r="P543" s="15" t="str">
        <x:f>IF(A543="","",--(COUNTIFS($A$2:A543,A543,$F$2:F543,F543)=1))</x:f>
      </x:c>
    </x:row>
    <x:row r="544">
      <x:c r="A544" s="18"/>
      <x:c r="O544" s="15" t="str">
        <x:f>IF(A544="","",--(COUNTIF($A$2:A544,A544)=1))</x:f>
      </x:c>
      <x:c r="P544" s="15" t="str">
        <x:f>IF(A544="","",--(COUNTIFS($A$2:A544,A544,$F$2:F544,F544)=1))</x:f>
      </x:c>
    </x:row>
    <x:row r="545">
      <x:c r="A545" s="18"/>
      <x:c r="O545" s="15" t="str">
        <x:f>IF(A545="","",--(COUNTIF($A$2:A545,A545)=1))</x:f>
      </x:c>
      <x:c r="P545" s="15" t="str">
        <x:f>IF(A545="","",--(COUNTIFS($A$2:A545,A545,$F$2:F545,F545)=1))</x:f>
      </x:c>
    </x:row>
    <x:row r="546">
      <x:c r="A546" s="18"/>
      <x:c r="O546" s="15" t="str">
        <x:f>IF(A546="","",--(COUNTIF($A$2:A546,A546)=1))</x:f>
      </x:c>
      <x:c r="P546" s="15" t="str">
        <x:f>IF(A546="","",--(COUNTIFS($A$2:A546,A546,$F$2:F546,F546)=1))</x:f>
      </x:c>
    </x:row>
    <x:row r="547">
      <x:c r="A547" s="18"/>
      <x:c r="O547" s="15" t="str">
        <x:f>IF(A547="","",--(COUNTIF($A$2:A547,A547)=1))</x:f>
      </x:c>
      <x:c r="P547" s="15" t="str">
        <x:f>IF(A547="","",--(COUNTIFS($A$2:A547,A547,$F$2:F547,F547)=1))</x:f>
      </x:c>
    </x:row>
    <x:row r="548">
      <x:c r="A548" s="18"/>
      <x:c r="O548" s="15" t="str">
        <x:f>IF(A548="","",--(COUNTIF($A$2:A548,A548)=1))</x:f>
      </x:c>
      <x:c r="P548" s="15" t="str">
        <x:f>IF(A548="","",--(COUNTIFS($A$2:A548,A548,$F$2:F548,F548)=1))</x:f>
      </x:c>
    </x:row>
    <x:row r="549">
      <x:c r="A549" s="18"/>
      <x:c r="O549" s="15" t="str">
        <x:f>IF(A549="","",--(COUNTIF($A$2:A549,A549)=1))</x:f>
      </x:c>
      <x:c r="P549" s="15" t="str">
        <x:f>IF(A549="","",--(COUNTIFS($A$2:A549,A549,$F$2:F549,F549)=1))</x:f>
      </x:c>
    </x:row>
    <x:row r="550">
      <x:c r="A550" s="18"/>
      <x:c r="O550" s="15" t="str">
        <x:f>IF(A550="","",--(COUNTIF($A$2:A550,A550)=1))</x:f>
      </x:c>
      <x:c r="P550" s="15" t="str">
        <x:f>IF(A550="","",--(COUNTIFS($A$2:A550,A550,$F$2:F550,F550)=1))</x:f>
      </x:c>
    </x:row>
    <x:row r="551">
      <x:c r="A551" s="18"/>
      <x:c r="O551" s="15" t="str">
        <x:f>IF(A551="","",--(COUNTIF($A$2:A551,A551)=1))</x:f>
      </x:c>
      <x:c r="P551" s="15" t="str">
        <x:f>IF(A551="","",--(COUNTIFS($A$2:A551,A551,$F$2:F551,F551)=1))</x:f>
      </x:c>
    </x:row>
    <x:row r="552">
      <x:c r="A552" s="18"/>
      <x:c r="O552" s="15" t="str">
        <x:f>IF(A552="","",--(COUNTIF($A$2:A552,A552)=1))</x:f>
      </x:c>
      <x:c r="P552" s="15" t="str">
        <x:f>IF(A552="","",--(COUNTIFS($A$2:A552,A552,$F$2:F552,F552)=1))</x:f>
      </x:c>
    </x:row>
    <x:row r="553">
      <x:c r="A553" s="18"/>
      <x:c r="O553" s="15" t="str">
        <x:f>IF(A553="","",--(COUNTIF($A$2:A553,A553)=1))</x:f>
      </x:c>
      <x:c r="P553" s="15" t="str">
        <x:f>IF(A553="","",--(COUNTIFS($A$2:A553,A553,$F$2:F553,F553)=1))</x:f>
      </x:c>
    </x:row>
    <x:row r="554">
      <x:c r="A554" s="18"/>
      <x:c r="O554" s="15" t="str">
        <x:f>IF(A554="","",--(COUNTIF($A$2:A554,A554)=1))</x:f>
      </x:c>
      <x:c r="P554" s="15" t="str">
        <x:f>IF(A554="","",--(COUNTIFS($A$2:A554,A554,$F$2:F554,F554)=1))</x:f>
      </x:c>
    </x:row>
    <x:row r="555">
      <x:c r="A555" s="18"/>
      <x:c r="O555" s="15" t="str">
        <x:f>IF(A555="","",--(COUNTIF($A$2:A555,A555)=1))</x:f>
      </x:c>
      <x:c r="P555" s="15" t="str">
        <x:f>IF(A555="","",--(COUNTIFS($A$2:A555,A555,$F$2:F555,F555)=1))</x:f>
      </x:c>
    </x:row>
    <x:row r="556">
      <x:c r="A556" s="18"/>
      <x:c r="O556" s="15" t="str">
        <x:f>IF(A556="","",--(COUNTIF($A$2:A556,A556)=1))</x:f>
      </x:c>
      <x:c r="P556" s="15" t="str">
        <x:f>IF(A556="","",--(COUNTIFS($A$2:A556,A556,$F$2:F556,F556)=1))</x:f>
      </x:c>
    </x:row>
    <x:row r="557">
      <x:c r="A557" s="18"/>
      <x:c r="O557" s="15" t="str">
        <x:f>IF(A557="","",--(COUNTIF($A$2:A557,A557)=1))</x:f>
      </x:c>
      <x:c r="P557" s="15" t="str">
        <x:f>IF(A557="","",--(COUNTIFS($A$2:A557,A557,$F$2:F557,F557)=1))</x:f>
      </x:c>
    </x:row>
    <x:row r="558">
      <x:c r="A558" s="18"/>
      <x:c r="O558" s="15" t="str">
        <x:f>IF(A558="","",--(COUNTIF($A$2:A558,A558)=1))</x:f>
      </x:c>
      <x:c r="P558" s="15" t="str">
        <x:f>IF(A558="","",--(COUNTIFS($A$2:A558,A558,$F$2:F558,F558)=1))</x:f>
      </x:c>
    </x:row>
    <x:row r="559">
      <x:c r="A559" s="18"/>
      <x:c r="O559" s="15" t="str">
        <x:f>IF(A559="","",--(COUNTIF($A$2:A559,A559)=1))</x:f>
      </x:c>
      <x:c r="P559" s="15" t="str">
        <x:f>IF(A559="","",--(COUNTIFS($A$2:A559,A559,$F$2:F559,F559)=1))</x:f>
      </x:c>
    </x:row>
    <x:row r="560">
      <x:c r="A560" s="18"/>
      <x:c r="O560" s="15" t="str">
        <x:f>IF(A560="","",--(COUNTIF($A$2:A560,A560)=1))</x:f>
      </x:c>
      <x:c r="P560" s="15" t="str">
        <x:f>IF(A560="","",--(COUNTIFS($A$2:A560,A560,$F$2:F560,F560)=1))</x:f>
      </x:c>
    </x:row>
    <x:row r="561">
      <x:c r="A561" s="18"/>
      <x:c r="O561" s="15" t="str">
        <x:f>IF(A561="","",--(COUNTIF($A$2:A561,A561)=1))</x:f>
      </x:c>
      <x:c r="P561" s="15" t="str">
        <x:f>IF(A561="","",--(COUNTIFS($A$2:A561,A561,$F$2:F561,F561)=1))</x:f>
      </x:c>
    </x:row>
    <x:row r="562">
      <x:c r="A562" s="18"/>
      <x:c r="O562" s="15" t="str">
        <x:f>IF(A562="","",--(COUNTIF($A$2:A562,A562)=1))</x:f>
      </x:c>
      <x:c r="P562" s="15" t="str">
        <x:f>IF(A562="","",--(COUNTIFS($A$2:A562,A562,$F$2:F562,F562)=1))</x:f>
      </x:c>
    </x:row>
    <x:row r="563">
      <x:c r="A563" s="18"/>
      <x:c r="O563" s="15" t="str">
        <x:f>IF(A563="","",--(COUNTIF($A$2:A563,A563)=1))</x:f>
      </x:c>
      <x:c r="P563" s="15" t="str">
        <x:f>IF(A563="","",--(COUNTIFS($A$2:A563,A563,$F$2:F563,F563)=1))</x:f>
      </x:c>
    </x:row>
    <x:row r="564">
      <x:c r="A564" s="18"/>
      <x:c r="O564" s="15" t="str">
        <x:f>IF(A564="","",--(COUNTIF($A$2:A564,A564)=1))</x:f>
      </x:c>
      <x:c r="P564" s="15" t="str">
        <x:f>IF(A564="","",--(COUNTIFS($A$2:A564,A564,$F$2:F564,F564)=1))</x:f>
      </x:c>
    </x:row>
    <x:row r="565">
      <x:c r="A565" s="18"/>
      <x:c r="O565" s="15" t="str">
        <x:f>IF(A565="","",--(COUNTIF($A$2:A565,A565)=1))</x:f>
      </x:c>
      <x:c r="P565" s="15" t="str">
        <x:f>IF(A565="","",--(COUNTIFS($A$2:A565,A565,$F$2:F565,F565)=1))</x:f>
      </x:c>
    </x:row>
    <x:row r="566">
      <x:c r="A566" s="18"/>
      <x:c r="O566" s="15" t="str">
        <x:f>IF(A566="","",--(COUNTIF($A$2:A566,A566)=1))</x:f>
      </x:c>
      <x:c r="P566" s="15" t="str">
        <x:f>IF(A566="","",--(COUNTIFS($A$2:A566,A566,$F$2:F566,F566)=1))</x:f>
      </x:c>
    </x:row>
    <x:row r="567">
      <x:c r="A567" s="18"/>
      <x:c r="O567" s="15" t="str">
        <x:f>IF(A567="","",--(COUNTIF($A$2:A567,A567)=1))</x:f>
      </x:c>
      <x:c r="P567" s="15" t="str">
        <x:f>IF(A567="","",--(COUNTIFS($A$2:A567,A567,$F$2:F567,F567)=1))</x:f>
      </x:c>
    </x:row>
    <x:row r="568">
      <x:c r="A568" s="18"/>
      <x:c r="O568" s="15" t="str">
        <x:f>IF(A568="","",--(COUNTIF($A$2:A568,A568)=1))</x:f>
      </x:c>
      <x:c r="P568" s="15" t="str">
        <x:f>IF(A568="","",--(COUNTIFS($A$2:A568,A568,$F$2:F568,F568)=1))</x:f>
      </x:c>
    </x:row>
    <x:row r="569">
      <x:c r="A569" s="18"/>
      <x:c r="O569" s="15" t="str">
        <x:f>IF(A569="","",--(COUNTIF($A$2:A569,A569)=1))</x:f>
      </x:c>
      <x:c r="P569" s="15" t="str">
        <x:f>IF(A569="","",--(COUNTIFS($A$2:A569,A569,$F$2:F569,F569)=1))</x:f>
      </x:c>
    </x:row>
    <x:row r="570">
      <x:c r="A570" s="18"/>
      <x:c r="O570" s="15" t="str">
        <x:f>IF(A570="","",--(COUNTIF($A$2:A570,A570)=1))</x:f>
      </x:c>
      <x:c r="P570" s="15" t="str">
        <x:f>IF(A570="","",--(COUNTIFS($A$2:A570,A570,$F$2:F570,F570)=1))</x:f>
      </x:c>
    </x:row>
    <x:row r="571">
      <x:c r="A571" s="18"/>
      <x:c r="O571" s="15" t="str">
        <x:f>IF(A571="","",--(COUNTIF($A$2:A571,A571)=1))</x:f>
      </x:c>
      <x:c r="P571" s="15" t="str">
        <x:f>IF(A571="","",--(COUNTIFS($A$2:A571,A571,$F$2:F571,F571)=1))</x:f>
      </x:c>
    </x:row>
    <x:row r="572">
      <x:c r="A572" s="18"/>
      <x:c r="O572" s="15" t="str">
        <x:f>IF(A572="","",--(COUNTIF($A$2:A572,A572)=1))</x:f>
      </x:c>
      <x:c r="P572" s="15" t="str">
        <x:f>IF(A572="","",--(COUNTIFS($A$2:A572,A572,$F$2:F572,F572)=1))</x:f>
      </x:c>
    </x:row>
    <x:row r="573">
      <x:c r="A573" s="18"/>
      <x:c r="O573" s="15" t="str">
        <x:f>IF(A573="","",--(COUNTIF($A$2:A573,A573)=1))</x:f>
      </x:c>
      <x:c r="P573" s="15" t="str">
        <x:f>IF(A573="","",--(COUNTIFS($A$2:A573,A573,$F$2:F573,F573)=1))</x:f>
      </x:c>
    </x:row>
    <x:row r="574">
      <x:c r="A574" s="18"/>
      <x:c r="O574" s="15" t="str">
        <x:f>IF(A574="","",--(COUNTIF($A$2:A574,A574)=1))</x:f>
      </x:c>
      <x:c r="P574" s="15" t="str">
        <x:f>IF(A574="","",--(COUNTIFS($A$2:A574,A574,$F$2:F574,F574)=1))</x:f>
      </x:c>
    </x:row>
    <x:row r="575">
      <x:c r="A575" s="18"/>
      <x:c r="O575" s="15" t="str">
        <x:f>IF(A575="","",--(COUNTIF($A$2:A575,A575)=1))</x:f>
      </x:c>
      <x:c r="P575" s="15" t="str">
        <x:f>IF(A575="","",--(COUNTIFS($A$2:A575,A575,$F$2:F575,F575)=1))</x:f>
      </x:c>
    </x:row>
    <x:row r="576">
      <x:c r="A576" s="18"/>
      <x:c r="O576" s="15" t="str">
        <x:f>IF(A576="","",--(COUNTIF($A$2:A576,A576)=1))</x:f>
      </x:c>
      <x:c r="P576" s="15" t="str">
        <x:f>IF(A576="","",--(COUNTIFS($A$2:A576,A576,$F$2:F576,F576)=1))</x:f>
      </x:c>
    </x:row>
    <x:row r="577">
      <x:c r="A577" s="18"/>
      <x:c r="O577" s="15" t="str">
        <x:f>IF(A577="","",--(COUNTIF($A$2:A577,A577)=1))</x:f>
      </x:c>
      <x:c r="P577" s="15" t="str">
        <x:f>IF(A577="","",--(COUNTIFS($A$2:A577,A577,$F$2:F577,F577)=1))</x:f>
      </x:c>
    </x:row>
    <x:row r="578">
      <x:c r="A578" s="18"/>
      <x:c r="O578" s="15" t="str">
        <x:f>IF(A578="","",--(COUNTIF($A$2:A578,A578)=1))</x:f>
      </x:c>
      <x:c r="P578" s="15" t="str">
        <x:f>IF(A578="","",--(COUNTIFS($A$2:A578,A578,$F$2:F578,F578)=1))</x:f>
      </x:c>
    </x:row>
    <x:row r="579">
      <x:c r="A579" s="18"/>
      <x:c r="O579" s="15" t="str">
        <x:f>IF(A579="","",--(COUNTIF($A$2:A579,A579)=1))</x:f>
      </x:c>
      <x:c r="P579" s="15" t="str">
        <x:f>IF(A579="","",--(COUNTIFS($A$2:A579,A579,$F$2:F579,F579)=1))</x:f>
      </x:c>
    </x:row>
    <x:row r="580">
      <x:c r="A580" s="18"/>
      <x:c r="O580" s="15" t="str">
        <x:f>IF(A580="","",--(COUNTIF($A$2:A580,A580)=1))</x:f>
      </x:c>
      <x:c r="P580" s="15" t="str">
        <x:f>IF(A580="","",--(COUNTIFS($A$2:A580,A580,$F$2:F580,F580)=1))</x:f>
      </x:c>
    </x:row>
    <x:row r="581">
      <x:c r="A581" s="18"/>
      <x:c r="O581" s="15" t="str">
        <x:f>IF(A581="","",--(COUNTIF($A$2:A581,A581)=1))</x:f>
      </x:c>
      <x:c r="P581" s="15" t="str">
        <x:f>IF(A581="","",--(COUNTIFS($A$2:A581,A581,$F$2:F581,F581)=1))</x:f>
      </x:c>
    </x:row>
    <x:row r="582">
      <x:c r="A582" s="18"/>
      <x:c r="O582" s="15" t="str">
        <x:f>IF(A582="","",--(COUNTIF($A$2:A582,A582)=1))</x:f>
      </x:c>
      <x:c r="P582" s="15" t="str">
        <x:f>IF(A582="","",--(COUNTIFS($A$2:A582,A582,$F$2:F582,F582)=1))</x:f>
      </x:c>
    </x:row>
    <x:row r="583">
      <x:c r="A583" s="18"/>
      <x:c r="O583" s="15" t="str">
        <x:f>IF(A583="","",--(COUNTIF($A$2:A583,A583)=1))</x:f>
      </x:c>
      <x:c r="P583" s="15" t="str">
        <x:f>IF(A583="","",--(COUNTIFS($A$2:A583,A583,$F$2:F583,F583)=1))</x:f>
      </x:c>
    </x:row>
    <x:row r="584">
      <x:c r="A584" s="18"/>
      <x:c r="O584" s="15" t="str">
        <x:f>IF(A584="","",--(COUNTIF($A$2:A584,A584)=1))</x:f>
      </x:c>
      <x:c r="P584" s="15" t="str">
        <x:f>IF(A584="","",--(COUNTIFS($A$2:A584,A584,$F$2:F584,F584)=1))</x:f>
      </x:c>
    </x:row>
    <x:row r="585">
      <x:c r="A585" s="18"/>
      <x:c r="O585" s="15" t="str">
        <x:f>IF(A585="","",--(COUNTIF($A$2:A585,A585)=1))</x:f>
      </x:c>
      <x:c r="P585" s="15" t="str">
        <x:f>IF(A585="","",--(COUNTIFS($A$2:A585,A585,$F$2:F585,F585)=1))</x:f>
      </x:c>
    </x:row>
    <x:row r="586">
      <x:c r="A586" s="18"/>
      <x:c r="O586" s="15" t="str">
        <x:f>IF(A586="","",--(COUNTIF($A$2:A586,A586)=1))</x:f>
      </x:c>
      <x:c r="P586" s="15" t="str">
        <x:f>IF(A586="","",--(COUNTIFS($A$2:A586,A586,$F$2:F586,F586)=1))</x:f>
      </x:c>
    </x:row>
    <x:row r="587">
      <x:c r="A587" s="18"/>
      <x:c r="O587" s="15" t="str">
        <x:f>IF(A587="","",--(COUNTIF($A$2:A587,A587)=1))</x:f>
      </x:c>
      <x:c r="P587" s="15" t="str">
        <x:f>IF(A587="","",--(COUNTIFS($A$2:A587,A587,$F$2:F587,F587)=1))</x:f>
      </x:c>
    </x:row>
    <x:row r="588">
      <x:c r="A588" s="18"/>
      <x:c r="O588" s="15" t="str">
        <x:f>IF(A588="","",--(COUNTIF($A$2:A588,A588)=1))</x:f>
      </x:c>
      <x:c r="P588" s="15" t="str">
        <x:f>IF(A588="","",--(COUNTIFS($A$2:A588,A588,$F$2:F588,F588)=1))</x:f>
      </x:c>
    </x:row>
    <x:row r="589">
      <x:c r="A589" s="18"/>
      <x:c r="O589" s="15" t="str">
        <x:f>IF(A589="","",--(COUNTIF($A$2:A589,A589)=1))</x:f>
      </x:c>
      <x:c r="P589" s="15" t="str">
        <x:f>IF(A589="","",--(COUNTIFS($A$2:A589,A589,$F$2:F589,F589)=1))</x:f>
      </x:c>
    </x:row>
    <x:row r="590">
      <x:c r="A590" s="18"/>
      <x:c r="O590" s="15" t="str">
        <x:f>IF(A590="","",--(COUNTIF($A$2:A590,A590)=1))</x:f>
      </x:c>
      <x:c r="P590" s="15" t="str">
        <x:f>IF(A590="","",--(COUNTIFS($A$2:A590,A590,$F$2:F590,F590)=1))</x:f>
      </x:c>
    </x:row>
    <x:row r="591">
      <x:c r="A591" s="18"/>
      <x:c r="O591" s="15" t="str">
        <x:f>IF(A591="","",--(COUNTIF($A$2:A591,A591)=1))</x:f>
      </x:c>
      <x:c r="P591" s="15" t="str">
        <x:f>IF(A591="","",--(COUNTIFS($A$2:A591,A591,$F$2:F591,F591)=1))</x:f>
      </x:c>
    </x:row>
    <x:row r="592">
      <x:c r="A592" s="18"/>
      <x:c r="O592" s="15" t="str">
        <x:f>IF(A592="","",--(COUNTIF($A$2:A592,A592)=1))</x:f>
      </x:c>
      <x:c r="P592" s="15" t="str">
        <x:f>IF(A592="","",--(COUNTIFS($A$2:A592,A592,$F$2:F592,F592)=1))</x:f>
      </x:c>
    </x:row>
    <x:row r="593">
      <x:c r="A593" s="18"/>
      <x:c r="O593" s="15" t="str">
        <x:f>IF(A593="","",--(COUNTIF($A$2:A593,A593)=1))</x:f>
      </x:c>
      <x:c r="P593" s="15" t="str">
        <x:f>IF(A593="","",--(COUNTIFS($A$2:A593,A593,$F$2:F593,F593)=1))</x:f>
      </x:c>
    </x:row>
    <x:row r="594">
      <x:c r="A594" s="18"/>
      <x:c r="O594" s="15" t="str">
        <x:f>IF(A594="","",--(COUNTIF($A$2:A594,A594)=1))</x:f>
      </x:c>
      <x:c r="P594" s="15" t="str">
        <x:f>IF(A594="","",--(COUNTIFS($A$2:A594,A594,$F$2:F594,F594)=1))</x:f>
      </x:c>
    </x:row>
    <x:row r="595">
      <x:c r="A595" s="18"/>
      <x:c r="O595" s="15" t="str">
        <x:f>IF(A595="","",--(COUNTIF($A$2:A595,A595)=1))</x:f>
      </x:c>
      <x:c r="P595" s="15" t="str">
        <x:f>IF(A595="","",--(COUNTIFS($A$2:A595,A595,$F$2:F595,F595)=1))</x:f>
      </x:c>
    </x:row>
    <x:row r="596">
      <x:c r="A596" s="18"/>
      <x:c r="O596" s="15" t="str">
        <x:f>IF(A596="","",--(COUNTIF($A$2:A596,A596)=1))</x:f>
      </x:c>
      <x:c r="P596" s="15" t="str">
        <x:f>IF(A596="","",--(COUNTIFS($A$2:A596,A596,$F$2:F596,F596)=1))</x:f>
      </x:c>
    </x:row>
    <x:row r="597">
      <x:c r="A597" s="18"/>
      <x:c r="O597" s="15" t="str">
        <x:f>IF(A597="","",--(COUNTIF($A$2:A597,A597)=1))</x:f>
      </x:c>
      <x:c r="P597" s="15" t="str">
        <x:f>IF(A597="","",--(COUNTIFS($A$2:A597,A597,$F$2:F597,F597)=1))</x:f>
      </x:c>
    </x:row>
    <x:row r="598">
      <x:c r="A598" s="18"/>
      <x:c r="O598" s="15" t="str">
        <x:f>IF(A598="","",--(COUNTIF($A$2:A598,A598)=1))</x:f>
      </x:c>
      <x:c r="P598" s="15" t="str">
        <x:f>IF(A598="","",--(COUNTIFS($A$2:A598,A598,$F$2:F598,F598)=1))</x:f>
      </x:c>
    </x:row>
    <x:row r="599">
      <x:c r="A599" s="18"/>
      <x:c r="O599" s="15" t="str">
        <x:f>IF(A599="","",--(COUNTIF($A$2:A599,A599)=1))</x:f>
      </x:c>
      <x:c r="P599" s="15" t="str">
        <x:f>IF(A599="","",--(COUNTIFS($A$2:A599,A599,$F$2:F599,F599)=1))</x:f>
      </x:c>
    </x:row>
    <x:row r="600">
      <x:c r="A600" s="18"/>
      <x:c r="O600" s="15" t="str">
        <x:f>IF(A600="","",--(COUNTIF($A$2:A600,A600)=1))</x:f>
      </x:c>
      <x:c r="P600" s="15" t="str">
        <x:f>IF(A600="","",--(COUNTIFS($A$2:A600,A600,$F$2:F600,F600)=1))</x:f>
      </x:c>
    </x:row>
  </x:sheetData>
  <x:dataValidations count="4">
    <x:dataValidation type="list" sqref="F2:F600">
      <x:formula1>LISTAS!$B$3:$B$11</x:formula1>
    </x:dataValidation>
    <x:dataValidation type="list" sqref="I2:I600">
      <x:formula1>LISTAS!$D$2:$D$3</x:formula1>
    </x:dataValidation>
    <x:dataValidation type="list" sqref="K2:K600">
      <x:formula1>LISTAS!$C$2:$C$5</x:formula1>
    </x:dataValidation>
    <x:dataValidation type="list" sqref="M2:M600">
      <x:formula1>LISTAS!$E$2:$E$3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75" hidden="0" customWidth="1"/>
    <x:col min="4" max="4" width="16" hidden="0" customWidth="1"/>
    <x:col min="5" max="5" width="14" hidden="0" customWidth="1"/>
    <x:col min="6" max="6" width="14" hidden="0" customWidth="1"/>
    <x:col min="7" max="7" width="28" hidden="0" customWidth="1"/>
  </x:cols>
  <x:sheetData>
    <x:row r="1">
      <x:c r="A1" s="3" t="str">
        <x:v>Polo</x:v>
      </x:c>
      <x:c r="B1" s="3" t="str">
        <x:v>Microrrota</x:v>
      </x:c>
      <x:c r="C1" s="3" t="str">
        <x:v>Municípios de Atendimento</x:v>
      </x:c>
      <x:c r="D1" s="3" t="str">
        <x:v>Cor do Polo</x:v>
      </x:c>
      <x:c r="E1" s="3" t="str">
        <x:v>Latitude</x:v>
      </x:c>
      <x:c r="F1" s="3" t="str">
        <x:v>Longitude</x:v>
      </x:c>
      <x:c r="G1" s="3" t="str">
        <x:v>Observação</x:v>
      </x:c>
    </x:row>
    <x:row r="2">
      <x:c r="A2" t="str">
        <x:v>Recife/RMR</x:v>
      </x:c>
      <x:c r="B2" t="str">
        <x:v>MR01</x:v>
      </x:c>
      <x:c r="C2" t="str">
        <x:v>Itapissuma; Igarassu; Ilha de Itamaracá; Goiana; Araçoiaba; Abreu e Lima</x:v>
      </x:c>
      <x:c r="D2" t="str">
        <x:v>#EB5757</x:v>
      </x:c>
      <x:c r="E2" t="str"/>
      <x:c r="F2" t="str"/>
      <x:c r="G2" t="str"/>
    </x:row>
    <x:row r="3">
      <x:c r="A3" t="str">
        <x:v>Recife/RMR</x:v>
      </x:c>
      <x:c r="B3" t="str">
        <x:v>MR02</x:v>
      </x:c>
      <x:c r="C3" t="str">
        <x:v>Paulista; Olinda</x:v>
      </x:c>
      <x:c r="D3" t="str">
        <x:v>#EB5757</x:v>
      </x:c>
      <x:c r="E3" t="str"/>
      <x:c r="F3" t="str"/>
      <x:c r="G3" t="str"/>
    </x:row>
    <x:row r="4">
      <x:c r="A4" t="str">
        <x:v>Recife/RMR</x:v>
      </x:c>
      <x:c r="B4" t="str">
        <x:v>MR03</x:v>
      </x:c>
      <x:c r="C4" t="str">
        <x:v>Camaragibe; São Lourenço da Mata; Recife; Moreno</x:v>
      </x:c>
      <x:c r="D4" t="str">
        <x:v>#EB5757</x:v>
      </x:c>
      <x:c r="E4" t="str"/>
      <x:c r="F4" t="str"/>
      <x:c r="G4" t="str"/>
    </x:row>
    <x:row r="5">
      <x:c r="A5" t="str">
        <x:v>Recife/RMR</x:v>
      </x:c>
      <x:c r="B5" t="str">
        <x:v>MR04</x:v>
      </x:c>
      <x:c r="C5" t="str">
        <x:v>Cabo de Santo Agostinho; Ipojuca; Jaboatão dos Guararapes</x:v>
      </x:c>
      <x:c r="D5" t="str">
        <x:v>#EB5757</x:v>
      </x:c>
      <x:c r="E5" t="str"/>
      <x:c r="F5" t="str"/>
      <x:c r="G5" t="str"/>
    </x:row>
    <x:row r="6">
      <x:c r="A6" t="str">
        <x:v>Carpina</x:v>
      </x:c>
      <x:c r="B6" t="str">
        <x:v>MR01</x:v>
      </x:c>
      <x:c r="C6" t="str">
        <x:v>Carpina; Paudalho; Lagoa do Carro; Nazaré da Mata</x:v>
      </x:c>
      <x:c r="D6" t="str">
        <x:v>#6FCF97</x:v>
      </x:c>
      <x:c r="E6" t="str"/>
      <x:c r="F6" t="str"/>
      <x:c r="G6" t="str"/>
    </x:row>
    <x:row r="7">
      <x:c r="A7" t="str">
        <x:v>Carpina</x:v>
      </x:c>
      <x:c r="B7" t="str">
        <x:v>MR02</x:v>
      </x:c>
      <x:c r="C7" t="str">
        <x:v>Chã de Alegria; Glória do Goitá; Limoeiro; Feira Nova; Lagoa de Itaenga</x:v>
      </x:c>
      <x:c r="D7" t="str">
        <x:v>#6FCF97</x:v>
      </x:c>
      <x:c r="E7" t="str"/>
      <x:c r="F7" t="str"/>
      <x:c r="G7" t="str"/>
    </x:row>
    <x:row r="8">
      <x:c r="A8" t="str">
        <x:v>Carpina</x:v>
      </x:c>
      <x:c r="B8" t="str">
        <x:v>MR03</x:v>
      </x:c>
      <x:c r="C8" t="str">
        <x:v>João Alfredo; Bom Jardim; Orobó; Machados</x:v>
      </x:c>
      <x:c r="D8" t="str">
        <x:v>#6FCF97</x:v>
      </x:c>
      <x:c r="E8" t="str"/>
      <x:c r="F8" t="str"/>
      <x:c r="G8" t="str"/>
    </x:row>
    <x:row r="9">
      <x:c r="A9" t="str">
        <x:v>Carpina</x:v>
      </x:c>
      <x:c r="B9" t="str">
        <x:v>MR04</x:v>
      </x:c>
      <x:c r="C9" t="str">
        <x:v>Buenos Aires; Vicência; São Vicente Férrer; Macaparana</x:v>
      </x:c>
      <x:c r="D9" t="str">
        <x:v>#6FCF97</x:v>
      </x:c>
      <x:c r="E9" t="str"/>
      <x:c r="F9" t="str"/>
      <x:c r="G9" t="str"/>
    </x:row>
    <x:row r="10">
      <x:c r="A10" t="str">
        <x:v>Carpina</x:v>
      </x:c>
      <x:c r="B10" t="str">
        <x:v>MR05</x:v>
      </x:c>
      <x:c r="C10" t="str">
        <x:v>Condado; Aliança; Itambé; Itaquitinga; Tracunhaém</x:v>
      </x:c>
      <x:c r="D10" t="str">
        <x:v>#6FCF97</x:v>
      </x:c>
      <x:c r="E10" t="str"/>
      <x:c r="F10" t="str"/>
      <x:c r="G10" t="str"/>
    </x:row>
    <x:row r="11">
      <x:c r="A11" t="str">
        <x:v>Carpina</x:v>
      </x:c>
      <x:c r="B11" t="str">
        <x:v>MR06</x:v>
      </x:c>
      <x:c r="C11" t="str">
        <x:v>Timbaúba; Ferreiros; Camutanga</x:v>
      </x:c>
      <x:c r="D11" t="str">
        <x:v>#6FCF97</x:v>
      </x:c>
      <x:c r="E11" t="str"/>
      <x:c r="F11" t="str"/>
      <x:c r="G11" t="str"/>
    </x:row>
    <x:row r="12">
      <x:c r="A12" t="str">
        <x:v>Vitória de Santo Antão</x:v>
      </x:c>
      <x:c r="B12" t="str">
        <x:v>MR01</x:v>
      </x:c>
      <x:c r="C12" t="str">
        <x:v>Vitória de Santo Antão; Pombos</x:v>
      </x:c>
      <x:c r="D12" t="str">
        <x:v>#56CCF2</x:v>
      </x:c>
      <x:c r="E12" t="str"/>
      <x:c r="F12" t="str"/>
      <x:c r="G12" t="str"/>
    </x:row>
    <x:row r="13">
      <x:c r="A13" t="str">
        <x:v>Vitória de Santo Antão</x:v>
      </x:c>
      <x:c r="B13" t="str">
        <x:v>MR02</x:v>
      </x:c>
      <x:c r="C13" t="str">
        <x:v>Primavera; Escada</x:v>
      </x:c>
      <x:c r="D13" t="str">
        <x:v>#56CCF2</x:v>
      </x:c>
      <x:c r="E13" t="str"/>
      <x:c r="F13" t="str"/>
      <x:c r="G13" t="str"/>
    </x:row>
    <x:row r="14">
      <x:c r="A14" t="str">
        <x:v>Vitória de Santo Antão</x:v>
      </x:c>
      <x:c r="B14" t="str">
        <x:v>MR03</x:v>
      </x:c>
      <x:c r="C14" t="str">
        <x:v>São José da Coroa Grande; Barreiros</x:v>
      </x:c>
      <x:c r="D14" t="str">
        <x:v>#56CCF2</x:v>
      </x:c>
      <x:c r="E14" t="str"/>
      <x:c r="F14" t="str"/>
      <x:c r="G14" t="str"/>
    </x:row>
    <x:row r="15">
      <x:c r="A15" t="str">
        <x:v>Vitória de Santo Antão</x:v>
      </x:c>
      <x:c r="B15" t="str">
        <x:v>MR04</x:v>
      </x:c>
      <x:c r="C15" t="str">
        <x:v>Rio Formoso; Tamandaré</x:v>
      </x:c>
      <x:c r="D15" t="str">
        <x:v>#56CCF2</x:v>
      </x:c>
      <x:c r="E15" t="str"/>
      <x:c r="F15" t="str"/>
      <x:c r="G15" t="str"/>
    </x:row>
    <x:row r="16">
      <x:c r="A16" t="str">
        <x:v>Vitória de Santo Antão</x:v>
      </x:c>
      <x:c r="B16" t="str">
        <x:v>MR05</x:v>
      </x:c>
      <x:c r="C16" t="str">
        <x:v>Joaquim Nabuco; Sirinhaém; Ribeirão</x:v>
      </x:c>
      <x:c r="D16" t="str">
        <x:v>#56CCF2</x:v>
      </x:c>
      <x:c r="E16" t="str"/>
      <x:c r="F16" t="str"/>
      <x:c r="G16" t="str"/>
    </x:row>
    <x:row r="17">
      <x:c r="A17" t="str">
        <x:v>Gravatá</x:v>
      </x:c>
      <x:c r="B17" t="str">
        <x:v>MR01</x:v>
      </x:c>
      <x:c r="C17" t="str">
        <x:v>Barra de Guabiraba; Bonito</x:v>
      </x:c>
      <x:c r="D17" t="str">
        <x:v>#F2994A</x:v>
      </x:c>
      <x:c r="E17" t="str"/>
      <x:c r="F17" t="str"/>
      <x:c r="G17" t="str"/>
    </x:row>
    <x:row r="18">
      <x:c r="A18" t="str">
        <x:v>Gravatá</x:v>
      </x:c>
      <x:c r="B18" t="str">
        <x:v>MR02</x:v>
      </x:c>
      <x:c r="C18" t="str">
        <x:v>Gravatá; Chã Grande</x:v>
      </x:c>
      <x:c r="D18" t="str">
        <x:v>#F2994A</x:v>
      </x:c>
      <x:c r="E18" t="str"/>
      <x:c r="F18" t="str"/>
      <x:c r="G18" t="str"/>
    </x:row>
    <x:row r="19">
      <x:c r="A19" t="str">
        <x:v>Gravatá</x:v>
      </x:c>
      <x:c r="B19" t="str">
        <x:v>MR03</x:v>
      </x:c>
      <x:c r="C19" t="str">
        <x:v>Bezerros; Sairé; Cumaru</x:v>
      </x:c>
      <x:c r="D19" t="str">
        <x:v>#F2994A</x:v>
      </x:c>
      <x:c r="E19" t="str"/>
      <x:c r="F19" t="str"/>
      <x:c r="G19" t="str"/>
    </x:row>
    <x:row r="20">
      <x:c r="A20" t="str">
        <x:v>Gravatá</x:v>
      </x:c>
      <x:c r="B20" t="str">
        <x:v>MR04</x:v>
      </x:c>
      <x:c r="C20" t="str">
        <x:v>Camocim de São Félix; São Joaquim do Monte</x:v>
      </x:c>
      <x:c r="D20" t="str">
        <x:v>#F2994A</x:v>
      </x:c>
      <x:c r="E20" t="str"/>
      <x:c r="F20" t="str"/>
      <x:c r="G20" t="str"/>
    </x:row>
    <x:row r="21">
      <x:c r="A21" t="str">
        <x:v>Caruaru</x:v>
      </x:c>
      <x:c r="B21" t="str">
        <x:v>MR01</x:v>
      </x:c>
      <x:c r="C21" t="str">
        <x:v>Caruaru</x:v>
      </x:c>
      <x:c r="D21" t="str">
        <x:v>#9B51E0</x:v>
      </x:c>
      <x:c r="E21" t="str"/>
      <x:c r="F21" t="str"/>
      <x:c r="G21" t="str"/>
    </x:row>
    <x:row r="22">
      <x:c r="A22" t="str">
        <x:v>Caruaru</x:v>
      </x:c>
      <x:c r="B22" t="str">
        <x:v>MR02</x:v>
      </x:c>
      <x:c r="C22" t="str">
        <x:v>Altinho; Riacho das Almas; São Caetano; Agrestina</x:v>
      </x:c>
      <x:c r="D22" t="str">
        <x:v>#9B51E0</x:v>
      </x:c>
      <x:c r="E22" t="str"/>
      <x:c r="F22" t="str"/>
      <x:c r="G22" t="str"/>
    </x:row>
    <x:row r="23">
      <x:c r="A23" t="str">
        <x:v>Caruaru</x:v>
      </x:c>
      <x:c r="B23" t="str">
        <x:v>MR03</x:v>
      </x:c>
      <x:c r="C23" t="str">
        <x:v>Panelas; Cupira; Belém de Maria; Lagoa dos Gatos; Maraial</x:v>
      </x:c>
      <x:c r="D23" t="str">
        <x:v>#9B51E0</x:v>
      </x:c>
      <x:c r="E23" t="str"/>
      <x:c r="F23" t="str"/>
      <x:c r="G23" t="str"/>
    </x:row>
    <x:row r="24">
      <x:c r="A24" t="str">
        <x:v>Caruaru</x:v>
      </x:c>
      <x:c r="B24" t="str">
        <x:v>MR04</x:v>
      </x:c>
      <x:c r="C24" t="str">
        <x:v>Belo Jardim; Cachoeirinha; Ibirajuba; Sanharó; São Bento do Una; Tacaimbó</x:v>
      </x:c>
      <x:c r="D24" t="str">
        <x:v>#9B51E0</x:v>
      </x:c>
      <x:c r="E24" t="str"/>
      <x:c r="F24" t="str"/>
      <x:c r="G24" t="str"/>
    </x:row>
    <x:row r="25">
      <x:c r="A25" t="str">
        <x:v>Caruaru</x:v>
      </x:c>
      <x:c r="B25" t="str">
        <x:v>MR05</x:v>
      </x:c>
      <x:c r="C25" t="str">
        <x:v>Brejo da Madre de Deus; Jataúba; Santa Cruz do Capibaribe; Taquaritinga do Norte; Toritama; Vertentes</x:v>
      </x:c>
      <x:c r="D25" t="str">
        <x:v>#9B51E0</x:v>
      </x:c>
      <x:c r="E25" t="str"/>
      <x:c r="F25" t="str"/>
      <x:c r="G25" t="str"/>
    </x:row>
    <x:row r="26">
      <x:c r="A26" t="str">
        <x:v>Caruaru</x:v>
      </x:c>
      <x:c r="B26" t="str">
        <x:v>MR06</x:v>
      </x:c>
      <x:c r="C26" t="str">
        <x:v>Casinhas; Frei Miguelinho; Passira; Salgadinho; Santa Maria do Cambucá; Surubim; Vertente do Lério</x:v>
      </x:c>
      <x:c r="D26" t="str">
        <x:v>#9B51E0</x:v>
      </x:c>
      <x:c r="E26" t="str"/>
      <x:c r="F26" t="str"/>
      <x:c r="G26" t="str"/>
    </x:row>
    <x:row r="27">
      <x:c r="A27" t="str">
        <x:v>Garanhuns</x:v>
      </x:c>
      <x:c r="B27" t="str">
        <x:v>MR01</x:v>
      </x:c>
      <x:c r="C27" t="str">
        <x:v>Garanhuns; Caetés; Capoeiras; Jucati; Jupi; Lajedo; São João</x:v>
      </x:c>
      <x:c r="D27" t="str">
        <x:v>#EB8ACB</x:v>
      </x:c>
      <x:c r="E27" t="str"/>
      <x:c r="F27" t="str"/>
      <x:c r="G27" t="str"/>
    </x:row>
    <x:row r="28">
      <x:c r="A28" t="str">
        <x:v>Garanhuns</x:v>
      </x:c>
      <x:c r="B28" t="str">
        <x:v>MR02</x:v>
      </x:c>
      <x:c r="C28" t="str">
        <x:v>Angelim; Calçado; Canhotinho; Jaqueira; Jurema; São Benedito do Sul; Paranatama</x:v>
      </x:c>
      <x:c r="D28" t="str">
        <x:v>#EB8ACB</x:v>
      </x:c>
      <x:c r="E28" t="str"/>
      <x:c r="F28" t="str"/>
      <x:c r="G28" t="str"/>
    </x:row>
    <x:row r="29">
      <x:c r="A29" t="str">
        <x:v>Garanhuns</x:v>
      </x:c>
      <x:c r="B29" t="str">
        <x:v>MR03</x:v>
      </x:c>
      <x:c r="C29" t="str">
        <x:v>Águas Belas; Bom Conselho; Brejão; Correntes; Lagoa do Ouro; Palmeirina; Terezinha; Saloá; Quipapá</x:v>
      </x:c>
      <x:c r="D29" t="str">
        <x:v>#EB8ACB</x:v>
      </x:c>
      <x:c r="E29" t="str"/>
      <x:c r="F29" t="str"/>
      <x:c r="G29" t="str"/>
    </x:row>
    <x:row r="30">
      <x:c r="A30" t="str">
        <x:v>Arcoverde</x:v>
      </x:c>
      <x:c r="B30" t="str">
        <x:v>MR01</x:v>
      </x:c>
      <x:c r="C30" t="str">
        <x:v>Buíque; Pedra; Venturosa; Ibimirim</x:v>
      </x:c>
      <x:c r="D30" t="str">
        <x:v>#F2C94C</x:v>
      </x:c>
      <x:c r="E30" t="str"/>
      <x:c r="F30" t="str"/>
      <x:c r="G30" t="str"/>
    </x:row>
    <x:row r="31">
      <x:c r="A31" t="str">
        <x:v>Arcoverde</x:v>
      </x:c>
      <x:c r="B31" t="str">
        <x:v>MR02</x:v>
      </x:c>
      <x:c r="C31" t="str">
        <x:v>Alagoinha; Pesqueira; Poção</x:v>
      </x:c>
      <x:c r="D31" t="str">
        <x:v>#F2C94C</x:v>
      </x:c>
      <x:c r="E31" t="str"/>
      <x:c r="F31" t="str"/>
      <x:c r="G31" t="str"/>
    </x:row>
    <x:row r="32">
      <x:c r="A32" t="str">
        <x:v>Arcoverde</x:v>
      </x:c>
      <x:c r="B32" t="str">
        <x:v>MR03</x:v>
      </x:c>
      <x:c r="C32" t="str">
        <x:v>Itaíba; Manari; Tupanatinga</x:v>
      </x:c>
      <x:c r="D32" t="str">
        <x:v>#F2C94C</x:v>
      </x:c>
      <x:c r="E32" t="str"/>
      <x:c r="F32" t="str"/>
      <x:c r="G32" t="str"/>
    </x:row>
    <x:row r="33">
      <x:c r="A33" t="str">
        <x:v>Arcoverde</x:v>
      </x:c>
      <x:c r="B33" t="str">
        <x:v>MR04</x:v>
      </x:c>
      <x:c r="C33" t="str">
        <x:v>Custódia; Sertânia; Arcoverde</x:v>
      </x:c>
      <x:c r="D33" t="str">
        <x:v>#F2C94C</x:v>
      </x:c>
      <x:c r="E33" t="str"/>
      <x:c r="F33" t="str"/>
      <x:c r="G33" t="str"/>
    </x:row>
    <x:row r="34">
      <x:c r="A34" t="str">
        <x:v>Afogados da Ingazeira</x:v>
      </x:c>
      <x:c r="B34" t="str">
        <x:v>MR01</x:v>
      </x:c>
      <x:c r="C34" t="str">
        <x:v>Brejinho; Itapetim; Santa Terezinha; São José do Egito; Tuparetama</x:v>
      </x:c>
      <x:c r="D34" t="str">
        <x:v>#27AE60</x:v>
      </x:c>
      <x:c r="E34" t="str"/>
      <x:c r="F34" t="str"/>
      <x:c r="G34" t="str"/>
    </x:row>
    <x:row r="35">
      <x:c r="A35" t="str">
        <x:v>Afogados da Ingazeira</x:v>
      </x:c>
      <x:c r="B35" t="str">
        <x:v>MR02</x:v>
      </x:c>
      <x:c r="C35" t="str">
        <x:v>Carnaíba; Flores; Quixaba</x:v>
      </x:c>
      <x:c r="D35" t="str">
        <x:v>#27AE60</x:v>
      </x:c>
      <x:c r="E35" t="str"/>
      <x:c r="F35" t="str"/>
      <x:c r="G35" t="str"/>
    </x:row>
    <x:row r="36">
      <x:c r="A36" t="str">
        <x:v>Afogados da Ingazeira</x:v>
      </x:c>
      <x:c r="B36" t="str">
        <x:v>MR03</x:v>
      </x:c>
      <x:c r="C36" t="str">
        <x:v>Afogados da Ingazeira; Iguaracy; Ingazeira; Solidão; Tabira</x:v>
      </x:c>
      <x:c r="D36" t="str">
        <x:v>#27AE60</x:v>
      </x:c>
      <x:c r="E36" t="str"/>
      <x:c r="F36" t="str"/>
      <x:c r="G36" t="str"/>
    </x:row>
    <x:row r="37">
      <x:c r="A37" t="str">
        <x:v>Serra Talhada</x:v>
      </x:c>
      <x:c r="B37" t="str">
        <x:v>MR01</x:v>
      </x:c>
      <x:c r="C37" t="str">
        <x:v>Betânia; Calumbi; Santa Cruz da Baixa Verde; Serra Talhada; Triunfo</x:v>
      </x:c>
      <x:c r="D37" t="str">
        <x:v>#2F80ED</x:v>
      </x:c>
      <x:c r="E37" t="str"/>
      <x:c r="F37" t="str"/>
      <x:c r="G37" t="str"/>
    </x:row>
    <x:row r="38">
      <x:c r="A38" t="str">
        <x:v>Serra Talhada</x:v>
      </x:c>
      <x:c r="B38" t="str">
        <x:v>MR02</x:v>
      </x:c>
      <x:c r="C38" t="str">
        <x:v>Jatobá; Petrolândia; Tacaratu</x:v>
      </x:c>
      <x:c r="D38" t="str">
        <x:v>#2F80ED</x:v>
      </x:c>
      <x:c r="E38" t="str"/>
      <x:c r="F38" t="str"/>
      <x:c r="G38" t="str"/>
    </x:row>
    <x:row r="39">
      <x:c r="A39" t="str">
        <x:v>Serra Talhada</x:v>
      </x:c>
      <x:c r="B39" t="str">
        <x:v>MR03</x:v>
      </x:c>
      <x:c r="C39" t="str">
        <x:v>Belém do São Francisco; Carnaubeira da Penha; Floresta; Itacuruba; Mirandiba</x:v>
      </x:c>
      <x:c r="D39" t="str">
        <x:v>#2F80ED</x:v>
      </x:c>
      <x:c r="E39" t="str"/>
      <x:c r="F39" t="str"/>
      <x:c r="G3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Frente</x:v>
      </x:c>
      <x:c r="B1" s="3" t="str">
        <x:v>Base / Polo</x:v>
      </x:c>
      <x:c r="C1" s="3" t="str">
        <x:v>Município</x:v>
      </x:c>
      <x:c r="D1" s="3" t="str">
        <x:v>Base Prevista</x:v>
      </x:c>
      <x:c r="E1" s="3" t="str">
        <x:v>Status da Base</x:v>
      </x:c>
      <x:c r="F1" s="3" t="str">
        <x:v>Latitude</x:v>
      </x:c>
      <x:c r="G1" s="3" t="str">
        <x:v>Longitude</x:v>
      </x:c>
      <x:c r="H1" s="3" t="str">
        <x:v>Observação</x:v>
      </x:c>
    </x:row>
    <x:row r="2">
      <x:c r="A2" t="str">
        <x:v>Cobrança</x:v>
      </x:c>
      <x:c r="B2" t="str">
        <x:v>Recife/RMR</x:v>
      </x:c>
      <x:c r="C2" t="str">
        <x:v>Recife/RMR</x:v>
      </x:c>
      <x:c r="D2" t="str">
        <x:v>Sim</x:v>
      </x:c>
      <x:c r="E2" t="str">
        <x:v>Em implantação</x:v>
      </x:c>
      <x:c r="F2" t="str"/>
      <x:c r="G2" t="str"/>
      <x:c r="H2" t="str">
        <x:v>DADO FICTÍCIO – teste</x:v>
      </x:c>
    </x:row>
    <x:row r="3">
      <x:c r="A3" t="str">
        <x:v>Cobrança</x:v>
      </x:c>
      <x:c r="B3" t="str">
        <x:v>Carpina</x:v>
      </x:c>
      <x:c r="C3" t="str">
        <x:v>Carpina</x:v>
      </x:c>
      <x:c r="D3" t="str">
        <x:v>Sim</x:v>
      </x:c>
      <x:c r="E3" t="str">
        <x:v>Em implantação</x:v>
      </x:c>
      <x:c r="F3" t="str"/>
      <x:c r="G3" t="str"/>
      <x:c r="H3" t="str">
        <x:v>DADO FICTÍCIO – teste</x:v>
      </x:c>
    </x:row>
    <x:row r="4">
      <x:c r="A4" t="str">
        <x:v>Cobrança</x:v>
      </x:c>
      <x:c r="B4" t="str">
        <x:v>Vitória de Santo Antão</x:v>
      </x:c>
      <x:c r="C4" t="str">
        <x:v>Vitória de Santo Antão</x:v>
      </x:c>
      <x:c r="D4" t="str">
        <x:v>Sim</x:v>
      </x:c>
      <x:c r="E4" t="str">
        <x:v>Em implantação</x:v>
      </x:c>
      <x:c r="F4" t="str"/>
      <x:c r="G4" t="str"/>
      <x:c r="H4" t="str">
        <x:v>DADO FICTÍCIO – teste</x:v>
      </x:c>
    </x:row>
    <x:row r="5">
      <x:c r="A5" t="str">
        <x:v>Cobrança</x:v>
      </x:c>
      <x:c r="B5" t="str">
        <x:v>Gravatá</x:v>
      </x:c>
      <x:c r="C5" t="str">
        <x:v>Gravatá</x:v>
      </x:c>
      <x:c r="D5" t="str">
        <x:v>Sim</x:v>
      </x:c>
      <x:c r="E5" t="str">
        <x:v>Em implantação</x:v>
      </x:c>
      <x:c r="F5" t="str"/>
      <x:c r="G5" t="str"/>
      <x:c r="H5" t="str">
        <x:v>DADO FICTÍCIO – teste</x:v>
      </x:c>
    </x:row>
    <x:row r="6">
      <x:c r="A6" t="str">
        <x:v>Cobrança</x:v>
      </x:c>
      <x:c r="B6" t="str">
        <x:v>Caruaru</x:v>
      </x:c>
      <x:c r="C6" t="str">
        <x:v>Caruaru</x:v>
      </x:c>
      <x:c r="D6" t="str">
        <x:v>Sim</x:v>
      </x:c>
      <x:c r="E6" t="str">
        <x:v>Em implantação</x:v>
      </x:c>
      <x:c r="F6" t="str"/>
      <x:c r="G6" t="str"/>
      <x:c r="H6" t="str">
        <x:v>DADO FICTÍCIO – teste</x:v>
      </x:c>
    </x:row>
    <x:row r="7">
      <x:c r="A7" t="str">
        <x:v>Cobrança</x:v>
      </x:c>
      <x:c r="B7" t="str">
        <x:v>Garanhuns</x:v>
      </x:c>
      <x:c r="C7" t="str">
        <x:v>Garanhuns</x:v>
      </x:c>
      <x:c r="D7" t="str">
        <x:v>Sim</x:v>
      </x:c>
      <x:c r="E7" t="str">
        <x:v>Em implantação</x:v>
      </x:c>
      <x:c r="F7" t="str"/>
      <x:c r="G7" t="str"/>
      <x:c r="H7" t="str">
        <x:v>DADO FICTÍCIO – teste</x:v>
      </x:c>
    </x:row>
    <x:row r="8">
      <x:c r="A8" t="str">
        <x:v>Cobrança</x:v>
      </x:c>
      <x:c r="B8" t="str">
        <x:v>Arcoverde</x:v>
      </x:c>
      <x:c r="C8" t="str">
        <x:v>Arcoverde</x:v>
      </x:c>
      <x:c r="D8" t="str">
        <x:v>Sim</x:v>
      </x:c>
      <x:c r="E8" t="str">
        <x:v>Em implantação</x:v>
      </x:c>
      <x:c r="F8" t="str"/>
      <x:c r="G8" t="str"/>
      <x:c r="H8" t="str">
        <x:v>DADO FICTÍCIO – teste</x:v>
      </x:c>
    </x:row>
    <x:row r="9">
      <x:c r="A9" t="str">
        <x:v>Cobrança</x:v>
      </x:c>
      <x:c r="B9" t="str">
        <x:v>Afogados da Ingazeira</x:v>
      </x:c>
      <x:c r="C9" t="str">
        <x:v>Afogados da Ingazeira</x:v>
      </x:c>
      <x:c r="D9" t="str">
        <x:v>Sim</x:v>
      </x:c>
      <x:c r="E9" t="str">
        <x:v>Em implantação</x:v>
      </x:c>
      <x:c r="F9" t="str"/>
      <x:c r="G9" t="str"/>
      <x:c r="H9" t="str">
        <x:v>DADO FICTÍCIO – teste</x:v>
      </x:c>
    </x:row>
    <x:row r="10">
      <x:c r="A10" t="str">
        <x:v>Cobrança</x:v>
      </x:c>
      <x:c r="B10" t="str">
        <x:v>Serra Talhada</x:v>
      </x:c>
      <x:c r="C10" t="str">
        <x:v>Serra Talhada</x:v>
      </x:c>
      <x:c r="D10" t="str">
        <x:v>Sim</x:v>
      </x:c>
      <x:c r="E10" t="str">
        <x:v>Em implantação</x:v>
      </x:c>
      <x:c r="F10" t="str"/>
      <x:c r="G10" t="str"/>
      <x:c r="H10" t="str">
        <x:v>DADO FICTÍCIO – teste</x:v>
      </x:c>
    </x:row>
    <x:row r="11">
      <x:c r="A11" t="str">
        <x:v>Hidrometria</x:v>
      </x:c>
      <x:c r="B11" t="str">
        <x:v>Recife/RMR</x:v>
      </x:c>
      <x:c r="C11" t="str">
        <x:v>Recife/RMR</x:v>
      </x:c>
      <x:c r="D11" t="str">
        <x:v>Sim</x:v>
      </x:c>
      <x:c r="E11" t="str">
        <x:v>Em implantação</x:v>
      </x:c>
      <x:c r="F11" t="str"/>
      <x:c r="G11" t="str"/>
      <x:c r="H11" t="str">
        <x:v>DADO FICTÍCIO – teste</x:v>
      </x:c>
    </x:row>
    <x:row r="12">
      <x:c r="A12" t="str">
        <x:v>Hidrometria</x:v>
      </x:c>
      <x:c r="B12" t="str">
        <x:v>Carpina</x:v>
      </x:c>
      <x:c r="C12" t="str">
        <x:v>Carpina</x:v>
      </x:c>
      <x:c r="D12" t="str">
        <x:v>Sim</x:v>
      </x:c>
      <x:c r="E12" t="str">
        <x:v>Em implantação</x:v>
      </x:c>
      <x:c r="F12" t="str"/>
      <x:c r="G12" t="str"/>
      <x:c r="H12" t="str">
        <x:v>DADO FICTÍCIO – teste</x:v>
      </x:c>
    </x:row>
    <x:row r="13">
      <x:c r="A13" t="str">
        <x:v>Hidrometria</x:v>
      </x:c>
      <x:c r="B13" t="str">
        <x:v>Vitória de Santo Antão</x:v>
      </x:c>
      <x:c r="C13" t="str">
        <x:v>Vitória de Santo Antão</x:v>
      </x:c>
      <x:c r="D13" t="str">
        <x:v>Sim</x:v>
      </x:c>
      <x:c r="E13" t="str">
        <x:v>Em implantação</x:v>
      </x:c>
      <x:c r="F13" t="str"/>
      <x:c r="G13" t="str"/>
      <x:c r="H13" t="str">
        <x:v>DADO FICTÍCIO – teste</x:v>
      </x:c>
    </x:row>
    <x:row r="14">
      <x:c r="A14" t="str">
        <x:v>Hidrometria</x:v>
      </x:c>
      <x:c r="B14" t="str">
        <x:v>Gravatá</x:v>
      </x:c>
      <x:c r="C14" t="str">
        <x:v>Gravatá</x:v>
      </x:c>
      <x:c r="D14" t="str">
        <x:v>Sim</x:v>
      </x:c>
      <x:c r="E14" t="str">
        <x:v>Em implantação</x:v>
      </x:c>
      <x:c r="F14" t="str"/>
      <x:c r="G14" t="str"/>
      <x:c r="H14" t="str">
        <x:v>DADO FICTÍCIO – teste</x:v>
      </x:c>
    </x:row>
    <x:row r="15">
      <x:c r="A15" t="str">
        <x:v>Hidrometria</x:v>
      </x:c>
      <x:c r="B15" t="str">
        <x:v>Caruaru</x:v>
      </x:c>
      <x:c r="C15" t="str">
        <x:v>Caruaru</x:v>
      </x:c>
      <x:c r="D15" t="str">
        <x:v>Sim</x:v>
      </x:c>
      <x:c r="E15" t="str">
        <x:v>Em implantação</x:v>
      </x:c>
      <x:c r="F15" t="str"/>
      <x:c r="G15" t="str"/>
      <x:c r="H15" t="str">
        <x:v>DADO FICTÍCIO – teste</x:v>
      </x:c>
    </x:row>
    <x:row r="16">
      <x:c r="A16" t="str">
        <x:v>Hidrometria</x:v>
      </x:c>
      <x:c r="B16" t="str">
        <x:v>Garanhuns</x:v>
      </x:c>
      <x:c r="C16" t="str">
        <x:v>Garanhuns</x:v>
      </x:c>
      <x:c r="D16" t="str">
        <x:v>Sim</x:v>
      </x:c>
      <x:c r="E16" t="str">
        <x:v>Em implantação</x:v>
      </x:c>
      <x:c r="F16" t="str"/>
      <x:c r="G16" t="str"/>
      <x:c r="H16" t="str">
        <x:v>DADO FICTÍCIO – teste</x:v>
      </x:c>
    </x:row>
    <x:row r="17">
      <x:c r="A17" t="str">
        <x:v>Hidrometria</x:v>
      </x:c>
      <x:c r="B17" t="str">
        <x:v>Arcoverde</x:v>
      </x:c>
      <x:c r="C17" t="str">
        <x:v>Arcoverde</x:v>
      </x:c>
      <x:c r="D17" t="str">
        <x:v>Sim</x:v>
      </x:c>
      <x:c r="E17" t="str">
        <x:v>Em implantação</x:v>
      </x:c>
      <x:c r="F17" t="str"/>
      <x:c r="G17" t="str"/>
      <x:c r="H17" t="str">
        <x:v>DADO FICTÍCIO – teste</x:v>
      </x:c>
    </x:row>
    <x:row r="18">
      <x:c r="A18" t="str">
        <x:v>Hidrometria</x:v>
      </x:c>
      <x:c r="B18" t="str">
        <x:v>Afogados da Ingazeira</x:v>
      </x:c>
      <x:c r="C18" t="str">
        <x:v>Afogados da Ingazeira</x:v>
      </x:c>
      <x:c r="D18" t="str">
        <x:v>Sim</x:v>
      </x:c>
      <x:c r="E18" t="str">
        <x:v>Em implantação</x:v>
      </x:c>
      <x:c r="F18" t="str"/>
      <x:c r="G18" t="str"/>
      <x:c r="H18" t="str">
        <x:v>DADO FICTÍCIO – teste</x:v>
      </x:c>
    </x:row>
    <x:row r="19">
      <x:c r="A19" t="str">
        <x:v>Hidrometria</x:v>
      </x:c>
      <x:c r="B19" t="str">
        <x:v>Serra Talhada</x:v>
      </x:c>
      <x:c r="C19" t="str">
        <x:v>Serra Talhada</x:v>
      </x:c>
      <x:c r="D19" t="str">
        <x:v>Sim</x:v>
      </x:c>
      <x:c r="E19" t="str">
        <x:v>Em implantação</x:v>
      </x:c>
      <x:c r="F19" t="str"/>
      <x:c r="G19" t="str"/>
      <x:c r="H19" t="str">
        <x:v>DADO FICTÍCIO – teste</x:v>
      </x:c>
    </x:row>
    <x:row r="20">
      <x:c r="A20" t="str">
        <x:v>Leitura</x:v>
      </x:c>
      <x:c r="B20" t="str">
        <x:v>Recife/RMR</x:v>
      </x:c>
      <x:c r="C20" t="str">
        <x:v>Recife/RMR</x:v>
      </x:c>
      <x:c r="D20" t="str">
        <x:v>Sim</x:v>
      </x:c>
      <x:c r="E20" t="str">
        <x:v>Em implantação</x:v>
      </x:c>
      <x:c r="F20" t="str"/>
      <x:c r="G20" t="str"/>
      <x:c r="H20" t="str">
        <x:v>DADO FICTÍCIO – teste</x:v>
      </x:c>
    </x:row>
    <x:row r="21">
      <x:c r="A21" t="str">
        <x:v>Leitura</x:v>
      </x:c>
      <x:c r="B21" t="str">
        <x:v>Carpina</x:v>
      </x:c>
      <x:c r="C21" t="str">
        <x:v>Carpina</x:v>
      </x:c>
      <x:c r="D21" t="str">
        <x:v>Sim</x:v>
      </x:c>
      <x:c r="E21" t="str">
        <x:v>Em implantação</x:v>
      </x:c>
      <x:c r="F21" t="str"/>
      <x:c r="G21" t="str"/>
      <x:c r="H21" t="str">
        <x:v>DADO FICTÍCIO – teste</x:v>
      </x:c>
    </x:row>
    <x:row r="22">
      <x:c r="A22" t="str">
        <x:v>Leitura</x:v>
      </x:c>
      <x:c r="B22" t="str">
        <x:v>Vitória de Santo Antão</x:v>
      </x:c>
      <x:c r="C22" t="str">
        <x:v>Vitória de Santo Antão</x:v>
      </x:c>
      <x:c r="D22" t="str">
        <x:v>Sim</x:v>
      </x:c>
      <x:c r="E22" t="str">
        <x:v>Em implantação</x:v>
      </x:c>
      <x:c r="F22" t="str"/>
      <x:c r="G22" t="str"/>
      <x:c r="H22" t="str">
        <x:v>DADO FICTÍCIO – teste</x:v>
      </x:c>
    </x:row>
    <x:row r="23">
      <x:c r="A23" t="str">
        <x:v>Leitura</x:v>
      </x:c>
      <x:c r="B23" t="str">
        <x:v>Gravatá</x:v>
      </x:c>
      <x:c r="C23" t="str">
        <x:v>Gravatá</x:v>
      </x:c>
      <x:c r="D23" t="str">
        <x:v>Sim</x:v>
      </x:c>
      <x:c r="E23" t="str">
        <x:v>Em implantação</x:v>
      </x:c>
      <x:c r="F23" t="str"/>
      <x:c r="G23" t="str"/>
      <x:c r="H23" t="str">
        <x:v>DADO FICTÍCIO – teste</x:v>
      </x:c>
    </x:row>
    <x:row r="24">
      <x:c r="A24" t="str">
        <x:v>Leitura</x:v>
      </x:c>
      <x:c r="B24" t="str">
        <x:v>Caruaru</x:v>
      </x:c>
      <x:c r="C24" t="str">
        <x:v>Caruaru</x:v>
      </x:c>
      <x:c r="D24" t="str">
        <x:v>Sim</x:v>
      </x:c>
      <x:c r="E24" t="str">
        <x:v>Em implantação</x:v>
      </x:c>
      <x:c r="F24" t="str"/>
      <x:c r="G24" t="str"/>
      <x:c r="H24" t="str">
        <x:v>DADO FICTÍCIO – teste</x:v>
      </x:c>
    </x:row>
    <x:row r="25">
      <x:c r="A25" t="str">
        <x:v>Leitura</x:v>
      </x:c>
      <x:c r="B25" t="str">
        <x:v>Garanhuns</x:v>
      </x:c>
      <x:c r="C25" t="str">
        <x:v>Garanhuns</x:v>
      </x:c>
      <x:c r="D25" t="str">
        <x:v>Sim</x:v>
      </x:c>
      <x:c r="E25" t="str">
        <x:v>Em implantação</x:v>
      </x:c>
      <x:c r="F25" t="str"/>
      <x:c r="G25" t="str"/>
      <x:c r="H25" t="str">
        <x:v>DADO FICTÍCIO – teste</x:v>
      </x:c>
    </x:row>
    <x:row r="26">
      <x:c r="A26" t="str">
        <x:v>Leitura</x:v>
      </x:c>
      <x:c r="B26" t="str">
        <x:v>Arcoverde</x:v>
      </x:c>
      <x:c r="C26" t="str">
        <x:v>Arcoverde</x:v>
      </x:c>
      <x:c r="D26" t="str">
        <x:v>Sim</x:v>
      </x:c>
      <x:c r="E26" t="str">
        <x:v>Em implantação</x:v>
      </x:c>
      <x:c r="F26" t="str"/>
      <x:c r="G26" t="str"/>
      <x:c r="H26" t="str">
        <x:v>DADO FICTÍCIO – teste</x:v>
      </x:c>
    </x:row>
    <x:row r="27">
      <x:c r="A27" t="str">
        <x:v>Leitura</x:v>
      </x:c>
      <x:c r="B27" t="str">
        <x:v>Afogados da Ingazeira</x:v>
      </x:c>
      <x:c r="C27" t="str">
        <x:v>Afogados da Ingazeira</x:v>
      </x:c>
      <x:c r="D27" t="str">
        <x:v>Sim</x:v>
      </x:c>
      <x:c r="E27" t="str">
        <x:v>Em implantação</x:v>
      </x:c>
      <x:c r="F27" t="str"/>
      <x:c r="G27" t="str"/>
      <x:c r="H27" t="str">
        <x:v>DADO FICTÍCIO – teste</x:v>
      </x:c>
    </x:row>
    <x:row r="28">
      <x:c r="A28" t="str">
        <x:v>Leitura</x:v>
      </x:c>
      <x:c r="B28" t="str">
        <x:v>Serra Talhada</x:v>
      </x:c>
      <x:c r="C28" t="str">
        <x:v>Serra Talhada</x:v>
      </x:c>
      <x:c r="D28" t="str">
        <x:v>Sim</x:v>
      </x:c>
      <x:c r="E28" t="str">
        <x:v>Em implantação</x:v>
      </x:c>
      <x:c r="F28" t="str"/>
      <x:c r="G28" t="str"/>
      <x:c r="H28" t="str">
        <x:v>DADO FICTÍCIO – teste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Frente</x:v>
      </x:c>
      <x:c r="B1" s="3" t="str">
        <x:v>Marco / Mês</x:v>
      </x:c>
      <x:c r="C1" s="3" t="str">
        <x:v>Equipes Planejadas</x:v>
      </x:c>
      <x:c r="D1" s="3" t="str">
        <x:v>Observação</x:v>
      </x:c>
    </x:row>
    <x:row r="2">
      <x:c r="A2" t="str">
        <x:v>Hidrometria</x:v>
      </x:c>
      <x:c r="B2" t="str">
        <x:v>Go-Live</x:v>
      </x:c>
      <x:c r="C2" t="n">
        <x:v>33</x:v>
      </x:c>
      <x:c r="D2" t="str">
        <x:v>Cenário 1 selecionado</x:v>
      </x:c>
    </x:row>
    <x:row r="3">
      <x:c r="A3" t="str">
        <x:v>Cobrança</x:v>
      </x:c>
      <x:c r="B3" t="str">
        <x:v>Go-Live</x:v>
      </x:c>
      <x:c r="C3" t="n">
        <x:v>88</x:v>
      </x:c>
      <x:c r="D3" t="str">
        <x:v>Referência atual</x:v>
      </x:c>
    </x:row>
    <x:row r="4">
      <x:c r="A4" t="str">
        <x:v>Leitura</x:v>
      </x:c>
      <x:c r="B4" t="str">
        <x:v>Go-Live</x:v>
      </x:c>
      <x:c r="C4" t="str"/>
      <x:c r="D4" t="str">
        <x:v>Preencher meta oficial quando validada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VISÃO</x:v>
      </x:c>
      <x:c r="B1" s="3" t="str">
        <x:v>POLO</x:v>
      </x:c>
      <x:c r="C1" s="3" t="str">
        <x:v>STATUS</x:v>
      </x:c>
      <x:c r="D1" s="3" t="str">
        <x:v>TIPO EQUIPE</x:v>
      </x:c>
      <x:c r="E1" s="3" t="str">
        <x:v>SIM/NÃO</x:v>
      </x:c>
      <x:c r="F1" s="3" t="str">
        <x:v>STATUS BASE</x:v>
      </x:c>
      <x:c r="G1" s="3" t="str">
        <x:v>FRENTE</x:v>
      </x:c>
    </x:row>
    <x:row r="2">
      <x:c r="A2" t="str">
        <x:v>Consolidado</x:v>
      </x:c>
      <x:c r="B2" t="str">
        <x:v>Todos</x:v>
      </x:c>
      <x:c r="C2" t="str">
        <x:v>Em recrutamento</x:v>
      </x:c>
      <x:c r="D2" t="str">
        <x:v>Equipe Simples</x:v>
      </x:c>
      <x:c r="E2" t="str">
        <x:v>Sim</x:v>
      </x:c>
      <x:c r="F2" t="str">
        <x:v>Prevista</x:v>
      </x:c>
      <x:c r="G2" t="str">
        <x:v>Cobrança</x:v>
      </x:c>
    </x:row>
    <x:row r="3">
      <x:c r="A3" t="str">
        <x:v>Cobrança RMR</x:v>
      </x:c>
      <x:c r="B3" t="str">
        <x:v>Recife/RMR</x:v>
      </x:c>
      <x:c r="C3" t="str">
        <x:v>Em contratação</x:v>
      </x:c>
      <x:c r="D3" t="str">
        <x:v>Equipe Dupla</x:v>
      </x:c>
      <x:c r="E3" t="str">
        <x:v>Não</x:v>
      </x:c>
      <x:c r="F3" t="str">
        <x:v>Em implantação</x:v>
      </x:c>
      <x:c r="G3" t="str">
        <x:v>Hidrometria</x:v>
      </x:c>
    </x:row>
    <x:row r="4">
      <x:c r="A4" t="str">
        <x:v>Cobrança Interior</x:v>
      </x:c>
      <x:c r="B4" t="str">
        <x:v>Carpina</x:v>
      </x:c>
      <x:c r="C4" t="str">
        <x:v>Contratada</x:v>
      </x:c>
      <x:c r="F4" t="str">
        <x:v>Em Operação</x:v>
      </x:c>
      <x:c r="G4" t="str">
        <x:v>Leitura</x:v>
      </x:c>
    </x:row>
    <x:row r="5">
      <x:c r="A5" t="str">
        <x:v>Hidrometria</x:v>
      </x:c>
      <x:c r="B5" t="str">
        <x:v>Vitória de Santo Antão</x:v>
      </x:c>
      <x:c r="C5" t="str">
        <x:v>Mobilizada</x:v>
      </x:c>
      <x:c r="F5" t="str">
        <x:v>Desativada</x:v>
      </x:c>
    </x:row>
    <x:row r="6">
      <x:c r="A6" t="str">
        <x:v>Leitura</x:v>
      </x:c>
      <x:c r="B6" t="str">
        <x:v>Gravatá</x:v>
      </x:c>
    </x:row>
    <x:row r="7">
      <x:c r="B7" t="str">
        <x:v>Caruaru</x:v>
      </x:c>
    </x:row>
    <x:row r="8">
      <x:c r="B8" t="str">
        <x:v>Garanhuns</x:v>
      </x:c>
    </x:row>
    <x:row r="9">
      <x:c r="B9" t="str">
        <x:v>Arcoverde</x:v>
      </x:c>
    </x:row>
    <x:row r="10">
      <x:c r="B10" t="str">
        <x:v>Afogados da Ingazeira</x:v>
      </x:c>
    </x:row>
    <x:row r="11">
      <x:c r="B11" t="str">
        <x:v>Serra Talhada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18" t="str">
        <x:v>AQUA PERNAMBUCO | ORIENTAÇÕES DE PREENCHIMENTO</x:v>
      </x:c>
      <x:c r="B1" s="118"/>
      <x:c r="C1" s="118"/>
      <x:c r="D1" s="118"/>
      <x:c r="E1" s="118"/>
      <x:c r="F1" s="118"/>
    </x:row>
    <x:row r="2">
      <x:c r="A2" s="118"/>
      <x:c r="B2" s="118"/>
      <x:c r="C2" s="118"/>
      <x:c r="D2" s="118"/>
      <x:c r="E2" s="118"/>
      <x:c r="F2" s="118"/>
    </x:row>
    <x:row r="4">
      <x:c r="A4" s="120" t="str">
        <x:v>Item</x:v>
      </x:c>
      <x:c r="B4" s="120" t="str">
        <x:v>Orientação</x:v>
      </x:c>
    </x:row>
    <x:row r="5">
      <x:c r="A5" s="121" t="str">
        <x:v>Dados fictícios</x:v>
      </x:c>
      <x:c r="B5" s="121" t="str">
        <x:v>Servem apenas para testar o painel; substitua pelos dados reais.</x:v>
      </x:c>
    </x:row>
    <x:row r="6">
      <x:c r="A6" s="121" t="str">
        <x:v>Linha</x:v>
      </x:c>
      <x:c r="B6" s="121" t="str">
        <x:v>Cada linha = Agente/Equipe × Microrrota.</x:v>
      </x:c>
    </x:row>
    <x:row r="7">
      <x:c r="A7" s="121" t="str">
        <x:v>ID Único Equipe / Agente</x:v>
      </x:c>
      <x:c r="B7" s="121" t="str">
        <x:v>Repita o mesmo ID nas várias microrrotas do mesmo agente/equipe.</x:v>
      </x:c>
    </x:row>
    <x:row r="8">
      <x:c r="A8" s="121" t="str">
        <x:v>Colunas O:P</x:v>
      </x:c>
      <x:c r="B8" s="121" t="str">
        <x:v>Auxiliares automáticas de deduplicação. Não editar.</x:v>
      </x:c>
    </x:row>
    <x:row r="9">
      <x:c r="A9" s="121" t="str">
        <x:v>Status</x:v>
      </x:c>
      <x:c r="B9" s="121" t="str">
        <x:v>Em recrutamento | Em contratação | Contratada | Mobilizada.</x:v>
      </x:c>
    </x:row>
    <x:row r="10">
      <x:c r="A10" s="121" t="str">
        <x:v>Cobrança RMR</x:v>
      </x:c>
      <x:c r="B10" s="121" t="str">
        <x:v>Recife/RMR.</x:v>
      </x:c>
    </x:row>
    <x:row r="11">
      <x:c r="A11" s="121" t="str">
        <x:v>Cobrança Interior</x:v>
      </x:c>
      <x:c r="B11" s="121" t="str">
        <x:v>Demais 8 polos.</x:v>
      </x:c>
    </x:row>
    <x:row r="12">
      <x:c r="A12" s="121" t="str">
        <x:v>Hidrometria</x:v>
      </x:c>
      <x:c r="B12" s="121" t="str">
        <x:v>Todos os 9 polos.</x:v>
      </x:c>
    </x:row>
    <x:row r="13">
      <x:c r="A13" s="121" t="str">
        <x:v>Leitura</x:v>
      </x:c>
      <x:c r="B13" s="121" t="str">
        <x:v>Todos os 9 polos.</x:v>
      </x:c>
    </x:row>
    <x:row r="14">
      <x:c r="A14" s="121" t="str">
        <x:v>Coordenadas</x:v>
      </x:c>
      <x:c r="B14" s="121" t="str">
        <x:v>Permanecem vazias nesta etapa.</x:v>
      </x:c>
    </x:row>
  </x:sheetData>
  <x:mergeCells>
    <x:mergeCell ref="A1:F2"/>
  </x:mergeCells>
  <x:pageMargins left="0.7" right="0.7" top="0.75" bottom="0.75" header="0.3" footer="0.3"/>
</x:worksheet>
</file>