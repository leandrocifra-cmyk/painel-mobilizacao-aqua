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norsul PE\Desktop\"/>
    </mc:Choice>
  </mc:AlternateContent>
  <xr:revisionPtr revIDLastSave="0" documentId="13_ncr:1_{984641C6-8334-4089-9B3D-89820C21BCC8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RESUMO" sheetId="1" r:id="rId1"/>
    <sheet name="Cobrança RMR" sheetId="2" r:id="rId2"/>
    <sheet name="Cobrança Interior" sheetId="3" r:id="rId3"/>
    <sheet name="Hidrometria" sheetId="4" r:id="rId4"/>
    <sheet name="Leitura" sheetId="5" r:id="rId5"/>
    <sheet name="Microrrotas" sheetId="6" r:id="rId6"/>
    <sheet name="Bases" sheetId="7" r:id="rId7"/>
    <sheet name="Rampagem" sheetId="8" r:id="rId8"/>
    <sheet name="LISTAS" sheetId="9" r:id="rId9"/>
    <sheet name="LEIA-ME" sheetId="10" r:id="rId10"/>
  </sheets>
  <definedNames>
    <definedName name="_xlnm._FilterDatabase" localSheetId="2" hidden="1">'Cobrança Interior'!$A$1:$P$104</definedName>
    <definedName name="_xlnm._FilterDatabase" localSheetId="3" hidden="1">Hidrometria!$A$1:$P$36</definedName>
  </definedNames>
  <calcPr calcId="181029"/>
</workbook>
</file>

<file path=xl/calcChain.xml><?xml version="1.0" encoding="utf-8"?>
<calcChain xmlns="http://schemas.openxmlformats.org/spreadsheetml/2006/main">
  <c r="O48" i="2" l="1"/>
  <c r="P48" i="2"/>
  <c r="O49" i="2"/>
  <c r="P49" i="2"/>
  <c r="O50" i="2"/>
  <c r="P50" i="2"/>
  <c r="O51" i="2"/>
  <c r="P51" i="2"/>
  <c r="O52" i="2"/>
  <c r="P52" i="2"/>
  <c r="O53" i="2"/>
  <c r="P53" i="2"/>
  <c r="O54" i="2"/>
  <c r="P54" i="2"/>
  <c r="O55" i="2"/>
  <c r="P55" i="2"/>
  <c r="O56" i="2"/>
  <c r="P56" i="2"/>
  <c r="O57" i="2"/>
  <c r="P57" i="2"/>
  <c r="O58" i="2"/>
  <c r="P58" i="2"/>
  <c r="O59" i="2"/>
  <c r="P59" i="2"/>
  <c r="O60" i="2"/>
  <c r="P60" i="2"/>
  <c r="O61" i="2"/>
  <c r="P61" i="2"/>
  <c r="O62" i="2"/>
  <c r="P62" i="2"/>
  <c r="O63" i="2"/>
  <c r="P63" i="2"/>
  <c r="O64" i="2"/>
  <c r="P64" i="2"/>
  <c r="O65" i="2"/>
  <c r="P65" i="2"/>
  <c r="O66" i="2"/>
  <c r="P66" i="2"/>
  <c r="O67" i="2"/>
  <c r="P67" i="2"/>
  <c r="O68" i="2"/>
  <c r="P68" i="2"/>
  <c r="O69" i="2"/>
  <c r="P69" i="2"/>
  <c r="O70" i="2"/>
  <c r="P70" i="2"/>
  <c r="O71" i="2"/>
  <c r="P71" i="2"/>
  <c r="O72" i="2"/>
  <c r="P72" i="2"/>
  <c r="O73" i="2"/>
  <c r="P73" i="2"/>
  <c r="O74" i="2"/>
  <c r="P74" i="2"/>
  <c r="O75" i="2"/>
  <c r="P75" i="2"/>
  <c r="O76" i="2"/>
  <c r="P76" i="2"/>
  <c r="O77" i="2"/>
  <c r="P77" i="2"/>
  <c r="O78" i="2"/>
  <c r="P78" i="2"/>
  <c r="O79" i="2"/>
  <c r="P79" i="2"/>
  <c r="O80" i="2"/>
  <c r="P80" i="2"/>
  <c r="O81" i="2"/>
  <c r="P81" i="2"/>
  <c r="O82" i="2"/>
  <c r="P82" i="2"/>
  <c r="O83" i="2"/>
  <c r="P83" i="2"/>
  <c r="O84" i="2"/>
  <c r="P84" i="2"/>
  <c r="O85" i="2"/>
  <c r="P85" i="2"/>
  <c r="O86" i="2"/>
  <c r="P86" i="2"/>
  <c r="O87" i="2"/>
  <c r="P87" i="2"/>
  <c r="O88" i="2"/>
  <c r="P88" i="2"/>
  <c r="O89" i="2"/>
  <c r="P89" i="2"/>
  <c r="O90" i="2"/>
  <c r="P90" i="2"/>
  <c r="O91" i="2"/>
  <c r="P91" i="2"/>
  <c r="O92" i="2"/>
  <c r="P92" i="2"/>
  <c r="O93" i="2"/>
  <c r="P93" i="2"/>
  <c r="O94" i="2"/>
  <c r="P94" i="2"/>
  <c r="O95" i="2"/>
  <c r="P95" i="2"/>
  <c r="O96" i="2"/>
  <c r="P96" i="2"/>
  <c r="O97" i="2"/>
  <c r="P97" i="2"/>
  <c r="O98" i="2"/>
  <c r="P98" i="2"/>
  <c r="O99" i="2"/>
  <c r="P99" i="2"/>
  <c r="O100" i="2"/>
  <c r="P100" i="2"/>
  <c r="O101" i="2"/>
  <c r="P101" i="2"/>
  <c r="O102" i="2"/>
  <c r="P102" i="2"/>
  <c r="O103" i="2"/>
  <c r="P103" i="2"/>
  <c r="O104" i="2"/>
  <c r="P104" i="2"/>
  <c r="O105" i="2"/>
  <c r="P105" i="2"/>
  <c r="O106" i="2"/>
  <c r="P106" i="2"/>
  <c r="O107" i="2"/>
  <c r="P107" i="2"/>
  <c r="O108" i="2"/>
  <c r="P108" i="2"/>
  <c r="O109" i="2"/>
  <c r="P109" i="2"/>
  <c r="O110" i="2"/>
  <c r="P110" i="2"/>
  <c r="O111" i="2"/>
  <c r="P111" i="2"/>
  <c r="O112" i="2"/>
  <c r="P112" i="2"/>
  <c r="O113" i="2"/>
  <c r="P113" i="2"/>
  <c r="O114" i="2"/>
  <c r="P114" i="2"/>
  <c r="O115" i="2"/>
  <c r="P115" i="2"/>
  <c r="O116" i="2"/>
  <c r="P116" i="2"/>
  <c r="O117" i="2"/>
  <c r="P117" i="2"/>
  <c r="O118" i="2"/>
  <c r="P118" i="2"/>
  <c r="O119" i="2"/>
  <c r="P119" i="2"/>
  <c r="O120" i="2"/>
  <c r="P120" i="2"/>
  <c r="O121" i="2"/>
  <c r="P121" i="2"/>
  <c r="O122" i="2"/>
  <c r="P122" i="2"/>
  <c r="O123" i="2"/>
  <c r="P123" i="2"/>
  <c r="O124" i="2"/>
  <c r="P124" i="2"/>
  <c r="O125" i="2"/>
  <c r="P125" i="2"/>
  <c r="O126" i="2"/>
  <c r="P126" i="2"/>
  <c r="O127" i="2"/>
  <c r="P127" i="2"/>
  <c r="O128" i="2"/>
  <c r="P128" i="2"/>
  <c r="O129" i="2"/>
  <c r="P129" i="2"/>
  <c r="O130" i="2"/>
  <c r="P130" i="2"/>
  <c r="O131" i="2"/>
  <c r="P131" i="2"/>
  <c r="O132" i="2"/>
  <c r="P132" i="2"/>
  <c r="O133" i="2"/>
  <c r="P133" i="2"/>
  <c r="O134" i="2"/>
  <c r="P134" i="2"/>
  <c r="O135" i="2"/>
  <c r="P135" i="2"/>
  <c r="O136" i="2"/>
  <c r="P136" i="2"/>
  <c r="O137" i="2"/>
  <c r="P137" i="2"/>
  <c r="O138" i="2"/>
  <c r="P138" i="2"/>
  <c r="O139" i="2"/>
  <c r="P139" i="2"/>
  <c r="O140" i="2"/>
  <c r="P140" i="2"/>
  <c r="O141" i="2"/>
  <c r="P141" i="2"/>
  <c r="O142" i="2"/>
  <c r="P142" i="2"/>
  <c r="O143" i="2"/>
  <c r="P143" i="2"/>
  <c r="O144" i="2"/>
  <c r="P144" i="2"/>
  <c r="O145" i="2"/>
  <c r="P145" i="2"/>
  <c r="O146" i="2"/>
  <c r="P146" i="2"/>
  <c r="O147" i="2"/>
  <c r="P147" i="2"/>
  <c r="O148" i="2"/>
  <c r="P148" i="2"/>
  <c r="O149" i="2"/>
  <c r="P149" i="2"/>
  <c r="O150" i="2"/>
  <c r="P150" i="2"/>
  <c r="O151" i="2"/>
  <c r="P151" i="2"/>
  <c r="O152" i="2"/>
  <c r="P152" i="2"/>
  <c r="O153" i="2"/>
  <c r="P153" i="2"/>
  <c r="O154" i="2"/>
  <c r="P154" i="2"/>
  <c r="O155" i="2"/>
  <c r="P155" i="2"/>
  <c r="O156" i="2"/>
  <c r="P156" i="2"/>
  <c r="O157" i="2"/>
  <c r="P157" i="2"/>
  <c r="O158" i="2"/>
  <c r="P158" i="2"/>
  <c r="O159" i="2"/>
  <c r="P159" i="2"/>
  <c r="O160" i="2"/>
  <c r="P160" i="2"/>
  <c r="O161" i="2"/>
  <c r="P161" i="2"/>
  <c r="O162" i="2"/>
  <c r="P162" i="2"/>
  <c r="O163" i="2"/>
  <c r="P163" i="2"/>
  <c r="O164" i="2"/>
  <c r="P164" i="2"/>
  <c r="O165" i="2"/>
  <c r="P165" i="2"/>
  <c r="O166" i="2"/>
  <c r="P166" i="2"/>
  <c r="O167" i="2"/>
  <c r="P167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98" i="2"/>
  <c r="P198" i="2"/>
  <c r="O199" i="2"/>
  <c r="P199" i="2"/>
  <c r="O200" i="2"/>
  <c r="P200" i="2"/>
  <c r="O201" i="2"/>
  <c r="P201" i="2"/>
  <c r="O202" i="2"/>
  <c r="P202" i="2"/>
  <c r="O203" i="2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O264" i="2"/>
  <c r="P264" i="2"/>
  <c r="O265" i="2"/>
  <c r="P265" i="2"/>
  <c r="O266" i="2"/>
  <c r="P266" i="2"/>
  <c r="O267" i="2"/>
  <c r="P267" i="2"/>
  <c r="O268" i="2"/>
  <c r="P268" i="2"/>
  <c r="O269" i="2"/>
  <c r="P269" i="2"/>
  <c r="O270" i="2"/>
  <c r="P270" i="2"/>
  <c r="O271" i="2"/>
  <c r="P271" i="2"/>
  <c r="O272" i="2"/>
  <c r="P272" i="2"/>
  <c r="O273" i="2"/>
  <c r="P273" i="2"/>
  <c r="O274" i="2"/>
  <c r="P274" i="2"/>
  <c r="O275" i="2"/>
  <c r="P275" i="2"/>
  <c r="O276" i="2"/>
  <c r="P276" i="2"/>
  <c r="O277" i="2"/>
  <c r="P277" i="2"/>
  <c r="O278" i="2"/>
  <c r="P278" i="2"/>
  <c r="O279" i="2"/>
  <c r="P279" i="2"/>
  <c r="O280" i="2"/>
  <c r="P280" i="2"/>
  <c r="O281" i="2"/>
  <c r="P281" i="2"/>
  <c r="O282" i="2"/>
  <c r="P282" i="2"/>
  <c r="O283" i="2"/>
  <c r="P283" i="2"/>
  <c r="O284" i="2"/>
  <c r="P284" i="2"/>
  <c r="O285" i="2"/>
  <c r="P285" i="2"/>
  <c r="O286" i="2"/>
  <c r="P286" i="2"/>
  <c r="O287" i="2"/>
  <c r="P287" i="2"/>
  <c r="O288" i="2"/>
  <c r="P288" i="2"/>
  <c r="O289" i="2"/>
  <c r="P289" i="2"/>
  <c r="O290" i="2"/>
  <c r="P290" i="2"/>
  <c r="O291" i="2"/>
  <c r="P291" i="2"/>
  <c r="O292" i="2"/>
  <c r="P292" i="2"/>
  <c r="O293" i="2"/>
  <c r="P293" i="2"/>
  <c r="O294" i="2"/>
  <c r="P294" i="2"/>
  <c r="O295" i="2"/>
  <c r="P295" i="2"/>
  <c r="O296" i="2"/>
  <c r="P296" i="2"/>
  <c r="O297" i="2"/>
  <c r="P297" i="2"/>
  <c r="O298" i="2"/>
  <c r="P298" i="2"/>
  <c r="O299" i="2"/>
  <c r="P299" i="2"/>
  <c r="O300" i="2"/>
  <c r="P300" i="2"/>
  <c r="O301" i="2"/>
  <c r="P301" i="2"/>
  <c r="O302" i="2"/>
  <c r="P302" i="2"/>
  <c r="O303" i="2"/>
  <c r="P303" i="2"/>
  <c r="O304" i="2"/>
  <c r="P304" i="2"/>
  <c r="O305" i="2"/>
  <c r="P305" i="2"/>
  <c r="O306" i="2"/>
  <c r="P306" i="2"/>
  <c r="O307" i="2"/>
  <c r="P307" i="2"/>
  <c r="O308" i="2"/>
  <c r="P308" i="2"/>
  <c r="O309" i="2"/>
  <c r="P309" i="2"/>
  <c r="O310" i="2"/>
  <c r="P310" i="2"/>
  <c r="O311" i="2"/>
  <c r="P311" i="2"/>
  <c r="O312" i="2"/>
  <c r="P312" i="2"/>
  <c r="O313" i="2"/>
  <c r="P313" i="2"/>
  <c r="O314" i="2"/>
  <c r="P314" i="2"/>
  <c r="O315" i="2"/>
  <c r="P315" i="2"/>
  <c r="O316" i="2"/>
  <c r="P316" i="2"/>
  <c r="O317" i="2"/>
  <c r="P317" i="2"/>
  <c r="O318" i="2"/>
  <c r="P318" i="2"/>
  <c r="O319" i="2"/>
  <c r="P319" i="2"/>
  <c r="O320" i="2"/>
  <c r="P320" i="2"/>
  <c r="O321" i="2"/>
  <c r="P321" i="2"/>
  <c r="O322" i="2"/>
  <c r="P322" i="2"/>
  <c r="O323" i="2"/>
  <c r="P323" i="2"/>
  <c r="O324" i="2"/>
  <c r="P324" i="2"/>
  <c r="O325" i="2"/>
  <c r="P325" i="2"/>
  <c r="O326" i="2"/>
  <c r="P326" i="2"/>
  <c r="O327" i="2"/>
  <c r="P327" i="2"/>
  <c r="O328" i="2"/>
  <c r="P328" i="2"/>
  <c r="O329" i="2"/>
  <c r="P329" i="2"/>
  <c r="O330" i="2"/>
  <c r="P330" i="2"/>
  <c r="O331" i="2"/>
  <c r="P331" i="2"/>
  <c r="O332" i="2"/>
  <c r="P332" i="2"/>
  <c r="O333" i="2"/>
  <c r="P333" i="2"/>
  <c r="O334" i="2"/>
  <c r="P334" i="2"/>
  <c r="O335" i="2"/>
  <c r="P335" i="2"/>
  <c r="O336" i="2"/>
  <c r="P336" i="2"/>
  <c r="O337" i="2"/>
  <c r="P337" i="2"/>
  <c r="O338" i="2"/>
  <c r="P338" i="2"/>
  <c r="O339" i="2"/>
  <c r="P339" i="2"/>
  <c r="O340" i="2"/>
  <c r="P340" i="2"/>
  <c r="O341" i="2"/>
  <c r="P341" i="2"/>
  <c r="O342" i="2"/>
  <c r="P342" i="2"/>
  <c r="O343" i="2"/>
  <c r="P343" i="2"/>
  <c r="O344" i="2"/>
  <c r="P344" i="2"/>
  <c r="O345" i="2"/>
  <c r="P345" i="2"/>
  <c r="O346" i="2"/>
  <c r="P346" i="2"/>
  <c r="O347" i="2"/>
  <c r="P347" i="2"/>
  <c r="O348" i="2"/>
  <c r="P348" i="2"/>
  <c r="O349" i="2"/>
  <c r="P349" i="2"/>
  <c r="O350" i="2"/>
  <c r="P350" i="2"/>
  <c r="O351" i="2"/>
  <c r="P351" i="2"/>
  <c r="O352" i="2"/>
  <c r="P352" i="2"/>
  <c r="O353" i="2"/>
  <c r="P353" i="2"/>
  <c r="O354" i="2"/>
  <c r="P354" i="2"/>
  <c r="O355" i="2"/>
  <c r="P355" i="2"/>
  <c r="O356" i="2"/>
  <c r="P356" i="2"/>
  <c r="O357" i="2"/>
  <c r="P357" i="2"/>
  <c r="O358" i="2"/>
  <c r="P358" i="2"/>
  <c r="O359" i="2"/>
  <c r="P359" i="2"/>
  <c r="O360" i="2"/>
  <c r="P360" i="2"/>
  <c r="O361" i="2"/>
  <c r="P361" i="2"/>
  <c r="O362" i="2"/>
  <c r="P362" i="2"/>
  <c r="O363" i="2"/>
  <c r="P363" i="2"/>
  <c r="O364" i="2"/>
  <c r="P364" i="2"/>
  <c r="O365" i="2"/>
  <c r="P365" i="2"/>
  <c r="O366" i="2"/>
  <c r="P366" i="2"/>
  <c r="O367" i="2"/>
  <c r="P367" i="2"/>
  <c r="O368" i="2"/>
  <c r="P368" i="2"/>
  <c r="O369" i="2"/>
  <c r="P369" i="2"/>
  <c r="O370" i="2"/>
  <c r="P370" i="2"/>
  <c r="O371" i="2"/>
  <c r="P371" i="2"/>
  <c r="O372" i="2"/>
  <c r="P372" i="2"/>
  <c r="O373" i="2"/>
  <c r="P373" i="2"/>
  <c r="O374" i="2"/>
  <c r="P374" i="2"/>
  <c r="O375" i="2"/>
  <c r="P375" i="2"/>
  <c r="O376" i="2"/>
  <c r="P376" i="2"/>
  <c r="O377" i="2"/>
  <c r="P377" i="2"/>
  <c r="O378" i="2"/>
  <c r="P378" i="2"/>
  <c r="O379" i="2"/>
  <c r="P379" i="2"/>
  <c r="O380" i="2"/>
  <c r="P380" i="2"/>
  <c r="O381" i="2"/>
  <c r="P381" i="2"/>
  <c r="O382" i="2"/>
  <c r="P382" i="2"/>
  <c r="O383" i="2"/>
  <c r="P383" i="2"/>
  <c r="O384" i="2"/>
  <c r="P384" i="2"/>
  <c r="O385" i="2"/>
  <c r="P385" i="2"/>
  <c r="O386" i="2"/>
  <c r="P386" i="2"/>
  <c r="O387" i="2"/>
  <c r="P387" i="2"/>
  <c r="O388" i="2"/>
  <c r="P388" i="2"/>
  <c r="O389" i="2"/>
  <c r="P389" i="2"/>
  <c r="O390" i="2"/>
  <c r="P390" i="2"/>
  <c r="O391" i="2"/>
  <c r="P391" i="2"/>
  <c r="O392" i="2"/>
  <c r="P392" i="2"/>
  <c r="O393" i="2"/>
  <c r="P393" i="2"/>
  <c r="O394" i="2"/>
  <c r="P394" i="2"/>
  <c r="O395" i="2"/>
  <c r="P395" i="2"/>
  <c r="O396" i="2"/>
  <c r="P396" i="2"/>
  <c r="O397" i="2"/>
  <c r="P397" i="2"/>
  <c r="O398" i="2"/>
  <c r="P398" i="2"/>
  <c r="O399" i="2"/>
  <c r="P399" i="2"/>
  <c r="O400" i="2"/>
  <c r="P400" i="2"/>
  <c r="O401" i="2"/>
  <c r="P401" i="2"/>
  <c r="O402" i="2"/>
  <c r="P402" i="2"/>
  <c r="O403" i="2"/>
  <c r="P403" i="2"/>
  <c r="O404" i="2"/>
  <c r="P404" i="2"/>
  <c r="O405" i="2"/>
  <c r="P405" i="2"/>
  <c r="O406" i="2"/>
  <c r="P406" i="2"/>
  <c r="O407" i="2"/>
  <c r="P407" i="2"/>
  <c r="O408" i="2"/>
  <c r="P408" i="2"/>
  <c r="O409" i="2"/>
  <c r="P409" i="2"/>
  <c r="O410" i="2"/>
  <c r="P410" i="2"/>
  <c r="O411" i="2"/>
  <c r="P411" i="2"/>
  <c r="O412" i="2"/>
  <c r="P412" i="2"/>
  <c r="O413" i="2"/>
  <c r="P413" i="2"/>
  <c r="O414" i="2"/>
  <c r="P414" i="2"/>
  <c r="O415" i="2"/>
  <c r="P415" i="2"/>
  <c r="O416" i="2"/>
  <c r="P416" i="2"/>
  <c r="O417" i="2"/>
  <c r="P417" i="2"/>
  <c r="O418" i="2"/>
  <c r="P418" i="2"/>
  <c r="O419" i="2"/>
  <c r="P419" i="2"/>
  <c r="O420" i="2"/>
  <c r="P420" i="2"/>
  <c r="O421" i="2"/>
  <c r="P421" i="2"/>
  <c r="O422" i="2"/>
  <c r="P422" i="2"/>
  <c r="O423" i="2"/>
  <c r="P423" i="2"/>
  <c r="O424" i="2"/>
  <c r="P424" i="2"/>
  <c r="O425" i="2"/>
  <c r="P425" i="2"/>
  <c r="O426" i="2"/>
  <c r="P426" i="2"/>
  <c r="O427" i="2"/>
  <c r="P427" i="2"/>
  <c r="O428" i="2"/>
  <c r="P428" i="2"/>
  <c r="O429" i="2"/>
  <c r="P429" i="2"/>
  <c r="O430" i="2"/>
  <c r="P430" i="2"/>
  <c r="O431" i="2"/>
  <c r="P431" i="2"/>
  <c r="O432" i="2"/>
  <c r="P432" i="2"/>
  <c r="O433" i="2"/>
  <c r="P433" i="2"/>
  <c r="O434" i="2"/>
  <c r="P434" i="2"/>
  <c r="O435" i="2"/>
  <c r="P435" i="2"/>
  <c r="O436" i="2"/>
  <c r="P436" i="2"/>
  <c r="O437" i="2"/>
  <c r="P437" i="2"/>
  <c r="O438" i="2"/>
  <c r="P438" i="2"/>
  <c r="O439" i="2"/>
  <c r="P439" i="2"/>
  <c r="O440" i="2"/>
  <c r="P440" i="2"/>
  <c r="O441" i="2"/>
  <c r="P441" i="2"/>
  <c r="O442" i="2"/>
  <c r="P442" i="2"/>
  <c r="O443" i="2"/>
  <c r="P443" i="2"/>
  <c r="O444" i="2"/>
  <c r="P444" i="2"/>
  <c r="O445" i="2"/>
  <c r="P445" i="2"/>
  <c r="O446" i="2"/>
  <c r="P446" i="2"/>
  <c r="O447" i="2"/>
  <c r="P447" i="2"/>
  <c r="O448" i="2"/>
  <c r="P448" i="2"/>
  <c r="O449" i="2"/>
  <c r="P449" i="2"/>
  <c r="O450" i="2"/>
  <c r="P450" i="2"/>
  <c r="O451" i="2"/>
  <c r="P451" i="2"/>
  <c r="O452" i="2"/>
  <c r="P452" i="2"/>
  <c r="O453" i="2"/>
  <c r="P453" i="2"/>
  <c r="O454" i="2"/>
  <c r="P454" i="2"/>
  <c r="O455" i="2"/>
  <c r="P455" i="2"/>
  <c r="O456" i="2"/>
  <c r="P456" i="2"/>
  <c r="O457" i="2"/>
  <c r="P457" i="2"/>
  <c r="O458" i="2"/>
  <c r="P458" i="2"/>
  <c r="O459" i="2"/>
  <c r="P459" i="2"/>
  <c r="O460" i="2"/>
  <c r="P460" i="2"/>
  <c r="O461" i="2"/>
  <c r="P461" i="2"/>
  <c r="O462" i="2"/>
  <c r="P462" i="2"/>
  <c r="O463" i="2"/>
  <c r="P463" i="2"/>
  <c r="O464" i="2"/>
  <c r="P464" i="2"/>
  <c r="O465" i="2"/>
  <c r="P465" i="2"/>
  <c r="O466" i="2"/>
  <c r="P466" i="2"/>
  <c r="O467" i="2"/>
  <c r="P467" i="2"/>
  <c r="O468" i="2"/>
  <c r="P468" i="2"/>
  <c r="O469" i="2"/>
  <c r="P469" i="2"/>
  <c r="O470" i="2"/>
  <c r="P470" i="2"/>
  <c r="O471" i="2"/>
  <c r="P471" i="2"/>
  <c r="O472" i="2"/>
  <c r="P472" i="2"/>
  <c r="O473" i="2"/>
  <c r="P473" i="2"/>
  <c r="O474" i="2"/>
  <c r="P474" i="2"/>
  <c r="O475" i="2"/>
  <c r="P475" i="2"/>
  <c r="O476" i="2"/>
  <c r="P476" i="2"/>
  <c r="O477" i="2"/>
  <c r="P477" i="2"/>
  <c r="O478" i="2"/>
  <c r="P478" i="2"/>
  <c r="O479" i="2"/>
  <c r="P479" i="2"/>
  <c r="O480" i="2"/>
  <c r="P480" i="2"/>
  <c r="O481" i="2"/>
  <c r="P481" i="2"/>
  <c r="O482" i="2"/>
  <c r="P482" i="2"/>
  <c r="O483" i="2"/>
  <c r="P483" i="2"/>
  <c r="O484" i="2"/>
  <c r="P484" i="2"/>
  <c r="O485" i="2"/>
  <c r="P485" i="2"/>
  <c r="O486" i="2"/>
  <c r="P486" i="2"/>
  <c r="O487" i="2"/>
  <c r="P487" i="2"/>
  <c r="O488" i="2"/>
  <c r="P488" i="2"/>
  <c r="O489" i="2"/>
  <c r="P489" i="2"/>
  <c r="O490" i="2"/>
  <c r="P490" i="2"/>
  <c r="O491" i="2"/>
  <c r="P491" i="2"/>
  <c r="O492" i="2"/>
  <c r="P492" i="2"/>
  <c r="O493" i="2"/>
  <c r="P493" i="2"/>
  <c r="O494" i="2"/>
  <c r="P494" i="2"/>
  <c r="O495" i="2"/>
  <c r="P495" i="2"/>
  <c r="O496" i="2"/>
  <c r="P496" i="2"/>
  <c r="O497" i="2"/>
  <c r="P497" i="2"/>
  <c r="O498" i="2"/>
  <c r="P498" i="2"/>
  <c r="O499" i="2"/>
  <c r="P499" i="2"/>
  <c r="O500" i="2"/>
  <c r="P500" i="2"/>
  <c r="O501" i="2"/>
  <c r="P501" i="2"/>
  <c r="O502" i="2"/>
  <c r="P502" i="2"/>
  <c r="O503" i="2"/>
  <c r="P503" i="2"/>
  <c r="O504" i="2"/>
  <c r="P504" i="2"/>
  <c r="O505" i="2"/>
  <c r="P505" i="2"/>
  <c r="O506" i="2"/>
  <c r="P506" i="2"/>
  <c r="O507" i="2"/>
  <c r="P507" i="2"/>
  <c r="O508" i="2"/>
  <c r="P508" i="2"/>
  <c r="O509" i="2"/>
  <c r="P509" i="2"/>
  <c r="O510" i="2"/>
  <c r="P510" i="2"/>
  <c r="O511" i="2"/>
  <c r="P511" i="2"/>
  <c r="O512" i="2"/>
  <c r="P512" i="2"/>
  <c r="O513" i="2"/>
  <c r="P513" i="2"/>
  <c r="O514" i="2"/>
  <c r="P514" i="2"/>
  <c r="O515" i="2"/>
  <c r="P515" i="2"/>
  <c r="O516" i="2"/>
  <c r="P516" i="2"/>
  <c r="O517" i="2"/>
  <c r="P517" i="2"/>
  <c r="O518" i="2"/>
  <c r="P518" i="2"/>
  <c r="O519" i="2"/>
  <c r="P519" i="2"/>
  <c r="O520" i="2"/>
  <c r="P520" i="2"/>
  <c r="O521" i="2"/>
  <c r="P521" i="2"/>
  <c r="O522" i="2"/>
  <c r="P522" i="2"/>
  <c r="O523" i="2"/>
  <c r="P523" i="2"/>
  <c r="O524" i="2"/>
  <c r="P524" i="2"/>
  <c r="O525" i="2"/>
  <c r="P525" i="2"/>
  <c r="O526" i="2"/>
  <c r="P526" i="2"/>
  <c r="O527" i="2"/>
  <c r="P527" i="2"/>
  <c r="O528" i="2"/>
  <c r="P528" i="2"/>
  <c r="O529" i="2"/>
  <c r="P529" i="2"/>
  <c r="O530" i="2"/>
  <c r="P530" i="2"/>
  <c r="O531" i="2"/>
  <c r="P531" i="2"/>
  <c r="O532" i="2"/>
  <c r="P532" i="2"/>
  <c r="O533" i="2"/>
  <c r="P533" i="2"/>
  <c r="O534" i="2"/>
  <c r="P534" i="2"/>
  <c r="O535" i="2"/>
  <c r="P535" i="2"/>
  <c r="O536" i="2"/>
  <c r="P536" i="2"/>
  <c r="O537" i="2"/>
  <c r="P537" i="2"/>
  <c r="O538" i="2"/>
  <c r="P538" i="2"/>
  <c r="O539" i="2"/>
  <c r="P539" i="2"/>
  <c r="O540" i="2"/>
  <c r="P540" i="2"/>
  <c r="O541" i="2"/>
  <c r="P541" i="2"/>
  <c r="O542" i="2"/>
  <c r="P542" i="2"/>
  <c r="O543" i="2"/>
  <c r="P543" i="2"/>
  <c r="O544" i="2"/>
  <c r="P544" i="2"/>
  <c r="O545" i="2"/>
  <c r="P545" i="2"/>
  <c r="O546" i="2"/>
  <c r="P546" i="2"/>
  <c r="O547" i="2"/>
  <c r="P547" i="2"/>
  <c r="O548" i="2"/>
  <c r="P548" i="2"/>
  <c r="O549" i="2"/>
  <c r="P549" i="2"/>
  <c r="O550" i="2"/>
  <c r="P550" i="2"/>
  <c r="O551" i="2"/>
  <c r="P551" i="2"/>
  <c r="O552" i="2"/>
  <c r="P552" i="2"/>
  <c r="O553" i="2"/>
  <c r="P553" i="2"/>
  <c r="O554" i="2"/>
  <c r="P554" i="2"/>
  <c r="O555" i="2"/>
  <c r="P555" i="2"/>
  <c r="O556" i="2"/>
  <c r="P556" i="2"/>
  <c r="O557" i="2"/>
  <c r="P557" i="2"/>
  <c r="O558" i="2"/>
  <c r="P558" i="2"/>
  <c r="O559" i="2"/>
  <c r="P559" i="2"/>
  <c r="O560" i="2"/>
  <c r="P560" i="2"/>
  <c r="O561" i="2"/>
  <c r="P561" i="2"/>
  <c r="O562" i="2"/>
  <c r="P562" i="2"/>
  <c r="O563" i="2"/>
  <c r="P563" i="2"/>
  <c r="O564" i="2"/>
  <c r="P564" i="2"/>
  <c r="O565" i="2"/>
  <c r="P565" i="2"/>
  <c r="O566" i="2"/>
  <c r="P566" i="2"/>
  <c r="O567" i="2"/>
  <c r="P567" i="2"/>
  <c r="O568" i="2"/>
  <c r="P568" i="2"/>
  <c r="O569" i="2"/>
  <c r="P569" i="2"/>
  <c r="O570" i="2"/>
  <c r="P570" i="2"/>
  <c r="O571" i="2"/>
  <c r="P571" i="2"/>
  <c r="O572" i="2"/>
  <c r="P572" i="2"/>
  <c r="O573" i="2"/>
  <c r="P573" i="2"/>
  <c r="O574" i="2"/>
  <c r="P574" i="2"/>
  <c r="O575" i="2"/>
  <c r="P575" i="2"/>
  <c r="O576" i="2"/>
  <c r="P576" i="2"/>
  <c r="O577" i="2"/>
  <c r="P577" i="2"/>
  <c r="O578" i="2"/>
  <c r="P578" i="2"/>
  <c r="O579" i="2"/>
  <c r="P579" i="2"/>
  <c r="O580" i="2"/>
  <c r="P580" i="2"/>
  <c r="O581" i="2"/>
  <c r="P581" i="2"/>
  <c r="O582" i="2"/>
  <c r="P582" i="2"/>
  <c r="O583" i="2"/>
  <c r="P583" i="2"/>
  <c r="O584" i="2"/>
  <c r="P584" i="2"/>
  <c r="O585" i="2"/>
  <c r="P585" i="2"/>
  <c r="O586" i="2"/>
  <c r="P586" i="2"/>
  <c r="O587" i="2"/>
  <c r="P587" i="2"/>
  <c r="O588" i="2"/>
  <c r="P588" i="2"/>
  <c r="O589" i="2"/>
  <c r="P589" i="2"/>
  <c r="O590" i="2"/>
  <c r="P590" i="2"/>
  <c r="O591" i="2"/>
  <c r="P591" i="2"/>
  <c r="O592" i="2"/>
  <c r="P592" i="2"/>
  <c r="O593" i="2"/>
  <c r="P593" i="2"/>
  <c r="O594" i="2"/>
  <c r="P594" i="2"/>
  <c r="O595" i="2"/>
  <c r="P595" i="2"/>
  <c r="O596" i="2"/>
  <c r="P596" i="2"/>
  <c r="O597" i="2"/>
  <c r="P597" i="2"/>
  <c r="O598" i="2"/>
  <c r="P598" i="2"/>
  <c r="O599" i="2"/>
  <c r="P599" i="2"/>
  <c r="O600" i="2"/>
  <c r="P600" i="2"/>
  <c r="P3" i="2"/>
  <c r="P4" i="2"/>
  <c r="P5" i="2"/>
  <c r="P6" i="2"/>
  <c r="E23" i="1" s="1"/>
  <c r="P7" i="2"/>
  <c r="P8" i="2"/>
  <c r="P9" i="2"/>
  <c r="P10" i="2"/>
  <c r="P11" i="2"/>
  <c r="P12" i="2"/>
  <c r="P13" i="2"/>
  <c r="P14" i="2"/>
  <c r="P15" i="2"/>
  <c r="P16" i="2"/>
  <c r="P17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P600" i="5"/>
  <c r="O600" i="5"/>
  <c r="P599" i="5"/>
  <c r="O599" i="5"/>
  <c r="P598" i="5"/>
  <c r="O598" i="5"/>
  <c r="P597" i="5"/>
  <c r="O597" i="5"/>
  <c r="P596" i="5"/>
  <c r="O596" i="5"/>
  <c r="P595" i="5"/>
  <c r="O595" i="5"/>
  <c r="P594" i="5"/>
  <c r="O594" i="5"/>
  <c r="P593" i="5"/>
  <c r="O593" i="5"/>
  <c r="P592" i="5"/>
  <c r="O592" i="5"/>
  <c r="P591" i="5"/>
  <c r="O591" i="5"/>
  <c r="P590" i="5"/>
  <c r="O590" i="5"/>
  <c r="P589" i="5"/>
  <c r="O589" i="5"/>
  <c r="P588" i="5"/>
  <c r="O588" i="5"/>
  <c r="P587" i="5"/>
  <c r="O587" i="5"/>
  <c r="P586" i="5"/>
  <c r="O586" i="5"/>
  <c r="P585" i="5"/>
  <c r="O585" i="5"/>
  <c r="P584" i="5"/>
  <c r="O584" i="5"/>
  <c r="P583" i="5"/>
  <c r="O583" i="5"/>
  <c r="P582" i="5"/>
  <c r="O582" i="5"/>
  <c r="P581" i="5"/>
  <c r="O581" i="5"/>
  <c r="P580" i="5"/>
  <c r="O580" i="5"/>
  <c r="P579" i="5"/>
  <c r="O579" i="5"/>
  <c r="P578" i="5"/>
  <c r="O578" i="5"/>
  <c r="P577" i="5"/>
  <c r="O577" i="5"/>
  <c r="P576" i="5"/>
  <c r="O576" i="5"/>
  <c r="P575" i="5"/>
  <c r="O575" i="5"/>
  <c r="P574" i="5"/>
  <c r="O574" i="5"/>
  <c r="P573" i="5"/>
  <c r="O573" i="5"/>
  <c r="P572" i="5"/>
  <c r="O572" i="5"/>
  <c r="P571" i="5"/>
  <c r="O571" i="5"/>
  <c r="P570" i="5"/>
  <c r="O570" i="5"/>
  <c r="P569" i="5"/>
  <c r="O569" i="5"/>
  <c r="P568" i="5"/>
  <c r="O568" i="5"/>
  <c r="P567" i="5"/>
  <c r="O567" i="5"/>
  <c r="P566" i="5"/>
  <c r="O566" i="5"/>
  <c r="P565" i="5"/>
  <c r="O565" i="5"/>
  <c r="P564" i="5"/>
  <c r="O564" i="5"/>
  <c r="P563" i="5"/>
  <c r="O563" i="5"/>
  <c r="P562" i="5"/>
  <c r="O562" i="5"/>
  <c r="P561" i="5"/>
  <c r="O561" i="5"/>
  <c r="P560" i="5"/>
  <c r="O560" i="5"/>
  <c r="P559" i="5"/>
  <c r="O559" i="5"/>
  <c r="P558" i="5"/>
  <c r="O558" i="5"/>
  <c r="P557" i="5"/>
  <c r="O557" i="5"/>
  <c r="P556" i="5"/>
  <c r="O556" i="5"/>
  <c r="P555" i="5"/>
  <c r="O555" i="5"/>
  <c r="P554" i="5"/>
  <c r="O554" i="5"/>
  <c r="P553" i="5"/>
  <c r="O553" i="5"/>
  <c r="P552" i="5"/>
  <c r="O552" i="5"/>
  <c r="P551" i="5"/>
  <c r="O551" i="5"/>
  <c r="P550" i="5"/>
  <c r="O550" i="5"/>
  <c r="P549" i="5"/>
  <c r="O549" i="5"/>
  <c r="P548" i="5"/>
  <c r="O548" i="5"/>
  <c r="P547" i="5"/>
  <c r="O547" i="5"/>
  <c r="P546" i="5"/>
  <c r="O546" i="5"/>
  <c r="P545" i="5"/>
  <c r="O545" i="5"/>
  <c r="P544" i="5"/>
  <c r="O544" i="5"/>
  <c r="P543" i="5"/>
  <c r="O543" i="5"/>
  <c r="P542" i="5"/>
  <c r="O542" i="5"/>
  <c r="P541" i="5"/>
  <c r="O541" i="5"/>
  <c r="P540" i="5"/>
  <c r="O540" i="5"/>
  <c r="P539" i="5"/>
  <c r="O539" i="5"/>
  <c r="P538" i="5"/>
  <c r="O538" i="5"/>
  <c r="P537" i="5"/>
  <c r="O537" i="5"/>
  <c r="P536" i="5"/>
  <c r="O536" i="5"/>
  <c r="P535" i="5"/>
  <c r="O535" i="5"/>
  <c r="P534" i="5"/>
  <c r="O534" i="5"/>
  <c r="P533" i="5"/>
  <c r="O533" i="5"/>
  <c r="P532" i="5"/>
  <c r="O532" i="5"/>
  <c r="P531" i="5"/>
  <c r="O531" i="5"/>
  <c r="P530" i="5"/>
  <c r="O530" i="5"/>
  <c r="P529" i="5"/>
  <c r="O529" i="5"/>
  <c r="P528" i="5"/>
  <c r="O528" i="5"/>
  <c r="P527" i="5"/>
  <c r="O527" i="5"/>
  <c r="P526" i="5"/>
  <c r="O526" i="5"/>
  <c r="P525" i="5"/>
  <c r="O525" i="5"/>
  <c r="P524" i="5"/>
  <c r="O524" i="5"/>
  <c r="P523" i="5"/>
  <c r="O523" i="5"/>
  <c r="P522" i="5"/>
  <c r="O522" i="5"/>
  <c r="P521" i="5"/>
  <c r="O521" i="5"/>
  <c r="P520" i="5"/>
  <c r="O520" i="5"/>
  <c r="P519" i="5"/>
  <c r="O519" i="5"/>
  <c r="P518" i="5"/>
  <c r="O518" i="5"/>
  <c r="P517" i="5"/>
  <c r="O517" i="5"/>
  <c r="P516" i="5"/>
  <c r="O516" i="5"/>
  <c r="P515" i="5"/>
  <c r="O515" i="5"/>
  <c r="P514" i="5"/>
  <c r="O514" i="5"/>
  <c r="P513" i="5"/>
  <c r="O513" i="5"/>
  <c r="P512" i="5"/>
  <c r="O512" i="5"/>
  <c r="P511" i="5"/>
  <c r="O511" i="5"/>
  <c r="P510" i="5"/>
  <c r="O510" i="5"/>
  <c r="P509" i="5"/>
  <c r="O509" i="5"/>
  <c r="P508" i="5"/>
  <c r="O508" i="5"/>
  <c r="P507" i="5"/>
  <c r="O507" i="5"/>
  <c r="P506" i="5"/>
  <c r="O506" i="5"/>
  <c r="P505" i="5"/>
  <c r="O505" i="5"/>
  <c r="P504" i="5"/>
  <c r="O504" i="5"/>
  <c r="P503" i="5"/>
  <c r="O503" i="5"/>
  <c r="P502" i="5"/>
  <c r="O502" i="5"/>
  <c r="P501" i="5"/>
  <c r="O501" i="5"/>
  <c r="P500" i="5"/>
  <c r="O500" i="5"/>
  <c r="P499" i="5"/>
  <c r="O499" i="5"/>
  <c r="P498" i="5"/>
  <c r="O498" i="5"/>
  <c r="P497" i="5"/>
  <c r="O497" i="5"/>
  <c r="P496" i="5"/>
  <c r="O496" i="5"/>
  <c r="P495" i="5"/>
  <c r="O495" i="5"/>
  <c r="P494" i="5"/>
  <c r="O494" i="5"/>
  <c r="P493" i="5"/>
  <c r="O493" i="5"/>
  <c r="P492" i="5"/>
  <c r="O492" i="5"/>
  <c r="P491" i="5"/>
  <c r="O491" i="5"/>
  <c r="P490" i="5"/>
  <c r="O490" i="5"/>
  <c r="P489" i="5"/>
  <c r="O489" i="5"/>
  <c r="P488" i="5"/>
  <c r="O488" i="5"/>
  <c r="P487" i="5"/>
  <c r="O487" i="5"/>
  <c r="P486" i="5"/>
  <c r="O486" i="5"/>
  <c r="P485" i="5"/>
  <c r="O485" i="5"/>
  <c r="P484" i="5"/>
  <c r="O484" i="5"/>
  <c r="P483" i="5"/>
  <c r="O483" i="5"/>
  <c r="P482" i="5"/>
  <c r="O482" i="5"/>
  <c r="P481" i="5"/>
  <c r="O481" i="5"/>
  <c r="P480" i="5"/>
  <c r="O480" i="5"/>
  <c r="P479" i="5"/>
  <c r="O479" i="5"/>
  <c r="P478" i="5"/>
  <c r="O478" i="5"/>
  <c r="P477" i="5"/>
  <c r="O477" i="5"/>
  <c r="P476" i="5"/>
  <c r="O476" i="5"/>
  <c r="P475" i="5"/>
  <c r="O475" i="5"/>
  <c r="P474" i="5"/>
  <c r="O474" i="5"/>
  <c r="P473" i="5"/>
  <c r="O473" i="5"/>
  <c r="P472" i="5"/>
  <c r="O472" i="5"/>
  <c r="P471" i="5"/>
  <c r="O471" i="5"/>
  <c r="P470" i="5"/>
  <c r="O470" i="5"/>
  <c r="P469" i="5"/>
  <c r="O469" i="5"/>
  <c r="P468" i="5"/>
  <c r="O468" i="5"/>
  <c r="P467" i="5"/>
  <c r="O467" i="5"/>
  <c r="P466" i="5"/>
  <c r="O466" i="5"/>
  <c r="P465" i="5"/>
  <c r="O465" i="5"/>
  <c r="P464" i="5"/>
  <c r="O464" i="5"/>
  <c r="P463" i="5"/>
  <c r="O463" i="5"/>
  <c r="P462" i="5"/>
  <c r="O462" i="5"/>
  <c r="P461" i="5"/>
  <c r="O461" i="5"/>
  <c r="P460" i="5"/>
  <c r="O460" i="5"/>
  <c r="P459" i="5"/>
  <c r="O459" i="5"/>
  <c r="P458" i="5"/>
  <c r="O458" i="5"/>
  <c r="P457" i="5"/>
  <c r="O457" i="5"/>
  <c r="P456" i="5"/>
  <c r="O456" i="5"/>
  <c r="P455" i="5"/>
  <c r="O455" i="5"/>
  <c r="P454" i="5"/>
  <c r="O454" i="5"/>
  <c r="P453" i="5"/>
  <c r="O453" i="5"/>
  <c r="P452" i="5"/>
  <c r="O452" i="5"/>
  <c r="P451" i="5"/>
  <c r="O451" i="5"/>
  <c r="P450" i="5"/>
  <c r="O450" i="5"/>
  <c r="P449" i="5"/>
  <c r="O449" i="5"/>
  <c r="P448" i="5"/>
  <c r="O448" i="5"/>
  <c r="P447" i="5"/>
  <c r="O447" i="5"/>
  <c r="P446" i="5"/>
  <c r="O446" i="5"/>
  <c r="P445" i="5"/>
  <c r="O445" i="5"/>
  <c r="P444" i="5"/>
  <c r="O444" i="5"/>
  <c r="P443" i="5"/>
  <c r="O443" i="5"/>
  <c r="P442" i="5"/>
  <c r="O442" i="5"/>
  <c r="P441" i="5"/>
  <c r="O441" i="5"/>
  <c r="P440" i="5"/>
  <c r="O440" i="5"/>
  <c r="P439" i="5"/>
  <c r="O439" i="5"/>
  <c r="P438" i="5"/>
  <c r="O438" i="5"/>
  <c r="P437" i="5"/>
  <c r="O437" i="5"/>
  <c r="P436" i="5"/>
  <c r="O436" i="5"/>
  <c r="P435" i="5"/>
  <c r="O435" i="5"/>
  <c r="P434" i="5"/>
  <c r="O434" i="5"/>
  <c r="P433" i="5"/>
  <c r="O433" i="5"/>
  <c r="P432" i="5"/>
  <c r="O432" i="5"/>
  <c r="P431" i="5"/>
  <c r="O431" i="5"/>
  <c r="P430" i="5"/>
  <c r="O430" i="5"/>
  <c r="P429" i="5"/>
  <c r="O429" i="5"/>
  <c r="P428" i="5"/>
  <c r="O428" i="5"/>
  <c r="P427" i="5"/>
  <c r="O427" i="5"/>
  <c r="P426" i="5"/>
  <c r="O426" i="5"/>
  <c r="P425" i="5"/>
  <c r="O425" i="5"/>
  <c r="P424" i="5"/>
  <c r="O424" i="5"/>
  <c r="P423" i="5"/>
  <c r="O423" i="5"/>
  <c r="P422" i="5"/>
  <c r="O422" i="5"/>
  <c r="P421" i="5"/>
  <c r="O421" i="5"/>
  <c r="P420" i="5"/>
  <c r="O420" i="5"/>
  <c r="P419" i="5"/>
  <c r="O419" i="5"/>
  <c r="P418" i="5"/>
  <c r="O418" i="5"/>
  <c r="P417" i="5"/>
  <c r="O417" i="5"/>
  <c r="P416" i="5"/>
  <c r="O416" i="5"/>
  <c r="P415" i="5"/>
  <c r="O415" i="5"/>
  <c r="P414" i="5"/>
  <c r="O414" i="5"/>
  <c r="P413" i="5"/>
  <c r="O413" i="5"/>
  <c r="P412" i="5"/>
  <c r="O412" i="5"/>
  <c r="P411" i="5"/>
  <c r="O411" i="5"/>
  <c r="P410" i="5"/>
  <c r="O410" i="5"/>
  <c r="P409" i="5"/>
  <c r="O409" i="5"/>
  <c r="P408" i="5"/>
  <c r="O408" i="5"/>
  <c r="P407" i="5"/>
  <c r="O407" i="5"/>
  <c r="P406" i="5"/>
  <c r="O406" i="5"/>
  <c r="P405" i="5"/>
  <c r="O405" i="5"/>
  <c r="P404" i="5"/>
  <c r="O404" i="5"/>
  <c r="P403" i="5"/>
  <c r="O403" i="5"/>
  <c r="P402" i="5"/>
  <c r="O402" i="5"/>
  <c r="P401" i="5"/>
  <c r="O401" i="5"/>
  <c r="P400" i="5"/>
  <c r="O400" i="5"/>
  <c r="P399" i="5"/>
  <c r="O399" i="5"/>
  <c r="P398" i="5"/>
  <c r="O398" i="5"/>
  <c r="P397" i="5"/>
  <c r="O397" i="5"/>
  <c r="P396" i="5"/>
  <c r="O396" i="5"/>
  <c r="P395" i="5"/>
  <c r="O395" i="5"/>
  <c r="P394" i="5"/>
  <c r="O394" i="5"/>
  <c r="P393" i="5"/>
  <c r="O393" i="5"/>
  <c r="P392" i="5"/>
  <c r="O392" i="5"/>
  <c r="P391" i="5"/>
  <c r="O391" i="5"/>
  <c r="P390" i="5"/>
  <c r="O390" i="5"/>
  <c r="P389" i="5"/>
  <c r="O389" i="5"/>
  <c r="P388" i="5"/>
  <c r="O388" i="5"/>
  <c r="P387" i="5"/>
  <c r="O387" i="5"/>
  <c r="P386" i="5"/>
  <c r="O386" i="5"/>
  <c r="P385" i="5"/>
  <c r="O385" i="5"/>
  <c r="P384" i="5"/>
  <c r="O384" i="5"/>
  <c r="P383" i="5"/>
  <c r="O383" i="5"/>
  <c r="P382" i="5"/>
  <c r="O382" i="5"/>
  <c r="P381" i="5"/>
  <c r="O381" i="5"/>
  <c r="P380" i="5"/>
  <c r="O380" i="5"/>
  <c r="P379" i="5"/>
  <c r="O379" i="5"/>
  <c r="P378" i="5"/>
  <c r="O378" i="5"/>
  <c r="P377" i="5"/>
  <c r="O377" i="5"/>
  <c r="P376" i="5"/>
  <c r="O376" i="5"/>
  <c r="P375" i="5"/>
  <c r="O375" i="5"/>
  <c r="P374" i="5"/>
  <c r="O374" i="5"/>
  <c r="P373" i="5"/>
  <c r="O373" i="5"/>
  <c r="P372" i="5"/>
  <c r="O372" i="5"/>
  <c r="P371" i="5"/>
  <c r="O371" i="5"/>
  <c r="P370" i="5"/>
  <c r="O370" i="5"/>
  <c r="P369" i="5"/>
  <c r="O369" i="5"/>
  <c r="P368" i="5"/>
  <c r="O368" i="5"/>
  <c r="P367" i="5"/>
  <c r="O367" i="5"/>
  <c r="P366" i="5"/>
  <c r="O366" i="5"/>
  <c r="P365" i="5"/>
  <c r="O365" i="5"/>
  <c r="P364" i="5"/>
  <c r="O364" i="5"/>
  <c r="P363" i="5"/>
  <c r="O363" i="5"/>
  <c r="P362" i="5"/>
  <c r="O362" i="5"/>
  <c r="P361" i="5"/>
  <c r="O361" i="5"/>
  <c r="P360" i="5"/>
  <c r="O360" i="5"/>
  <c r="P359" i="5"/>
  <c r="O359" i="5"/>
  <c r="P358" i="5"/>
  <c r="O358" i="5"/>
  <c r="P357" i="5"/>
  <c r="O357" i="5"/>
  <c r="P356" i="5"/>
  <c r="O356" i="5"/>
  <c r="P355" i="5"/>
  <c r="O355" i="5"/>
  <c r="P354" i="5"/>
  <c r="O354" i="5"/>
  <c r="P353" i="5"/>
  <c r="O353" i="5"/>
  <c r="P352" i="5"/>
  <c r="O352" i="5"/>
  <c r="P351" i="5"/>
  <c r="O351" i="5"/>
  <c r="P350" i="5"/>
  <c r="O350" i="5"/>
  <c r="P349" i="5"/>
  <c r="O349" i="5"/>
  <c r="P348" i="5"/>
  <c r="O348" i="5"/>
  <c r="P347" i="5"/>
  <c r="O347" i="5"/>
  <c r="P346" i="5"/>
  <c r="O346" i="5"/>
  <c r="P345" i="5"/>
  <c r="O345" i="5"/>
  <c r="P344" i="5"/>
  <c r="O344" i="5"/>
  <c r="P343" i="5"/>
  <c r="O343" i="5"/>
  <c r="P342" i="5"/>
  <c r="O342" i="5"/>
  <c r="P341" i="5"/>
  <c r="O341" i="5"/>
  <c r="P340" i="5"/>
  <c r="O340" i="5"/>
  <c r="P339" i="5"/>
  <c r="O339" i="5"/>
  <c r="P338" i="5"/>
  <c r="O338" i="5"/>
  <c r="P337" i="5"/>
  <c r="O337" i="5"/>
  <c r="P336" i="5"/>
  <c r="O336" i="5"/>
  <c r="P335" i="5"/>
  <c r="O335" i="5"/>
  <c r="P334" i="5"/>
  <c r="O334" i="5"/>
  <c r="P333" i="5"/>
  <c r="O333" i="5"/>
  <c r="P332" i="5"/>
  <c r="O332" i="5"/>
  <c r="P331" i="5"/>
  <c r="O331" i="5"/>
  <c r="P330" i="5"/>
  <c r="O330" i="5"/>
  <c r="P329" i="5"/>
  <c r="O329" i="5"/>
  <c r="P328" i="5"/>
  <c r="O328" i="5"/>
  <c r="P327" i="5"/>
  <c r="O327" i="5"/>
  <c r="P326" i="5"/>
  <c r="O326" i="5"/>
  <c r="P325" i="5"/>
  <c r="O325" i="5"/>
  <c r="P324" i="5"/>
  <c r="O324" i="5"/>
  <c r="P323" i="5"/>
  <c r="O323" i="5"/>
  <c r="P322" i="5"/>
  <c r="O322" i="5"/>
  <c r="P321" i="5"/>
  <c r="O321" i="5"/>
  <c r="P320" i="5"/>
  <c r="O320" i="5"/>
  <c r="P319" i="5"/>
  <c r="O319" i="5"/>
  <c r="P318" i="5"/>
  <c r="O318" i="5"/>
  <c r="P317" i="5"/>
  <c r="O317" i="5"/>
  <c r="P316" i="5"/>
  <c r="O316" i="5"/>
  <c r="P315" i="5"/>
  <c r="O315" i="5"/>
  <c r="P314" i="5"/>
  <c r="O314" i="5"/>
  <c r="P313" i="5"/>
  <c r="O313" i="5"/>
  <c r="P312" i="5"/>
  <c r="O312" i="5"/>
  <c r="P311" i="5"/>
  <c r="O311" i="5"/>
  <c r="P310" i="5"/>
  <c r="O310" i="5"/>
  <c r="P309" i="5"/>
  <c r="O309" i="5"/>
  <c r="P308" i="5"/>
  <c r="O308" i="5"/>
  <c r="P307" i="5"/>
  <c r="O307" i="5"/>
  <c r="P306" i="5"/>
  <c r="O306" i="5"/>
  <c r="P305" i="5"/>
  <c r="O305" i="5"/>
  <c r="P304" i="5"/>
  <c r="O304" i="5"/>
  <c r="P303" i="5"/>
  <c r="O303" i="5"/>
  <c r="P302" i="5"/>
  <c r="O302" i="5"/>
  <c r="P301" i="5"/>
  <c r="O301" i="5"/>
  <c r="P300" i="5"/>
  <c r="O300" i="5"/>
  <c r="P299" i="5"/>
  <c r="O299" i="5"/>
  <c r="P298" i="5"/>
  <c r="O298" i="5"/>
  <c r="P297" i="5"/>
  <c r="O297" i="5"/>
  <c r="P296" i="5"/>
  <c r="O296" i="5"/>
  <c r="P295" i="5"/>
  <c r="O295" i="5"/>
  <c r="P294" i="5"/>
  <c r="O294" i="5"/>
  <c r="P293" i="5"/>
  <c r="O293" i="5"/>
  <c r="P292" i="5"/>
  <c r="O292" i="5"/>
  <c r="P291" i="5"/>
  <c r="O291" i="5"/>
  <c r="P290" i="5"/>
  <c r="O290" i="5"/>
  <c r="P289" i="5"/>
  <c r="O289" i="5"/>
  <c r="P288" i="5"/>
  <c r="O288" i="5"/>
  <c r="P287" i="5"/>
  <c r="O287" i="5"/>
  <c r="P286" i="5"/>
  <c r="O286" i="5"/>
  <c r="P285" i="5"/>
  <c r="O285" i="5"/>
  <c r="P284" i="5"/>
  <c r="O284" i="5"/>
  <c r="P283" i="5"/>
  <c r="O283" i="5"/>
  <c r="P282" i="5"/>
  <c r="O282" i="5"/>
  <c r="P281" i="5"/>
  <c r="O281" i="5"/>
  <c r="P280" i="5"/>
  <c r="O280" i="5"/>
  <c r="P279" i="5"/>
  <c r="O279" i="5"/>
  <c r="P278" i="5"/>
  <c r="O278" i="5"/>
  <c r="P277" i="5"/>
  <c r="O277" i="5"/>
  <c r="P276" i="5"/>
  <c r="O276" i="5"/>
  <c r="P275" i="5"/>
  <c r="O275" i="5"/>
  <c r="P274" i="5"/>
  <c r="O274" i="5"/>
  <c r="P273" i="5"/>
  <c r="O273" i="5"/>
  <c r="P272" i="5"/>
  <c r="O272" i="5"/>
  <c r="P271" i="5"/>
  <c r="O271" i="5"/>
  <c r="P270" i="5"/>
  <c r="O270" i="5"/>
  <c r="P269" i="5"/>
  <c r="O269" i="5"/>
  <c r="P268" i="5"/>
  <c r="O268" i="5"/>
  <c r="P267" i="5"/>
  <c r="O267" i="5"/>
  <c r="P266" i="5"/>
  <c r="O266" i="5"/>
  <c r="P265" i="5"/>
  <c r="O265" i="5"/>
  <c r="P264" i="5"/>
  <c r="O264" i="5"/>
  <c r="P263" i="5"/>
  <c r="O263" i="5"/>
  <c r="P262" i="5"/>
  <c r="O262" i="5"/>
  <c r="P261" i="5"/>
  <c r="O261" i="5"/>
  <c r="P260" i="5"/>
  <c r="O260" i="5"/>
  <c r="P259" i="5"/>
  <c r="O259" i="5"/>
  <c r="P258" i="5"/>
  <c r="O258" i="5"/>
  <c r="P257" i="5"/>
  <c r="O257" i="5"/>
  <c r="P256" i="5"/>
  <c r="O256" i="5"/>
  <c r="P255" i="5"/>
  <c r="O255" i="5"/>
  <c r="P254" i="5"/>
  <c r="O254" i="5"/>
  <c r="P253" i="5"/>
  <c r="O253" i="5"/>
  <c r="P252" i="5"/>
  <c r="O252" i="5"/>
  <c r="P251" i="5"/>
  <c r="O251" i="5"/>
  <c r="P250" i="5"/>
  <c r="O250" i="5"/>
  <c r="P249" i="5"/>
  <c r="O249" i="5"/>
  <c r="P248" i="5"/>
  <c r="O248" i="5"/>
  <c r="P247" i="5"/>
  <c r="O247" i="5"/>
  <c r="P246" i="5"/>
  <c r="O246" i="5"/>
  <c r="P245" i="5"/>
  <c r="O245" i="5"/>
  <c r="P244" i="5"/>
  <c r="O244" i="5"/>
  <c r="P243" i="5"/>
  <c r="O243" i="5"/>
  <c r="P242" i="5"/>
  <c r="O242" i="5"/>
  <c r="P241" i="5"/>
  <c r="O241" i="5"/>
  <c r="P240" i="5"/>
  <c r="O240" i="5"/>
  <c r="P239" i="5"/>
  <c r="O239" i="5"/>
  <c r="P238" i="5"/>
  <c r="O238" i="5"/>
  <c r="P237" i="5"/>
  <c r="O237" i="5"/>
  <c r="P236" i="5"/>
  <c r="O236" i="5"/>
  <c r="P235" i="5"/>
  <c r="O235" i="5"/>
  <c r="P234" i="5"/>
  <c r="O234" i="5"/>
  <c r="P233" i="5"/>
  <c r="O233" i="5"/>
  <c r="P232" i="5"/>
  <c r="O232" i="5"/>
  <c r="P231" i="5"/>
  <c r="O231" i="5"/>
  <c r="P230" i="5"/>
  <c r="O230" i="5"/>
  <c r="P229" i="5"/>
  <c r="O229" i="5"/>
  <c r="P228" i="5"/>
  <c r="O228" i="5"/>
  <c r="P227" i="5"/>
  <c r="O227" i="5"/>
  <c r="P226" i="5"/>
  <c r="O226" i="5"/>
  <c r="P225" i="5"/>
  <c r="O225" i="5"/>
  <c r="P224" i="5"/>
  <c r="O224" i="5"/>
  <c r="P223" i="5"/>
  <c r="O223" i="5"/>
  <c r="P222" i="5"/>
  <c r="O222" i="5"/>
  <c r="P221" i="5"/>
  <c r="O221" i="5"/>
  <c r="P220" i="5"/>
  <c r="O220" i="5"/>
  <c r="P219" i="5"/>
  <c r="O219" i="5"/>
  <c r="P218" i="5"/>
  <c r="O218" i="5"/>
  <c r="P217" i="5"/>
  <c r="O217" i="5"/>
  <c r="P216" i="5"/>
  <c r="O216" i="5"/>
  <c r="P215" i="5"/>
  <c r="O215" i="5"/>
  <c r="P214" i="5"/>
  <c r="O214" i="5"/>
  <c r="P213" i="5"/>
  <c r="O213" i="5"/>
  <c r="P212" i="5"/>
  <c r="O212" i="5"/>
  <c r="P211" i="5"/>
  <c r="O211" i="5"/>
  <c r="P210" i="5"/>
  <c r="O210" i="5"/>
  <c r="P209" i="5"/>
  <c r="O209" i="5"/>
  <c r="P208" i="5"/>
  <c r="O208" i="5"/>
  <c r="P207" i="5"/>
  <c r="O207" i="5"/>
  <c r="P206" i="5"/>
  <c r="O206" i="5"/>
  <c r="P205" i="5"/>
  <c r="O205" i="5"/>
  <c r="P204" i="5"/>
  <c r="O204" i="5"/>
  <c r="P203" i="5"/>
  <c r="O203" i="5"/>
  <c r="P202" i="5"/>
  <c r="O202" i="5"/>
  <c r="P201" i="5"/>
  <c r="O201" i="5"/>
  <c r="P200" i="5"/>
  <c r="O200" i="5"/>
  <c r="P199" i="5"/>
  <c r="O199" i="5"/>
  <c r="P198" i="5"/>
  <c r="O198" i="5"/>
  <c r="P197" i="5"/>
  <c r="O197" i="5"/>
  <c r="P196" i="5"/>
  <c r="O196" i="5"/>
  <c r="P195" i="5"/>
  <c r="O195" i="5"/>
  <c r="P194" i="5"/>
  <c r="O194" i="5"/>
  <c r="P193" i="5"/>
  <c r="O193" i="5"/>
  <c r="P192" i="5"/>
  <c r="O192" i="5"/>
  <c r="P191" i="5"/>
  <c r="O191" i="5"/>
  <c r="P190" i="5"/>
  <c r="O190" i="5"/>
  <c r="P189" i="5"/>
  <c r="O189" i="5"/>
  <c r="P188" i="5"/>
  <c r="O188" i="5"/>
  <c r="P187" i="5"/>
  <c r="O187" i="5"/>
  <c r="P186" i="5"/>
  <c r="O186" i="5"/>
  <c r="P185" i="5"/>
  <c r="O185" i="5"/>
  <c r="P184" i="5"/>
  <c r="O184" i="5"/>
  <c r="P183" i="5"/>
  <c r="O183" i="5"/>
  <c r="P182" i="5"/>
  <c r="O182" i="5"/>
  <c r="P181" i="5"/>
  <c r="O181" i="5"/>
  <c r="P180" i="5"/>
  <c r="O180" i="5"/>
  <c r="P179" i="5"/>
  <c r="O179" i="5"/>
  <c r="P178" i="5"/>
  <c r="O178" i="5"/>
  <c r="P177" i="5"/>
  <c r="O177" i="5"/>
  <c r="P176" i="5"/>
  <c r="O176" i="5"/>
  <c r="P175" i="5"/>
  <c r="O175" i="5"/>
  <c r="P174" i="5"/>
  <c r="O174" i="5"/>
  <c r="P173" i="5"/>
  <c r="O173" i="5"/>
  <c r="P172" i="5"/>
  <c r="O172" i="5"/>
  <c r="P171" i="5"/>
  <c r="O171" i="5"/>
  <c r="P170" i="5"/>
  <c r="O170" i="5"/>
  <c r="P169" i="5"/>
  <c r="O169" i="5"/>
  <c r="P168" i="5"/>
  <c r="O168" i="5"/>
  <c r="P167" i="5"/>
  <c r="O167" i="5"/>
  <c r="P166" i="5"/>
  <c r="O166" i="5"/>
  <c r="P165" i="5"/>
  <c r="O165" i="5"/>
  <c r="P164" i="5"/>
  <c r="O164" i="5"/>
  <c r="P163" i="5"/>
  <c r="O163" i="5"/>
  <c r="P162" i="5"/>
  <c r="O162" i="5"/>
  <c r="P161" i="5"/>
  <c r="O161" i="5"/>
  <c r="P160" i="5"/>
  <c r="O160" i="5"/>
  <c r="P159" i="5"/>
  <c r="O159" i="5"/>
  <c r="P158" i="5"/>
  <c r="O158" i="5"/>
  <c r="P157" i="5"/>
  <c r="O157" i="5"/>
  <c r="P156" i="5"/>
  <c r="O156" i="5"/>
  <c r="P155" i="5"/>
  <c r="O155" i="5"/>
  <c r="P154" i="5"/>
  <c r="O154" i="5"/>
  <c r="P153" i="5"/>
  <c r="O153" i="5"/>
  <c r="P152" i="5"/>
  <c r="O152" i="5"/>
  <c r="P151" i="5"/>
  <c r="O151" i="5"/>
  <c r="P150" i="5"/>
  <c r="O150" i="5"/>
  <c r="P149" i="5"/>
  <c r="O149" i="5"/>
  <c r="P148" i="5"/>
  <c r="O148" i="5"/>
  <c r="P147" i="5"/>
  <c r="O147" i="5"/>
  <c r="P146" i="5"/>
  <c r="O146" i="5"/>
  <c r="X5" i="1" s="1"/>
  <c r="P600" i="4"/>
  <c r="O600" i="4"/>
  <c r="P599" i="4"/>
  <c r="O599" i="4"/>
  <c r="P598" i="4"/>
  <c r="O598" i="4"/>
  <c r="P597" i="4"/>
  <c r="O597" i="4"/>
  <c r="P596" i="4"/>
  <c r="O596" i="4"/>
  <c r="P595" i="4"/>
  <c r="O595" i="4"/>
  <c r="P594" i="4"/>
  <c r="O594" i="4"/>
  <c r="P593" i="4"/>
  <c r="O593" i="4"/>
  <c r="P592" i="4"/>
  <c r="O592" i="4"/>
  <c r="P591" i="4"/>
  <c r="O591" i="4"/>
  <c r="P590" i="4"/>
  <c r="O590" i="4"/>
  <c r="P589" i="4"/>
  <c r="O589" i="4"/>
  <c r="P588" i="4"/>
  <c r="O588" i="4"/>
  <c r="P587" i="4"/>
  <c r="O587" i="4"/>
  <c r="P586" i="4"/>
  <c r="O586" i="4"/>
  <c r="P585" i="4"/>
  <c r="O585" i="4"/>
  <c r="P584" i="4"/>
  <c r="O584" i="4"/>
  <c r="P583" i="4"/>
  <c r="O583" i="4"/>
  <c r="P582" i="4"/>
  <c r="O582" i="4"/>
  <c r="P581" i="4"/>
  <c r="O581" i="4"/>
  <c r="P580" i="4"/>
  <c r="O580" i="4"/>
  <c r="P579" i="4"/>
  <c r="O579" i="4"/>
  <c r="P578" i="4"/>
  <c r="O578" i="4"/>
  <c r="P577" i="4"/>
  <c r="O577" i="4"/>
  <c r="P576" i="4"/>
  <c r="O576" i="4"/>
  <c r="P575" i="4"/>
  <c r="O575" i="4"/>
  <c r="P574" i="4"/>
  <c r="O574" i="4"/>
  <c r="P573" i="4"/>
  <c r="O573" i="4"/>
  <c r="P572" i="4"/>
  <c r="O572" i="4"/>
  <c r="P571" i="4"/>
  <c r="O571" i="4"/>
  <c r="P570" i="4"/>
  <c r="O570" i="4"/>
  <c r="P569" i="4"/>
  <c r="O569" i="4"/>
  <c r="P568" i="4"/>
  <c r="O568" i="4"/>
  <c r="P567" i="4"/>
  <c r="O567" i="4"/>
  <c r="P566" i="4"/>
  <c r="O566" i="4"/>
  <c r="P565" i="4"/>
  <c r="O565" i="4"/>
  <c r="P564" i="4"/>
  <c r="O564" i="4"/>
  <c r="P563" i="4"/>
  <c r="O563" i="4"/>
  <c r="P562" i="4"/>
  <c r="O562" i="4"/>
  <c r="P561" i="4"/>
  <c r="O561" i="4"/>
  <c r="P560" i="4"/>
  <c r="O560" i="4"/>
  <c r="P559" i="4"/>
  <c r="O559" i="4"/>
  <c r="P558" i="4"/>
  <c r="O558" i="4"/>
  <c r="P557" i="4"/>
  <c r="O557" i="4"/>
  <c r="P556" i="4"/>
  <c r="O556" i="4"/>
  <c r="P555" i="4"/>
  <c r="O555" i="4"/>
  <c r="P554" i="4"/>
  <c r="O554" i="4"/>
  <c r="P553" i="4"/>
  <c r="O553" i="4"/>
  <c r="P552" i="4"/>
  <c r="O552" i="4"/>
  <c r="P551" i="4"/>
  <c r="O551" i="4"/>
  <c r="P550" i="4"/>
  <c r="O550" i="4"/>
  <c r="P549" i="4"/>
  <c r="O549" i="4"/>
  <c r="P548" i="4"/>
  <c r="O548" i="4"/>
  <c r="P547" i="4"/>
  <c r="O547" i="4"/>
  <c r="P546" i="4"/>
  <c r="O546" i="4"/>
  <c r="P545" i="4"/>
  <c r="O545" i="4"/>
  <c r="P544" i="4"/>
  <c r="O544" i="4"/>
  <c r="P543" i="4"/>
  <c r="O543" i="4"/>
  <c r="P542" i="4"/>
  <c r="O542" i="4"/>
  <c r="P541" i="4"/>
  <c r="O541" i="4"/>
  <c r="P540" i="4"/>
  <c r="O540" i="4"/>
  <c r="P539" i="4"/>
  <c r="O539" i="4"/>
  <c r="P538" i="4"/>
  <c r="O538" i="4"/>
  <c r="P537" i="4"/>
  <c r="O537" i="4"/>
  <c r="P536" i="4"/>
  <c r="O536" i="4"/>
  <c r="P535" i="4"/>
  <c r="O535" i="4"/>
  <c r="P534" i="4"/>
  <c r="O534" i="4"/>
  <c r="P533" i="4"/>
  <c r="O533" i="4"/>
  <c r="P532" i="4"/>
  <c r="O532" i="4"/>
  <c r="P531" i="4"/>
  <c r="O531" i="4"/>
  <c r="P530" i="4"/>
  <c r="O530" i="4"/>
  <c r="P529" i="4"/>
  <c r="O529" i="4"/>
  <c r="P528" i="4"/>
  <c r="O528" i="4"/>
  <c r="P527" i="4"/>
  <c r="O527" i="4"/>
  <c r="P526" i="4"/>
  <c r="O526" i="4"/>
  <c r="P525" i="4"/>
  <c r="O525" i="4"/>
  <c r="P524" i="4"/>
  <c r="O524" i="4"/>
  <c r="P523" i="4"/>
  <c r="O523" i="4"/>
  <c r="P522" i="4"/>
  <c r="O522" i="4"/>
  <c r="P521" i="4"/>
  <c r="O521" i="4"/>
  <c r="P520" i="4"/>
  <c r="O520" i="4"/>
  <c r="P519" i="4"/>
  <c r="O519" i="4"/>
  <c r="P518" i="4"/>
  <c r="O518" i="4"/>
  <c r="P517" i="4"/>
  <c r="O517" i="4"/>
  <c r="P516" i="4"/>
  <c r="O516" i="4"/>
  <c r="P515" i="4"/>
  <c r="O515" i="4"/>
  <c r="P514" i="4"/>
  <c r="O514" i="4"/>
  <c r="P513" i="4"/>
  <c r="O513" i="4"/>
  <c r="P512" i="4"/>
  <c r="O512" i="4"/>
  <c r="P511" i="4"/>
  <c r="O511" i="4"/>
  <c r="P510" i="4"/>
  <c r="O510" i="4"/>
  <c r="P509" i="4"/>
  <c r="O509" i="4"/>
  <c r="P508" i="4"/>
  <c r="O508" i="4"/>
  <c r="P507" i="4"/>
  <c r="O507" i="4"/>
  <c r="P506" i="4"/>
  <c r="O506" i="4"/>
  <c r="P505" i="4"/>
  <c r="O505" i="4"/>
  <c r="P504" i="4"/>
  <c r="O504" i="4"/>
  <c r="P503" i="4"/>
  <c r="O503" i="4"/>
  <c r="P502" i="4"/>
  <c r="O502" i="4"/>
  <c r="P501" i="4"/>
  <c r="O501" i="4"/>
  <c r="P500" i="4"/>
  <c r="O500" i="4"/>
  <c r="P499" i="4"/>
  <c r="O499" i="4"/>
  <c r="P498" i="4"/>
  <c r="O498" i="4"/>
  <c r="P497" i="4"/>
  <c r="O497" i="4"/>
  <c r="P496" i="4"/>
  <c r="O496" i="4"/>
  <c r="P495" i="4"/>
  <c r="O495" i="4"/>
  <c r="P494" i="4"/>
  <c r="O494" i="4"/>
  <c r="P493" i="4"/>
  <c r="O493" i="4"/>
  <c r="P492" i="4"/>
  <c r="O492" i="4"/>
  <c r="P491" i="4"/>
  <c r="O491" i="4"/>
  <c r="P490" i="4"/>
  <c r="O490" i="4"/>
  <c r="P489" i="4"/>
  <c r="O489" i="4"/>
  <c r="P488" i="4"/>
  <c r="O488" i="4"/>
  <c r="P487" i="4"/>
  <c r="O487" i="4"/>
  <c r="P486" i="4"/>
  <c r="O486" i="4"/>
  <c r="P485" i="4"/>
  <c r="O485" i="4"/>
  <c r="P484" i="4"/>
  <c r="O484" i="4"/>
  <c r="P483" i="4"/>
  <c r="O483" i="4"/>
  <c r="P482" i="4"/>
  <c r="O482" i="4"/>
  <c r="P481" i="4"/>
  <c r="O481" i="4"/>
  <c r="P480" i="4"/>
  <c r="O480" i="4"/>
  <c r="P479" i="4"/>
  <c r="O479" i="4"/>
  <c r="P478" i="4"/>
  <c r="O478" i="4"/>
  <c r="P477" i="4"/>
  <c r="O477" i="4"/>
  <c r="P476" i="4"/>
  <c r="O476" i="4"/>
  <c r="P475" i="4"/>
  <c r="O475" i="4"/>
  <c r="P474" i="4"/>
  <c r="O474" i="4"/>
  <c r="P473" i="4"/>
  <c r="O473" i="4"/>
  <c r="P472" i="4"/>
  <c r="O472" i="4"/>
  <c r="P471" i="4"/>
  <c r="O471" i="4"/>
  <c r="P470" i="4"/>
  <c r="O470" i="4"/>
  <c r="P469" i="4"/>
  <c r="O469" i="4"/>
  <c r="P468" i="4"/>
  <c r="O468" i="4"/>
  <c r="P467" i="4"/>
  <c r="O467" i="4"/>
  <c r="P466" i="4"/>
  <c r="O466" i="4"/>
  <c r="P465" i="4"/>
  <c r="O465" i="4"/>
  <c r="P464" i="4"/>
  <c r="O464" i="4"/>
  <c r="P463" i="4"/>
  <c r="O463" i="4"/>
  <c r="P462" i="4"/>
  <c r="O462" i="4"/>
  <c r="P461" i="4"/>
  <c r="O461" i="4"/>
  <c r="P460" i="4"/>
  <c r="O460" i="4"/>
  <c r="P459" i="4"/>
  <c r="O459" i="4"/>
  <c r="P458" i="4"/>
  <c r="O458" i="4"/>
  <c r="P457" i="4"/>
  <c r="O457" i="4"/>
  <c r="P456" i="4"/>
  <c r="O456" i="4"/>
  <c r="P455" i="4"/>
  <c r="O455" i="4"/>
  <c r="P454" i="4"/>
  <c r="O454" i="4"/>
  <c r="P453" i="4"/>
  <c r="O453" i="4"/>
  <c r="P452" i="4"/>
  <c r="O452" i="4"/>
  <c r="P451" i="4"/>
  <c r="O451" i="4"/>
  <c r="P450" i="4"/>
  <c r="O450" i="4"/>
  <c r="P449" i="4"/>
  <c r="O449" i="4"/>
  <c r="P448" i="4"/>
  <c r="O448" i="4"/>
  <c r="P447" i="4"/>
  <c r="O447" i="4"/>
  <c r="P446" i="4"/>
  <c r="O446" i="4"/>
  <c r="P445" i="4"/>
  <c r="O445" i="4"/>
  <c r="P444" i="4"/>
  <c r="O444" i="4"/>
  <c r="P443" i="4"/>
  <c r="O443" i="4"/>
  <c r="P442" i="4"/>
  <c r="O442" i="4"/>
  <c r="P441" i="4"/>
  <c r="O441" i="4"/>
  <c r="P440" i="4"/>
  <c r="O440" i="4"/>
  <c r="P439" i="4"/>
  <c r="O439" i="4"/>
  <c r="P438" i="4"/>
  <c r="O438" i="4"/>
  <c r="P437" i="4"/>
  <c r="O437" i="4"/>
  <c r="P436" i="4"/>
  <c r="O436" i="4"/>
  <c r="P435" i="4"/>
  <c r="O435" i="4"/>
  <c r="P434" i="4"/>
  <c r="O434" i="4"/>
  <c r="P433" i="4"/>
  <c r="O433" i="4"/>
  <c r="P432" i="4"/>
  <c r="O432" i="4"/>
  <c r="P431" i="4"/>
  <c r="O431" i="4"/>
  <c r="P430" i="4"/>
  <c r="O430" i="4"/>
  <c r="P429" i="4"/>
  <c r="O429" i="4"/>
  <c r="P428" i="4"/>
  <c r="O428" i="4"/>
  <c r="P427" i="4"/>
  <c r="O427" i="4"/>
  <c r="P426" i="4"/>
  <c r="O426" i="4"/>
  <c r="P425" i="4"/>
  <c r="O425" i="4"/>
  <c r="P424" i="4"/>
  <c r="O424" i="4"/>
  <c r="P423" i="4"/>
  <c r="O423" i="4"/>
  <c r="P422" i="4"/>
  <c r="O422" i="4"/>
  <c r="P421" i="4"/>
  <c r="O421" i="4"/>
  <c r="P420" i="4"/>
  <c r="O420" i="4"/>
  <c r="P419" i="4"/>
  <c r="O419" i="4"/>
  <c r="P418" i="4"/>
  <c r="O418" i="4"/>
  <c r="P417" i="4"/>
  <c r="O417" i="4"/>
  <c r="P416" i="4"/>
  <c r="O416" i="4"/>
  <c r="P415" i="4"/>
  <c r="O415" i="4"/>
  <c r="P414" i="4"/>
  <c r="O414" i="4"/>
  <c r="P413" i="4"/>
  <c r="O413" i="4"/>
  <c r="P412" i="4"/>
  <c r="O412" i="4"/>
  <c r="P411" i="4"/>
  <c r="O411" i="4"/>
  <c r="P410" i="4"/>
  <c r="O410" i="4"/>
  <c r="P409" i="4"/>
  <c r="O409" i="4"/>
  <c r="P408" i="4"/>
  <c r="O408" i="4"/>
  <c r="P407" i="4"/>
  <c r="O407" i="4"/>
  <c r="P406" i="4"/>
  <c r="O406" i="4"/>
  <c r="P405" i="4"/>
  <c r="O405" i="4"/>
  <c r="P404" i="4"/>
  <c r="O404" i="4"/>
  <c r="P403" i="4"/>
  <c r="O403" i="4"/>
  <c r="P402" i="4"/>
  <c r="O402" i="4"/>
  <c r="P401" i="4"/>
  <c r="O401" i="4"/>
  <c r="P400" i="4"/>
  <c r="O400" i="4"/>
  <c r="P399" i="4"/>
  <c r="O399" i="4"/>
  <c r="P398" i="4"/>
  <c r="O398" i="4"/>
  <c r="P397" i="4"/>
  <c r="O397" i="4"/>
  <c r="P396" i="4"/>
  <c r="O396" i="4"/>
  <c r="P395" i="4"/>
  <c r="O395" i="4"/>
  <c r="P394" i="4"/>
  <c r="O394" i="4"/>
  <c r="P393" i="4"/>
  <c r="O393" i="4"/>
  <c r="P392" i="4"/>
  <c r="O392" i="4"/>
  <c r="P391" i="4"/>
  <c r="O391" i="4"/>
  <c r="P390" i="4"/>
  <c r="O390" i="4"/>
  <c r="P389" i="4"/>
  <c r="O389" i="4"/>
  <c r="P388" i="4"/>
  <c r="O388" i="4"/>
  <c r="P387" i="4"/>
  <c r="O387" i="4"/>
  <c r="P386" i="4"/>
  <c r="O386" i="4"/>
  <c r="P385" i="4"/>
  <c r="O385" i="4"/>
  <c r="P384" i="4"/>
  <c r="O384" i="4"/>
  <c r="P383" i="4"/>
  <c r="O383" i="4"/>
  <c r="P382" i="4"/>
  <c r="O382" i="4"/>
  <c r="P381" i="4"/>
  <c r="O381" i="4"/>
  <c r="P380" i="4"/>
  <c r="O380" i="4"/>
  <c r="P379" i="4"/>
  <c r="O379" i="4"/>
  <c r="P378" i="4"/>
  <c r="O378" i="4"/>
  <c r="P377" i="4"/>
  <c r="O377" i="4"/>
  <c r="P376" i="4"/>
  <c r="O376" i="4"/>
  <c r="P375" i="4"/>
  <c r="O375" i="4"/>
  <c r="P374" i="4"/>
  <c r="O374" i="4"/>
  <c r="P373" i="4"/>
  <c r="O373" i="4"/>
  <c r="P372" i="4"/>
  <c r="O372" i="4"/>
  <c r="P371" i="4"/>
  <c r="O371" i="4"/>
  <c r="P370" i="4"/>
  <c r="O370" i="4"/>
  <c r="P369" i="4"/>
  <c r="O369" i="4"/>
  <c r="P368" i="4"/>
  <c r="O368" i="4"/>
  <c r="P367" i="4"/>
  <c r="O367" i="4"/>
  <c r="P366" i="4"/>
  <c r="O366" i="4"/>
  <c r="P365" i="4"/>
  <c r="O365" i="4"/>
  <c r="P364" i="4"/>
  <c r="O364" i="4"/>
  <c r="P363" i="4"/>
  <c r="O363" i="4"/>
  <c r="P362" i="4"/>
  <c r="O362" i="4"/>
  <c r="P361" i="4"/>
  <c r="O361" i="4"/>
  <c r="P360" i="4"/>
  <c r="O360" i="4"/>
  <c r="P359" i="4"/>
  <c r="O359" i="4"/>
  <c r="P358" i="4"/>
  <c r="O358" i="4"/>
  <c r="P357" i="4"/>
  <c r="O357" i="4"/>
  <c r="P356" i="4"/>
  <c r="O356" i="4"/>
  <c r="P355" i="4"/>
  <c r="O355" i="4"/>
  <c r="P354" i="4"/>
  <c r="O354" i="4"/>
  <c r="P353" i="4"/>
  <c r="O353" i="4"/>
  <c r="P352" i="4"/>
  <c r="O352" i="4"/>
  <c r="P351" i="4"/>
  <c r="O351" i="4"/>
  <c r="P350" i="4"/>
  <c r="O350" i="4"/>
  <c r="P349" i="4"/>
  <c r="O349" i="4"/>
  <c r="P348" i="4"/>
  <c r="O348" i="4"/>
  <c r="P347" i="4"/>
  <c r="O347" i="4"/>
  <c r="P346" i="4"/>
  <c r="O346" i="4"/>
  <c r="P345" i="4"/>
  <c r="O345" i="4"/>
  <c r="P344" i="4"/>
  <c r="O344" i="4"/>
  <c r="P343" i="4"/>
  <c r="O343" i="4"/>
  <c r="P342" i="4"/>
  <c r="O342" i="4"/>
  <c r="P341" i="4"/>
  <c r="O341" i="4"/>
  <c r="P340" i="4"/>
  <c r="O340" i="4"/>
  <c r="P339" i="4"/>
  <c r="O339" i="4"/>
  <c r="P338" i="4"/>
  <c r="O338" i="4"/>
  <c r="P337" i="4"/>
  <c r="O337" i="4"/>
  <c r="P336" i="4"/>
  <c r="O336" i="4"/>
  <c r="P335" i="4"/>
  <c r="O335" i="4"/>
  <c r="P334" i="4"/>
  <c r="O334" i="4"/>
  <c r="P333" i="4"/>
  <c r="O333" i="4"/>
  <c r="P332" i="4"/>
  <c r="O332" i="4"/>
  <c r="P331" i="4"/>
  <c r="O331" i="4"/>
  <c r="P330" i="4"/>
  <c r="O330" i="4"/>
  <c r="P329" i="4"/>
  <c r="O329" i="4"/>
  <c r="P328" i="4"/>
  <c r="O328" i="4"/>
  <c r="P327" i="4"/>
  <c r="O327" i="4"/>
  <c r="P326" i="4"/>
  <c r="O326" i="4"/>
  <c r="P325" i="4"/>
  <c r="O325" i="4"/>
  <c r="P324" i="4"/>
  <c r="O324" i="4"/>
  <c r="P323" i="4"/>
  <c r="O323" i="4"/>
  <c r="P322" i="4"/>
  <c r="O322" i="4"/>
  <c r="P321" i="4"/>
  <c r="O321" i="4"/>
  <c r="P320" i="4"/>
  <c r="O320" i="4"/>
  <c r="P319" i="4"/>
  <c r="O319" i="4"/>
  <c r="P318" i="4"/>
  <c r="O318" i="4"/>
  <c r="P317" i="4"/>
  <c r="O317" i="4"/>
  <c r="P316" i="4"/>
  <c r="O316" i="4"/>
  <c r="P315" i="4"/>
  <c r="O315" i="4"/>
  <c r="P314" i="4"/>
  <c r="O314" i="4"/>
  <c r="P313" i="4"/>
  <c r="O313" i="4"/>
  <c r="P312" i="4"/>
  <c r="O312" i="4"/>
  <c r="P311" i="4"/>
  <c r="O311" i="4"/>
  <c r="P310" i="4"/>
  <c r="O310" i="4"/>
  <c r="P309" i="4"/>
  <c r="O309" i="4"/>
  <c r="P308" i="4"/>
  <c r="O308" i="4"/>
  <c r="P307" i="4"/>
  <c r="O307" i="4"/>
  <c r="P306" i="4"/>
  <c r="O306" i="4"/>
  <c r="P305" i="4"/>
  <c r="O305" i="4"/>
  <c r="P304" i="4"/>
  <c r="O304" i="4"/>
  <c r="P303" i="4"/>
  <c r="O303" i="4"/>
  <c r="P302" i="4"/>
  <c r="O302" i="4"/>
  <c r="P301" i="4"/>
  <c r="O301" i="4"/>
  <c r="P300" i="4"/>
  <c r="O300" i="4"/>
  <c r="P299" i="4"/>
  <c r="O299" i="4"/>
  <c r="P298" i="4"/>
  <c r="O298" i="4"/>
  <c r="P297" i="4"/>
  <c r="O297" i="4"/>
  <c r="P296" i="4"/>
  <c r="O296" i="4"/>
  <c r="P295" i="4"/>
  <c r="O295" i="4"/>
  <c r="P294" i="4"/>
  <c r="O294" i="4"/>
  <c r="P293" i="4"/>
  <c r="O293" i="4"/>
  <c r="P292" i="4"/>
  <c r="O292" i="4"/>
  <c r="P291" i="4"/>
  <c r="O291" i="4"/>
  <c r="P290" i="4"/>
  <c r="O290" i="4"/>
  <c r="P289" i="4"/>
  <c r="O289" i="4"/>
  <c r="P288" i="4"/>
  <c r="O288" i="4"/>
  <c r="P287" i="4"/>
  <c r="O287" i="4"/>
  <c r="P286" i="4"/>
  <c r="O286" i="4"/>
  <c r="P285" i="4"/>
  <c r="O285" i="4"/>
  <c r="P284" i="4"/>
  <c r="O284" i="4"/>
  <c r="P283" i="4"/>
  <c r="O283" i="4"/>
  <c r="P282" i="4"/>
  <c r="O282" i="4"/>
  <c r="P281" i="4"/>
  <c r="O281" i="4"/>
  <c r="P280" i="4"/>
  <c r="O280" i="4"/>
  <c r="P279" i="4"/>
  <c r="O279" i="4"/>
  <c r="P278" i="4"/>
  <c r="O278" i="4"/>
  <c r="P277" i="4"/>
  <c r="O277" i="4"/>
  <c r="P276" i="4"/>
  <c r="O276" i="4"/>
  <c r="P275" i="4"/>
  <c r="O275" i="4"/>
  <c r="P274" i="4"/>
  <c r="O274" i="4"/>
  <c r="P273" i="4"/>
  <c r="O273" i="4"/>
  <c r="P272" i="4"/>
  <c r="O272" i="4"/>
  <c r="P271" i="4"/>
  <c r="O271" i="4"/>
  <c r="P270" i="4"/>
  <c r="O270" i="4"/>
  <c r="P269" i="4"/>
  <c r="O269" i="4"/>
  <c r="P268" i="4"/>
  <c r="O268" i="4"/>
  <c r="P267" i="4"/>
  <c r="O267" i="4"/>
  <c r="P266" i="4"/>
  <c r="O266" i="4"/>
  <c r="P265" i="4"/>
  <c r="O265" i="4"/>
  <c r="P264" i="4"/>
  <c r="O264" i="4"/>
  <c r="P263" i="4"/>
  <c r="O263" i="4"/>
  <c r="P262" i="4"/>
  <c r="O262" i="4"/>
  <c r="P261" i="4"/>
  <c r="O261" i="4"/>
  <c r="P260" i="4"/>
  <c r="O260" i="4"/>
  <c r="P259" i="4"/>
  <c r="O259" i="4"/>
  <c r="P258" i="4"/>
  <c r="O258" i="4"/>
  <c r="P257" i="4"/>
  <c r="O257" i="4"/>
  <c r="P256" i="4"/>
  <c r="O256" i="4"/>
  <c r="P255" i="4"/>
  <c r="O255" i="4"/>
  <c r="P254" i="4"/>
  <c r="O254" i="4"/>
  <c r="P253" i="4"/>
  <c r="O253" i="4"/>
  <c r="P252" i="4"/>
  <c r="O252" i="4"/>
  <c r="P251" i="4"/>
  <c r="O251" i="4"/>
  <c r="P250" i="4"/>
  <c r="O250" i="4"/>
  <c r="P249" i="4"/>
  <c r="O249" i="4"/>
  <c r="P248" i="4"/>
  <c r="O248" i="4"/>
  <c r="P247" i="4"/>
  <c r="O247" i="4"/>
  <c r="P246" i="4"/>
  <c r="O246" i="4"/>
  <c r="P245" i="4"/>
  <c r="O245" i="4"/>
  <c r="P244" i="4"/>
  <c r="O244" i="4"/>
  <c r="P243" i="4"/>
  <c r="O243" i="4"/>
  <c r="P242" i="4"/>
  <c r="O242" i="4"/>
  <c r="P241" i="4"/>
  <c r="O241" i="4"/>
  <c r="P240" i="4"/>
  <c r="O240" i="4"/>
  <c r="P239" i="4"/>
  <c r="O239" i="4"/>
  <c r="P238" i="4"/>
  <c r="O238" i="4"/>
  <c r="P237" i="4"/>
  <c r="O237" i="4"/>
  <c r="P236" i="4"/>
  <c r="O236" i="4"/>
  <c r="P235" i="4"/>
  <c r="O235" i="4"/>
  <c r="P234" i="4"/>
  <c r="O234" i="4"/>
  <c r="P233" i="4"/>
  <c r="O233" i="4"/>
  <c r="P232" i="4"/>
  <c r="O232" i="4"/>
  <c r="P231" i="4"/>
  <c r="O231" i="4"/>
  <c r="P230" i="4"/>
  <c r="O230" i="4"/>
  <c r="P229" i="4"/>
  <c r="O229" i="4"/>
  <c r="P228" i="4"/>
  <c r="O228" i="4"/>
  <c r="P227" i="4"/>
  <c r="O227" i="4"/>
  <c r="P226" i="4"/>
  <c r="O226" i="4"/>
  <c r="P225" i="4"/>
  <c r="O225" i="4"/>
  <c r="P224" i="4"/>
  <c r="O224" i="4"/>
  <c r="P223" i="4"/>
  <c r="O223" i="4"/>
  <c r="P222" i="4"/>
  <c r="O222" i="4"/>
  <c r="P221" i="4"/>
  <c r="O221" i="4"/>
  <c r="P220" i="4"/>
  <c r="O220" i="4"/>
  <c r="P219" i="4"/>
  <c r="O219" i="4"/>
  <c r="P218" i="4"/>
  <c r="O218" i="4"/>
  <c r="P217" i="4"/>
  <c r="O217" i="4"/>
  <c r="P216" i="4"/>
  <c r="O216" i="4"/>
  <c r="P215" i="4"/>
  <c r="O215" i="4"/>
  <c r="P214" i="4"/>
  <c r="O214" i="4"/>
  <c r="P213" i="4"/>
  <c r="O213" i="4"/>
  <c r="P212" i="4"/>
  <c r="O212" i="4"/>
  <c r="P211" i="4"/>
  <c r="O211" i="4"/>
  <c r="P210" i="4"/>
  <c r="O210" i="4"/>
  <c r="P209" i="4"/>
  <c r="O209" i="4"/>
  <c r="P208" i="4"/>
  <c r="O208" i="4"/>
  <c r="P207" i="4"/>
  <c r="O207" i="4"/>
  <c r="P206" i="4"/>
  <c r="O206" i="4"/>
  <c r="P205" i="4"/>
  <c r="O205" i="4"/>
  <c r="P204" i="4"/>
  <c r="O204" i="4"/>
  <c r="P203" i="4"/>
  <c r="O203" i="4"/>
  <c r="P202" i="4"/>
  <c r="O202" i="4"/>
  <c r="P201" i="4"/>
  <c r="O201" i="4"/>
  <c r="P200" i="4"/>
  <c r="O200" i="4"/>
  <c r="P199" i="4"/>
  <c r="O199" i="4"/>
  <c r="P198" i="4"/>
  <c r="O198" i="4"/>
  <c r="P197" i="4"/>
  <c r="O197" i="4"/>
  <c r="P196" i="4"/>
  <c r="O196" i="4"/>
  <c r="P195" i="4"/>
  <c r="O195" i="4"/>
  <c r="P194" i="4"/>
  <c r="O194" i="4"/>
  <c r="P193" i="4"/>
  <c r="O193" i="4"/>
  <c r="P192" i="4"/>
  <c r="O192" i="4"/>
  <c r="P191" i="4"/>
  <c r="O191" i="4"/>
  <c r="P190" i="4"/>
  <c r="O190" i="4"/>
  <c r="P189" i="4"/>
  <c r="O189" i="4"/>
  <c r="P188" i="4"/>
  <c r="O188" i="4"/>
  <c r="P187" i="4"/>
  <c r="O187" i="4"/>
  <c r="P186" i="4"/>
  <c r="O186" i="4"/>
  <c r="P185" i="4"/>
  <c r="O185" i="4"/>
  <c r="P184" i="4"/>
  <c r="O184" i="4"/>
  <c r="P183" i="4"/>
  <c r="O183" i="4"/>
  <c r="P182" i="4"/>
  <c r="O182" i="4"/>
  <c r="P181" i="4"/>
  <c r="O181" i="4"/>
  <c r="P180" i="4"/>
  <c r="O180" i="4"/>
  <c r="P179" i="4"/>
  <c r="O179" i="4"/>
  <c r="P178" i="4"/>
  <c r="O178" i="4"/>
  <c r="P177" i="4"/>
  <c r="O177" i="4"/>
  <c r="P176" i="4"/>
  <c r="O176" i="4"/>
  <c r="P175" i="4"/>
  <c r="O175" i="4"/>
  <c r="P174" i="4"/>
  <c r="O174" i="4"/>
  <c r="P173" i="4"/>
  <c r="O173" i="4"/>
  <c r="P172" i="4"/>
  <c r="O172" i="4"/>
  <c r="P171" i="4"/>
  <c r="O171" i="4"/>
  <c r="P170" i="4"/>
  <c r="O170" i="4"/>
  <c r="P169" i="4"/>
  <c r="O169" i="4"/>
  <c r="P168" i="4"/>
  <c r="O168" i="4"/>
  <c r="P167" i="4"/>
  <c r="O167" i="4"/>
  <c r="P166" i="4"/>
  <c r="O166" i="4"/>
  <c r="P165" i="4"/>
  <c r="O165" i="4"/>
  <c r="P164" i="4"/>
  <c r="O164" i="4"/>
  <c r="P163" i="4"/>
  <c r="O163" i="4"/>
  <c r="P162" i="4"/>
  <c r="O162" i="4"/>
  <c r="P161" i="4"/>
  <c r="O161" i="4"/>
  <c r="P160" i="4"/>
  <c r="O160" i="4"/>
  <c r="P159" i="4"/>
  <c r="O159" i="4"/>
  <c r="P158" i="4"/>
  <c r="O158" i="4"/>
  <c r="P157" i="4"/>
  <c r="O157" i="4"/>
  <c r="P156" i="4"/>
  <c r="O156" i="4"/>
  <c r="P155" i="4"/>
  <c r="O155" i="4"/>
  <c r="P154" i="4"/>
  <c r="O154" i="4"/>
  <c r="P153" i="4"/>
  <c r="O153" i="4"/>
  <c r="P152" i="4"/>
  <c r="O152" i="4"/>
  <c r="P151" i="4"/>
  <c r="O151" i="4"/>
  <c r="P150" i="4"/>
  <c r="O150" i="4"/>
  <c r="P149" i="4"/>
  <c r="O149" i="4"/>
  <c r="P148" i="4"/>
  <c r="O148" i="4"/>
  <c r="P147" i="4"/>
  <c r="O147" i="4"/>
  <c r="P146" i="4"/>
  <c r="O146" i="4"/>
  <c r="P600" i="3"/>
  <c r="O600" i="3"/>
  <c r="P599" i="3"/>
  <c r="O599" i="3"/>
  <c r="P598" i="3"/>
  <c r="O598" i="3"/>
  <c r="P597" i="3"/>
  <c r="O597" i="3"/>
  <c r="P596" i="3"/>
  <c r="O596" i="3"/>
  <c r="P595" i="3"/>
  <c r="O595" i="3"/>
  <c r="P594" i="3"/>
  <c r="O594" i="3"/>
  <c r="P593" i="3"/>
  <c r="O593" i="3"/>
  <c r="P592" i="3"/>
  <c r="O592" i="3"/>
  <c r="P591" i="3"/>
  <c r="O591" i="3"/>
  <c r="P590" i="3"/>
  <c r="O590" i="3"/>
  <c r="P589" i="3"/>
  <c r="O589" i="3"/>
  <c r="P588" i="3"/>
  <c r="O588" i="3"/>
  <c r="P587" i="3"/>
  <c r="O587" i="3"/>
  <c r="P586" i="3"/>
  <c r="O586" i="3"/>
  <c r="P585" i="3"/>
  <c r="O585" i="3"/>
  <c r="P584" i="3"/>
  <c r="O584" i="3"/>
  <c r="P583" i="3"/>
  <c r="O583" i="3"/>
  <c r="P582" i="3"/>
  <c r="O582" i="3"/>
  <c r="P581" i="3"/>
  <c r="O581" i="3"/>
  <c r="P580" i="3"/>
  <c r="O580" i="3"/>
  <c r="P579" i="3"/>
  <c r="O579" i="3"/>
  <c r="P578" i="3"/>
  <c r="O578" i="3"/>
  <c r="P577" i="3"/>
  <c r="O577" i="3"/>
  <c r="P576" i="3"/>
  <c r="O576" i="3"/>
  <c r="P575" i="3"/>
  <c r="O575" i="3"/>
  <c r="P574" i="3"/>
  <c r="O574" i="3"/>
  <c r="P573" i="3"/>
  <c r="O573" i="3"/>
  <c r="P572" i="3"/>
  <c r="O572" i="3"/>
  <c r="P571" i="3"/>
  <c r="O571" i="3"/>
  <c r="P570" i="3"/>
  <c r="O570" i="3"/>
  <c r="P569" i="3"/>
  <c r="O569" i="3"/>
  <c r="P568" i="3"/>
  <c r="O568" i="3"/>
  <c r="P567" i="3"/>
  <c r="O567" i="3"/>
  <c r="P566" i="3"/>
  <c r="O566" i="3"/>
  <c r="P565" i="3"/>
  <c r="O565" i="3"/>
  <c r="P564" i="3"/>
  <c r="O564" i="3"/>
  <c r="P563" i="3"/>
  <c r="O563" i="3"/>
  <c r="P562" i="3"/>
  <c r="O562" i="3"/>
  <c r="P561" i="3"/>
  <c r="O561" i="3"/>
  <c r="P560" i="3"/>
  <c r="O560" i="3"/>
  <c r="P559" i="3"/>
  <c r="O559" i="3"/>
  <c r="P558" i="3"/>
  <c r="O558" i="3"/>
  <c r="P557" i="3"/>
  <c r="O557" i="3"/>
  <c r="P556" i="3"/>
  <c r="O556" i="3"/>
  <c r="P555" i="3"/>
  <c r="O555" i="3"/>
  <c r="P554" i="3"/>
  <c r="O554" i="3"/>
  <c r="P553" i="3"/>
  <c r="O553" i="3"/>
  <c r="P552" i="3"/>
  <c r="O552" i="3"/>
  <c r="P551" i="3"/>
  <c r="O551" i="3"/>
  <c r="P550" i="3"/>
  <c r="O550" i="3"/>
  <c r="P549" i="3"/>
  <c r="O549" i="3"/>
  <c r="P548" i="3"/>
  <c r="O548" i="3"/>
  <c r="P547" i="3"/>
  <c r="O547" i="3"/>
  <c r="P546" i="3"/>
  <c r="O546" i="3"/>
  <c r="P545" i="3"/>
  <c r="O545" i="3"/>
  <c r="P544" i="3"/>
  <c r="O544" i="3"/>
  <c r="P543" i="3"/>
  <c r="O543" i="3"/>
  <c r="P542" i="3"/>
  <c r="O542" i="3"/>
  <c r="P541" i="3"/>
  <c r="O541" i="3"/>
  <c r="P540" i="3"/>
  <c r="O540" i="3"/>
  <c r="P539" i="3"/>
  <c r="O539" i="3"/>
  <c r="P538" i="3"/>
  <c r="O538" i="3"/>
  <c r="P537" i="3"/>
  <c r="O537" i="3"/>
  <c r="P536" i="3"/>
  <c r="O536" i="3"/>
  <c r="P535" i="3"/>
  <c r="O535" i="3"/>
  <c r="P534" i="3"/>
  <c r="O534" i="3"/>
  <c r="P533" i="3"/>
  <c r="O533" i="3"/>
  <c r="P532" i="3"/>
  <c r="O532" i="3"/>
  <c r="P531" i="3"/>
  <c r="O531" i="3"/>
  <c r="P530" i="3"/>
  <c r="O530" i="3"/>
  <c r="P529" i="3"/>
  <c r="O529" i="3"/>
  <c r="P528" i="3"/>
  <c r="O528" i="3"/>
  <c r="P527" i="3"/>
  <c r="O527" i="3"/>
  <c r="P526" i="3"/>
  <c r="O526" i="3"/>
  <c r="P525" i="3"/>
  <c r="O525" i="3"/>
  <c r="P524" i="3"/>
  <c r="O524" i="3"/>
  <c r="P523" i="3"/>
  <c r="O523" i="3"/>
  <c r="P522" i="3"/>
  <c r="O522" i="3"/>
  <c r="P521" i="3"/>
  <c r="O521" i="3"/>
  <c r="P520" i="3"/>
  <c r="O520" i="3"/>
  <c r="P519" i="3"/>
  <c r="O519" i="3"/>
  <c r="P518" i="3"/>
  <c r="O518" i="3"/>
  <c r="P517" i="3"/>
  <c r="O517" i="3"/>
  <c r="P516" i="3"/>
  <c r="O516" i="3"/>
  <c r="P515" i="3"/>
  <c r="O515" i="3"/>
  <c r="P514" i="3"/>
  <c r="O514" i="3"/>
  <c r="P513" i="3"/>
  <c r="O513" i="3"/>
  <c r="P512" i="3"/>
  <c r="O512" i="3"/>
  <c r="P511" i="3"/>
  <c r="O511" i="3"/>
  <c r="P510" i="3"/>
  <c r="O510" i="3"/>
  <c r="P509" i="3"/>
  <c r="O509" i="3"/>
  <c r="P508" i="3"/>
  <c r="O508" i="3"/>
  <c r="P507" i="3"/>
  <c r="O507" i="3"/>
  <c r="P506" i="3"/>
  <c r="O506" i="3"/>
  <c r="P505" i="3"/>
  <c r="O505" i="3"/>
  <c r="P504" i="3"/>
  <c r="O504" i="3"/>
  <c r="P503" i="3"/>
  <c r="O503" i="3"/>
  <c r="P502" i="3"/>
  <c r="O502" i="3"/>
  <c r="P501" i="3"/>
  <c r="O501" i="3"/>
  <c r="P500" i="3"/>
  <c r="O500" i="3"/>
  <c r="P499" i="3"/>
  <c r="O499" i="3"/>
  <c r="P498" i="3"/>
  <c r="O498" i="3"/>
  <c r="P497" i="3"/>
  <c r="O497" i="3"/>
  <c r="P496" i="3"/>
  <c r="O496" i="3"/>
  <c r="P495" i="3"/>
  <c r="O495" i="3"/>
  <c r="P494" i="3"/>
  <c r="O494" i="3"/>
  <c r="P493" i="3"/>
  <c r="O493" i="3"/>
  <c r="P492" i="3"/>
  <c r="O492" i="3"/>
  <c r="P491" i="3"/>
  <c r="O491" i="3"/>
  <c r="P490" i="3"/>
  <c r="O490" i="3"/>
  <c r="P489" i="3"/>
  <c r="O489" i="3"/>
  <c r="P488" i="3"/>
  <c r="O488" i="3"/>
  <c r="P487" i="3"/>
  <c r="O487" i="3"/>
  <c r="P486" i="3"/>
  <c r="O486" i="3"/>
  <c r="P485" i="3"/>
  <c r="O485" i="3"/>
  <c r="P484" i="3"/>
  <c r="O484" i="3"/>
  <c r="P483" i="3"/>
  <c r="O483" i="3"/>
  <c r="P482" i="3"/>
  <c r="O482" i="3"/>
  <c r="P481" i="3"/>
  <c r="O481" i="3"/>
  <c r="P480" i="3"/>
  <c r="O480" i="3"/>
  <c r="P479" i="3"/>
  <c r="O479" i="3"/>
  <c r="P478" i="3"/>
  <c r="O478" i="3"/>
  <c r="P477" i="3"/>
  <c r="O477" i="3"/>
  <c r="P476" i="3"/>
  <c r="O476" i="3"/>
  <c r="P475" i="3"/>
  <c r="O475" i="3"/>
  <c r="P474" i="3"/>
  <c r="O474" i="3"/>
  <c r="P473" i="3"/>
  <c r="O473" i="3"/>
  <c r="P472" i="3"/>
  <c r="O472" i="3"/>
  <c r="P471" i="3"/>
  <c r="O471" i="3"/>
  <c r="P470" i="3"/>
  <c r="O470" i="3"/>
  <c r="P469" i="3"/>
  <c r="O469" i="3"/>
  <c r="P468" i="3"/>
  <c r="O468" i="3"/>
  <c r="P467" i="3"/>
  <c r="O467" i="3"/>
  <c r="P466" i="3"/>
  <c r="O466" i="3"/>
  <c r="P465" i="3"/>
  <c r="O465" i="3"/>
  <c r="P464" i="3"/>
  <c r="O464" i="3"/>
  <c r="P463" i="3"/>
  <c r="O463" i="3"/>
  <c r="P462" i="3"/>
  <c r="O462" i="3"/>
  <c r="P461" i="3"/>
  <c r="O461" i="3"/>
  <c r="P460" i="3"/>
  <c r="O460" i="3"/>
  <c r="P459" i="3"/>
  <c r="O459" i="3"/>
  <c r="P458" i="3"/>
  <c r="O458" i="3"/>
  <c r="P457" i="3"/>
  <c r="O457" i="3"/>
  <c r="P456" i="3"/>
  <c r="O456" i="3"/>
  <c r="P455" i="3"/>
  <c r="O455" i="3"/>
  <c r="P454" i="3"/>
  <c r="O454" i="3"/>
  <c r="P453" i="3"/>
  <c r="O453" i="3"/>
  <c r="P452" i="3"/>
  <c r="O452" i="3"/>
  <c r="P451" i="3"/>
  <c r="O451" i="3"/>
  <c r="P450" i="3"/>
  <c r="O450" i="3"/>
  <c r="P449" i="3"/>
  <c r="O449" i="3"/>
  <c r="P448" i="3"/>
  <c r="O448" i="3"/>
  <c r="P447" i="3"/>
  <c r="O447" i="3"/>
  <c r="P446" i="3"/>
  <c r="O446" i="3"/>
  <c r="P445" i="3"/>
  <c r="O445" i="3"/>
  <c r="P444" i="3"/>
  <c r="O444" i="3"/>
  <c r="P443" i="3"/>
  <c r="O443" i="3"/>
  <c r="P442" i="3"/>
  <c r="O442" i="3"/>
  <c r="P441" i="3"/>
  <c r="O441" i="3"/>
  <c r="P440" i="3"/>
  <c r="O440" i="3"/>
  <c r="P439" i="3"/>
  <c r="O439" i="3"/>
  <c r="P438" i="3"/>
  <c r="O438" i="3"/>
  <c r="P437" i="3"/>
  <c r="O437" i="3"/>
  <c r="P436" i="3"/>
  <c r="O436" i="3"/>
  <c r="P435" i="3"/>
  <c r="O435" i="3"/>
  <c r="P434" i="3"/>
  <c r="O434" i="3"/>
  <c r="P433" i="3"/>
  <c r="O433" i="3"/>
  <c r="P432" i="3"/>
  <c r="O432" i="3"/>
  <c r="P431" i="3"/>
  <c r="O431" i="3"/>
  <c r="P430" i="3"/>
  <c r="O430" i="3"/>
  <c r="P429" i="3"/>
  <c r="O429" i="3"/>
  <c r="P428" i="3"/>
  <c r="O428" i="3"/>
  <c r="P427" i="3"/>
  <c r="O427" i="3"/>
  <c r="P426" i="3"/>
  <c r="O426" i="3"/>
  <c r="P425" i="3"/>
  <c r="O425" i="3"/>
  <c r="P424" i="3"/>
  <c r="O424" i="3"/>
  <c r="P423" i="3"/>
  <c r="O423" i="3"/>
  <c r="P422" i="3"/>
  <c r="O422" i="3"/>
  <c r="P421" i="3"/>
  <c r="O421" i="3"/>
  <c r="P420" i="3"/>
  <c r="O420" i="3"/>
  <c r="P419" i="3"/>
  <c r="O419" i="3"/>
  <c r="P418" i="3"/>
  <c r="O418" i="3"/>
  <c r="P417" i="3"/>
  <c r="O417" i="3"/>
  <c r="P416" i="3"/>
  <c r="O416" i="3"/>
  <c r="P415" i="3"/>
  <c r="O415" i="3"/>
  <c r="P414" i="3"/>
  <c r="O414" i="3"/>
  <c r="P413" i="3"/>
  <c r="O413" i="3"/>
  <c r="P412" i="3"/>
  <c r="O412" i="3"/>
  <c r="P411" i="3"/>
  <c r="O411" i="3"/>
  <c r="P410" i="3"/>
  <c r="O410" i="3"/>
  <c r="P409" i="3"/>
  <c r="O409" i="3"/>
  <c r="P408" i="3"/>
  <c r="O408" i="3"/>
  <c r="P407" i="3"/>
  <c r="O407" i="3"/>
  <c r="P406" i="3"/>
  <c r="O406" i="3"/>
  <c r="P405" i="3"/>
  <c r="O405" i="3"/>
  <c r="P404" i="3"/>
  <c r="O404" i="3"/>
  <c r="P403" i="3"/>
  <c r="O403" i="3"/>
  <c r="P402" i="3"/>
  <c r="O402" i="3"/>
  <c r="P401" i="3"/>
  <c r="O401" i="3"/>
  <c r="P400" i="3"/>
  <c r="O400" i="3"/>
  <c r="P399" i="3"/>
  <c r="O399" i="3"/>
  <c r="P398" i="3"/>
  <c r="O398" i="3"/>
  <c r="P397" i="3"/>
  <c r="O397" i="3"/>
  <c r="P396" i="3"/>
  <c r="O396" i="3"/>
  <c r="P395" i="3"/>
  <c r="O395" i="3"/>
  <c r="P394" i="3"/>
  <c r="O394" i="3"/>
  <c r="P393" i="3"/>
  <c r="O393" i="3"/>
  <c r="P392" i="3"/>
  <c r="O392" i="3"/>
  <c r="P391" i="3"/>
  <c r="O391" i="3"/>
  <c r="P390" i="3"/>
  <c r="O390" i="3"/>
  <c r="P389" i="3"/>
  <c r="O389" i="3"/>
  <c r="P388" i="3"/>
  <c r="O388" i="3"/>
  <c r="P387" i="3"/>
  <c r="O387" i="3"/>
  <c r="P386" i="3"/>
  <c r="O386" i="3"/>
  <c r="P385" i="3"/>
  <c r="O385" i="3"/>
  <c r="P384" i="3"/>
  <c r="O384" i="3"/>
  <c r="P383" i="3"/>
  <c r="O383" i="3"/>
  <c r="P382" i="3"/>
  <c r="O382" i="3"/>
  <c r="P381" i="3"/>
  <c r="O381" i="3"/>
  <c r="P380" i="3"/>
  <c r="O380" i="3"/>
  <c r="P379" i="3"/>
  <c r="O379" i="3"/>
  <c r="P378" i="3"/>
  <c r="O378" i="3"/>
  <c r="P377" i="3"/>
  <c r="O377" i="3"/>
  <c r="P376" i="3"/>
  <c r="O376" i="3"/>
  <c r="P375" i="3"/>
  <c r="O375" i="3"/>
  <c r="P374" i="3"/>
  <c r="O374" i="3"/>
  <c r="P373" i="3"/>
  <c r="O373" i="3"/>
  <c r="P372" i="3"/>
  <c r="O372" i="3"/>
  <c r="P371" i="3"/>
  <c r="O371" i="3"/>
  <c r="P370" i="3"/>
  <c r="O370" i="3"/>
  <c r="P369" i="3"/>
  <c r="O369" i="3"/>
  <c r="P368" i="3"/>
  <c r="O368" i="3"/>
  <c r="P367" i="3"/>
  <c r="O367" i="3"/>
  <c r="P366" i="3"/>
  <c r="O366" i="3"/>
  <c r="P365" i="3"/>
  <c r="O365" i="3"/>
  <c r="P364" i="3"/>
  <c r="O364" i="3"/>
  <c r="P363" i="3"/>
  <c r="O363" i="3"/>
  <c r="P362" i="3"/>
  <c r="O362" i="3"/>
  <c r="P361" i="3"/>
  <c r="O361" i="3"/>
  <c r="P360" i="3"/>
  <c r="O360" i="3"/>
  <c r="P359" i="3"/>
  <c r="O359" i="3"/>
  <c r="P358" i="3"/>
  <c r="O358" i="3"/>
  <c r="P357" i="3"/>
  <c r="O357" i="3"/>
  <c r="P356" i="3"/>
  <c r="O356" i="3"/>
  <c r="P355" i="3"/>
  <c r="O355" i="3"/>
  <c r="P354" i="3"/>
  <c r="O354" i="3"/>
  <c r="P353" i="3"/>
  <c r="O353" i="3"/>
  <c r="P352" i="3"/>
  <c r="O352" i="3"/>
  <c r="P351" i="3"/>
  <c r="O351" i="3"/>
  <c r="P350" i="3"/>
  <c r="O350" i="3"/>
  <c r="P349" i="3"/>
  <c r="O349" i="3"/>
  <c r="P348" i="3"/>
  <c r="O348" i="3"/>
  <c r="P347" i="3"/>
  <c r="O347" i="3"/>
  <c r="P346" i="3"/>
  <c r="O346" i="3"/>
  <c r="P345" i="3"/>
  <c r="O345" i="3"/>
  <c r="P344" i="3"/>
  <c r="O344" i="3"/>
  <c r="P343" i="3"/>
  <c r="O343" i="3"/>
  <c r="P342" i="3"/>
  <c r="O342" i="3"/>
  <c r="P341" i="3"/>
  <c r="O341" i="3"/>
  <c r="P340" i="3"/>
  <c r="O340" i="3"/>
  <c r="P339" i="3"/>
  <c r="O339" i="3"/>
  <c r="P338" i="3"/>
  <c r="O338" i="3"/>
  <c r="P337" i="3"/>
  <c r="O337" i="3"/>
  <c r="P336" i="3"/>
  <c r="O336" i="3"/>
  <c r="P335" i="3"/>
  <c r="O335" i="3"/>
  <c r="P334" i="3"/>
  <c r="O334" i="3"/>
  <c r="P333" i="3"/>
  <c r="O333" i="3"/>
  <c r="P332" i="3"/>
  <c r="O332" i="3"/>
  <c r="P331" i="3"/>
  <c r="O331" i="3"/>
  <c r="P330" i="3"/>
  <c r="O330" i="3"/>
  <c r="P329" i="3"/>
  <c r="O329" i="3"/>
  <c r="P328" i="3"/>
  <c r="O328" i="3"/>
  <c r="P327" i="3"/>
  <c r="O327" i="3"/>
  <c r="P326" i="3"/>
  <c r="O326" i="3"/>
  <c r="P325" i="3"/>
  <c r="O325" i="3"/>
  <c r="P324" i="3"/>
  <c r="O324" i="3"/>
  <c r="P323" i="3"/>
  <c r="O323" i="3"/>
  <c r="P322" i="3"/>
  <c r="O322" i="3"/>
  <c r="P321" i="3"/>
  <c r="O321" i="3"/>
  <c r="P320" i="3"/>
  <c r="O320" i="3"/>
  <c r="P319" i="3"/>
  <c r="O319" i="3"/>
  <c r="P318" i="3"/>
  <c r="O318" i="3"/>
  <c r="P317" i="3"/>
  <c r="O317" i="3"/>
  <c r="P316" i="3"/>
  <c r="O316" i="3"/>
  <c r="P315" i="3"/>
  <c r="O315" i="3"/>
  <c r="P314" i="3"/>
  <c r="O314" i="3"/>
  <c r="P313" i="3"/>
  <c r="O313" i="3"/>
  <c r="P312" i="3"/>
  <c r="O312" i="3"/>
  <c r="P311" i="3"/>
  <c r="O311" i="3"/>
  <c r="P310" i="3"/>
  <c r="O310" i="3"/>
  <c r="P309" i="3"/>
  <c r="O309" i="3"/>
  <c r="P308" i="3"/>
  <c r="O308" i="3"/>
  <c r="P307" i="3"/>
  <c r="O307" i="3"/>
  <c r="P306" i="3"/>
  <c r="O306" i="3"/>
  <c r="P305" i="3"/>
  <c r="O305" i="3"/>
  <c r="P304" i="3"/>
  <c r="O304" i="3"/>
  <c r="P303" i="3"/>
  <c r="O303" i="3"/>
  <c r="P302" i="3"/>
  <c r="O302" i="3"/>
  <c r="P301" i="3"/>
  <c r="O301" i="3"/>
  <c r="P300" i="3"/>
  <c r="O300" i="3"/>
  <c r="P299" i="3"/>
  <c r="O299" i="3"/>
  <c r="P298" i="3"/>
  <c r="O298" i="3"/>
  <c r="P297" i="3"/>
  <c r="O297" i="3"/>
  <c r="P296" i="3"/>
  <c r="O296" i="3"/>
  <c r="P295" i="3"/>
  <c r="O295" i="3"/>
  <c r="P294" i="3"/>
  <c r="O294" i="3"/>
  <c r="P293" i="3"/>
  <c r="O293" i="3"/>
  <c r="P292" i="3"/>
  <c r="O292" i="3"/>
  <c r="P291" i="3"/>
  <c r="O291" i="3"/>
  <c r="P290" i="3"/>
  <c r="O290" i="3"/>
  <c r="P289" i="3"/>
  <c r="O289" i="3"/>
  <c r="P288" i="3"/>
  <c r="O288" i="3"/>
  <c r="P287" i="3"/>
  <c r="O287" i="3"/>
  <c r="P286" i="3"/>
  <c r="O286" i="3"/>
  <c r="P285" i="3"/>
  <c r="O285" i="3"/>
  <c r="P284" i="3"/>
  <c r="O284" i="3"/>
  <c r="P283" i="3"/>
  <c r="O283" i="3"/>
  <c r="P282" i="3"/>
  <c r="O282" i="3"/>
  <c r="P281" i="3"/>
  <c r="O281" i="3"/>
  <c r="P280" i="3"/>
  <c r="O280" i="3"/>
  <c r="P279" i="3"/>
  <c r="O279" i="3"/>
  <c r="P278" i="3"/>
  <c r="O278" i="3"/>
  <c r="P277" i="3"/>
  <c r="O277" i="3"/>
  <c r="P276" i="3"/>
  <c r="O276" i="3"/>
  <c r="P275" i="3"/>
  <c r="O275" i="3"/>
  <c r="P274" i="3"/>
  <c r="O274" i="3"/>
  <c r="P273" i="3"/>
  <c r="O273" i="3"/>
  <c r="P272" i="3"/>
  <c r="O272" i="3"/>
  <c r="P271" i="3"/>
  <c r="O271" i="3"/>
  <c r="P270" i="3"/>
  <c r="O270" i="3"/>
  <c r="P269" i="3"/>
  <c r="O269" i="3"/>
  <c r="P268" i="3"/>
  <c r="O268" i="3"/>
  <c r="P267" i="3"/>
  <c r="O267" i="3"/>
  <c r="P266" i="3"/>
  <c r="O266" i="3"/>
  <c r="P265" i="3"/>
  <c r="O265" i="3"/>
  <c r="P264" i="3"/>
  <c r="O264" i="3"/>
  <c r="P263" i="3"/>
  <c r="O263" i="3"/>
  <c r="P262" i="3"/>
  <c r="O262" i="3"/>
  <c r="P261" i="3"/>
  <c r="O261" i="3"/>
  <c r="P260" i="3"/>
  <c r="O260" i="3"/>
  <c r="P259" i="3"/>
  <c r="O259" i="3"/>
  <c r="P258" i="3"/>
  <c r="O258" i="3"/>
  <c r="P257" i="3"/>
  <c r="O257" i="3"/>
  <c r="P256" i="3"/>
  <c r="O256" i="3"/>
  <c r="P255" i="3"/>
  <c r="O255" i="3"/>
  <c r="P254" i="3"/>
  <c r="O254" i="3"/>
  <c r="P253" i="3"/>
  <c r="O253" i="3"/>
  <c r="P252" i="3"/>
  <c r="O252" i="3"/>
  <c r="P251" i="3"/>
  <c r="O251" i="3"/>
  <c r="P250" i="3"/>
  <c r="O250" i="3"/>
  <c r="P249" i="3"/>
  <c r="O249" i="3"/>
  <c r="P248" i="3"/>
  <c r="O248" i="3"/>
  <c r="P247" i="3"/>
  <c r="O247" i="3"/>
  <c r="P246" i="3"/>
  <c r="O246" i="3"/>
  <c r="P245" i="3"/>
  <c r="O245" i="3"/>
  <c r="P244" i="3"/>
  <c r="O244" i="3"/>
  <c r="P243" i="3"/>
  <c r="O243" i="3"/>
  <c r="P242" i="3"/>
  <c r="O242" i="3"/>
  <c r="P241" i="3"/>
  <c r="O241" i="3"/>
  <c r="P240" i="3"/>
  <c r="O240" i="3"/>
  <c r="P239" i="3"/>
  <c r="O239" i="3"/>
  <c r="P238" i="3"/>
  <c r="O238" i="3"/>
  <c r="P237" i="3"/>
  <c r="O237" i="3"/>
  <c r="P236" i="3"/>
  <c r="O236" i="3"/>
  <c r="P235" i="3"/>
  <c r="O235" i="3"/>
  <c r="P234" i="3"/>
  <c r="O234" i="3"/>
  <c r="P233" i="3"/>
  <c r="O233" i="3"/>
  <c r="P232" i="3"/>
  <c r="O232" i="3"/>
  <c r="P231" i="3"/>
  <c r="O231" i="3"/>
  <c r="P230" i="3"/>
  <c r="O230" i="3"/>
  <c r="P229" i="3"/>
  <c r="O229" i="3"/>
  <c r="P228" i="3"/>
  <c r="O228" i="3"/>
  <c r="P227" i="3"/>
  <c r="O227" i="3"/>
  <c r="P226" i="3"/>
  <c r="O226" i="3"/>
  <c r="P225" i="3"/>
  <c r="O225" i="3"/>
  <c r="P224" i="3"/>
  <c r="O224" i="3"/>
  <c r="P223" i="3"/>
  <c r="O223" i="3"/>
  <c r="P222" i="3"/>
  <c r="O222" i="3"/>
  <c r="P221" i="3"/>
  <c r="O221" i="3"/>
  <c r="P220" i="3"/>
  <c r="O220" i="3"/>
  <c r="P219" i="3"/>
  <c r="O219" i="3"/>
  <c r="P218" i="3"/>
  <c r="O218" i="3"/>
  <c r="P217" i="3"/>
  <c r="O217" i="3"/>
  <c r="P216" i="3"/>
  <c r="O216" i="3"/>
  <c r="P215" i="3"/>
  <c r="O215" i="3"/>
  <c r="P214" i="3"/>
  <c r="O214" i="3"/>
  <c r="P213" i="3"/>
  <c r="O213" i="3"/>
  <c r="P212" i="3"/>
  <c r="O212" i="3"/>
  <c r="P211" i="3"/>
  <c r="O211" i="3"/>
  <c r="P210" i="3"/>
  <c r="O210" i="3"/>
  <c r="P209" i="3"/>
  <c r="O209" i="3"/>
  <c r="P208" i="3"/>
  <c r="O208" i="3"/>
  <c r="P207" i="3"/>
  <c r="O207" i="3"/>
  <c r="P206" i="3"/>
  <c r="O206" i="3"/>
  <c r="P205" i="3"/>
  <c r="O205" i="3"/>
  <c r="P204" i="3"/>
  <c r="O204" i="3"/>
  <c r="P203" i="3"/>
  <c r="O203" i="3"/>
  <c r="P202" i="3"/>
  <c r="O202" i="3"/>
  <c r="P201" i="3"/>
  <c r="O201" i="3"/>
  <c r="P200" i="3"/>
  <c r="O200" i="3"/>
  <c r="P199" i="3"/>
  <c r="O199" i="3"/>
  <c r="P198" i="3"/>
  <c r="O198" i="3"/>
  <c r="P197" i="3"/>
  <c r="O197" i="3"/>
  <c r="P196" i="3"/>
  <c r="O196" i="3"/>
  <c r="P195" i="3"/>
  <c r="O195" i="3"/>
  <c r="P194" i="3"/>
  <c r="O194" i="3"/>
  <c r="P193" i="3"/>
  <c r="O193" i="3"/>
  <c r="P192" i="3"/>
  <c r="O192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P181" i="3"/>
  <c r="O181" i="3"/>
  <c r="P180" i="3"/>
  <c r="O180" i="3"/>
  <c r="P179" i="3"/>
  <c r="O179" i="3"/>
  <c r="P178" i="3"/>
  <c r="O178" i="3"/>
  <c r="P177" i="3"/>
  <c r="O177" i="3"/>
  <c r="P176" i="3"/>
  <c r="O176" i="3"/>
  <c r="P175" i="3"/>
  <c r="O175" i="3"/>
  <c r="P174" i="3"/>
  <c r="O174" i="3"/>
  <c r="P173" i="3"/>
  <c r="O173" i="3"/>
  <c r="P172" i="3"/>
  <c r="O172" i="3"/>
  <c r="P171" i="3"/>
  <c r="O171" i="3"/>
  <c r="P170" i="3"/>
  <c r="O170" i="3"/>
  <c r="P169" i="3"/>
  <c r="O169" i="3"/>
  <c r="P168" i="3"/>
  <c r="O168" i="3"/>
  <c r="P167" i="3"/>
  <c r="O167" i="3"/>
  <c r="P166" i="3"/>
  <c r="O166" i="3"/>
  <c r="P165" i="3"/>
  <c r="O165" i="3"/>
  <c r="P164" i="3"/>
  <c r="O164" i="3"/>
  <c r="P163" i="3"/>
  <c r="O163" i="3"/>
  <c r="P162" i="3"/>
  <c r="O162" i="3"/>
  <c r="P161" i="3"/>
  <c r="O161" i="3"/>
  <c r="P160" i="3"/>
  <c r="O160" i="3"/>
  <c r="P159" i="3"/>
  <c r="O159" i="3"/>
  <c r="P158" i="3"/>
  <c r="O158" i="3"/>
  <c r="P157" i="3"/>
  <c r="O157" i="3"/>
  <c r="P156" i="3"/>
  <c r="O156" i="3"/>
  <c r="P155" i="3"/>
  <c r="O155" i="3"/>
  <c r="P154" i="3"/>
  <c r="O154" i="3"/>
  <c r="P153" i="3"/>
  <c r="O153" i="3"/>
  <c r="P152" i="3"/>
  <c r="O152" i="3"/>
  <c r="P151" i="3"/>
  <c r="O151" i="3"/>
  <c r="P150" i="3"/>
  <c r="O150" i="3"/>
  <c r="P149" i="3"/>
  <c r="O149" i="3"/>
  <c r="P148" i="3"/>
  <c r="O148" i="3"/>
  <c r="P147" i="3"/>
  <c r="O147" i="3"/>
  <c r="P146" i="3"/>
  <c r="O146" i="3"/>
  <c r="P145" i="3"/>
  <c r="O145" i="3"/>
  <c r="P144" i="3"/>
  <c r="O144" i="3"/>
  <c r="P143" i="3"/>
  <c r="O143" i="3"/>
  <c r="P142" i="3"/>
  <c r="O142" i="3"/>
  <c r="P141" i="3"/>
  <c r="O141" i="3"/>
  <c r="P140" i="3"/>
  <c r="O140" i="3"/>
  <c r="P139" i="3"/>
  <c r="O139" i="3"/>
  <c r="P138" i="3"/>
  <c r="O138" i="3"/>
  <c r="P137" i="3"/>
  <c r="O137" i="3"/>
  <c r="P136" i="3"/>
  <c r="O136" i="3"/>
  <c r="P135" i="3"/>
  <c r="O135" i="3"/>
  <c r="P134" i="3"/>
  <c r="O134" i="3"/>
  <c r="P133" i="3"/>
  <c r="O133" i="3"/>
  <c r="P132" i="3"/>
  <c r="O132" i="3"/>
  <c r="P131" i="3"/>
  <c r="O131" i="3"/>
  <c r="P130" i="3"/>
  <c r="O130" i="3"/>
  <c r="P47" i="2"/>
  <c r="O47" i="2"/>
  <c r="P46" i="2"/>
  <c r="O46" i="2"/>
  <c r="P45" i="2"/>
  <c r="O45" i="2"/>
  <c r="P44" i="2"/>
  <c r="O44" i="2"/>
  <c r="P43" i="2"/>
  <c r="O43" i="2"/>
  <c r="P42" i="2"/>
  <c r="O42" i="2"/>
  <c r="P41" i="2"/>
  <c r="O41" i="2"/>
  <c r="P40" i="2"/>
  <c r="O40" i="2"/>
  <c r="P39" i="2"/>
  <c r="O39" i="2"/>
  <c r="P38" i="2"/>
  <c r="O38" i="2"/>
  <c r="P37" i="2"/>
  <c r="O37" i="2"/>
  <c r="P36" i="2"/>
  <c r="O36" i="2"/>
  <c r="P35" i="2"/>
  <c r="O35" i="2"/>
  <c r="P34" i="2"/>
  <c r="O34" i="2"/>
  <c r="P33" i="2"/>
  <c r="O33" i="2"/>
  <c r="P32" i="2"/>
  <c r="O32" i="2"/>
  <c r="P31" i="2"/>
  <c r="O31" i="2"/>
  <c r="P30" i="2"/>
  <c r="O30" i="2"/>
  <c r="P29" i="2"/>
  <c r="O29" i="2"/>
  <c r="P28" i="2"/>
  <c r="O28" i="2"/>
  <c r="P27" i="2"/>
  <c r="O27" i="2"/>
  <c r="P26" i="2"/>
  <c r="O26" i="2"/>
  <c r="P25" i="2"/>
  <c r="O25" i="2"/>
  <c r="P24" i="2"/>
  <c r="O24" i="2"/>
  <c r="P23" i="2"/>
  <c r="O23" i="2"/>
  <c r="P22" i="2"/>
  <c r="O22" i="2"/>
  <c r="P21" i="2"/>
  <c r="O21" i="2"/>
  <c r="P20" i="2"/>
  <c r="O20" i="2"/>
  <c r="P19" i="2"/>
  <c r="O19" i="2"/>
  <c r="P18" i="2"/>
  <c r="O18" i="2"/>
  <c r="P2" i="2"/>
  <c r="O2" i="2"/>
  <c r="G31" i="1"/>
  <c r="F31" i="1"/>
  <c r="E31" i="1"/>
  <c r="D31" i="1"/>
  <c r="C31" i="1"/>
  <c r="H31" i="1" s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D23" i="1"/>
  <c r="Y5" i="1"/>
  <c r="W5" i="1"/>
  <c r="V5" i="1"/>
  <c r="U5" i="1"/>
  <c r="T5" i="1"/>
  <c r="S5" i="1"/>
  <c r="R5" i="1"/>
  <c r="Q5" i="1"/>
  <c r="Y4" i="1"/>
  <c r="W4" i="1"/>
  <c r="V4" i="1"/>
  <c r="U4" i="1"/>
  <c r="T4" i="1"/>
  <c r="S4" i="1"/>
  <c r="R4" i="1"/>
  <c r="Q4" i="1"/>
  <c r="Y3" i="1"/>
  <c r="W3" i="1"/>
  <c r="V3" i="1"/>
  <c r="U3" i="1"/>
  <c r="T3" i="1"/>
  <c r="S3" i="1"/>
  <c r="R3" i="1"/>
  <c r="Q3" i="1"/>
  <c r="Y2" i="1"/>
  <c r="W2" i="1"/>
  <c r="V2" i="1"/>
  <c r="U2" i="1"/>
  <c r="T2" i="1"/>
  <c r="S2" i="1"/>
  <c r="Q2" i="1"/>
  <c r="X4" i="1" l="1"/>
  <c r="X3" i="1"/>
  <c r="T6" i="1"/>
  <c r="T10" i="1" s="1"/>
  <c r="D43" i="1" s="1"/>
  <c r="R2" i="1"/>
  <c r="R6" i="1" s="1"/>
  <c r="R10" i="1" s="1"/>
  <c r="D41" i="1" s="1"/>
  <c r="C23" i="1"/>
  <c r="H23" i="1" s="1"/>
  <c r="X2" i="1"/>
  <c r="Q6" i="1"/>
  <c r="Q10" i="1" s="1"/>
  <c r="B9" i="1" s="1"/>
  <c r="U6" i="1"/>
  <c r="U10" i="1" s="1"/>
  <c r="B15" i="1" s="1"/>
  <c r="Y6" i="1"/>
  <c r="Y10" i="1" s="1"/>
  <c r="D45" i="1" s="1"/>
  <c r="H30" i="1"/>
  <c r="H26" i="1"/>
  <c r="H27" i="1"/>
  <c r="V6" i="1"/>
  <c r="V10" i="1" s="1"/>
  <c r="E15" i="1" s="1"/>
  <c r="H24" i="1"/>
  <c r="H28" i="1"/>
  <c r="S6" i="1"/>
  <c r="S10" i="1" s="1"/>
  <c r="D42" i="1" s="1"/>
  <c r="W6" i="1"/>
  <c r="W10" i="1" s="1"/>
  <c r="H15" i="1" s="1"/>
  <c r="H25" i="1"/>
  <c r="H29" i="1"/>
  <c r="K9" i="1" l="1"/>
  <c r="X6" i="1"/>
  <c r="X10" i="1" s="1"/>
  <c r="D44" i="1" s="1"/>
  <c r="K15" i="1"/>
  <c r="H9" i="1"/>
  <c r="D40" i="1"/>
  <c r="E9" i="1"/>
</calcChain>
</file>

<file path=xl/sharedStrings.xml><?xml version="1.0" encoding="utf-8"?>
<sst xmlns="http://schemas.openxmlformats.org/spreadsheetml/2006/main" count="3312" uniqueCount="326">
  <si>
    <t>Fonte</t>
  </si>
  <si>
    <t>Mobilizadas</t>
  </si>
  <si>
    <t>Contratadas</t>
  </si>
  <si>
    <t>Em contratação</t>
  </si>
  <si>
    <t>Em recrutamento</t>
  </si>
  <si>
    <t>Simples</t>
  </si>
  <si>
    <t>Duplas</t>
  </si>
  <si>
    <t>Veículos</t>
  </si>
  <si>
    <t>Agentes únicos</t>
  </si>
  <si>
    <t>Linhas</t>
  </si>
  <si>
    <t>AQUA PERNAMBUCO | RESUMO DE MOBILIZAÇÃO</t>
  </si>
  <si>
    <t>Cobrança RMR</t>
  </si>
  <si>
    <t>Cobrança Interior</t>
  </si>
  <si>
    <t>BASE DE TESTE — todos os nomes e situações preenchidos são fictícios.</t>
  </si>
  <si>
    <t>Hidrometria</t>
  </si>
  <si>
    <t>Leitura</t>
  </si>
  <si>
    <t>VISÃO</t>
  </si>
  <si>
    <t>Consolidado</t>
  </si>
  <si>
    <t>POLO</t>
  </si>
  <si>
    <t>Todos</t>
  </si>
  <si>
    <t>Selecionado</t>
  </si>
  <si>
    <t>RESUMO CONSOLIDADO POR POLO — AGENTES/EQUIPES ÚNICOS</t>
  </si>
  <si>
    <t>Polo</t>
  </si>
  <si>
    <t>Equipes únicas</t>
  </si>
  <si>
    <t>% Mobilizada</t>
  </si>
  <si>
    <t>Recife/RMR</t>
  </si>
  <si>
    <t>Carpina</t>
  </si>
  <si>
    <t>Vitória de Santo Antão</t>
  </si>
  <si>
    <t>Gravatá</t>
  </si>
  <si>
    <t>Caruaru</t>
  </si>
  <si>
    <t>Garanhuns</t>
  </si>
  <si>
    <t>Arcoverde</t>
  </si>
  <si>
    <t>Afogados da Ingazeira</t>
  </si>
  <si>
    <t>Serra Talhada</t>
  </si>
  <si>
    <t>REGRA: cada linha representa um vínculo Agente/Equipe × Microrrota. O mesmo ID pode aparecer em várias linhas. As colunas O e P fazem a deduplicação automática para o painel.</t>
  </si>
  <si>
    <t>VALIDAÇÃO DA MASSA FICTÍCIA</t>
  </si>
  <si>
    <t>Esperado</t>
  </si>
  <si>
    <t>Resultado atual</t>
  </si>
  <si>
    <t>Linhas / vínculos</t>
  </si>
  <si>
    <t>ID Único Equipe / Agente</t>
  </si>
  <si>
    <t>Nome da Equipe</t>
  </si>
  <si>
    <t>Nome do Colaborador Líder</t>
  </si>
  <si>
    <t>Base de Apoio Enorsul</t>
  </si>
  <si>
    <t>Município de Origem</t>
  </si>
  <si>
    <t>Microrrota</t>
  </si>
  <si>
    <t>Município de Atendimento</t>
  </si>
  <si>
    <t>Tipo de Equipe</t>
  </si>
  <si>
    <t>Habilidades / Serviços Aptos</t>
  </si>
  <si>
    <t>Status da Equipe</t>
  </si>
  <si>
    <t>Frente Principal</t>
  </si>
  <si>
    <t>Veículo Disponível</t>
  </si>
  <si>
    <t>Observação</t>
  </si>
  <si>
    <t>Conta ID Frente</t>
  </si>
  <si>
    <t>Conta ID Polo</t>
  </si>
  <si>
    <t>Base Recife/RMR</t>
  </si>
  <si>
    <t>Itapissuma</t>
  </si>
  <si>
    <t>MR01</t>
  </si>
  <si>
    <t>Equipe Dupla</t>
  </si>
  <si>
    <t>Cobrança</t>
  </si>
  <si>
    <t>Sim</t>
  </si>
  <si>
    <t>Paulista</t>
  </si>
  <si>
    <t>MR02</t>
  </si>
  <si>
    <t>Equipe Simples</t>
  </si>
  <si>
    <t>Não</t>
  </si>
  <si>
    <t>Camaragibe</t>
  </si>
  <si>
    <t>MR03</t>
  </si>
  <si>
    <t>Cabo de Santo Agostinho</t>
  </si>
  <si>
    <t>MR04</t>
  </si>
  <si>
    <t>Contratada</t>
  </si>
  <si>
    <t>Mobilizada</t>
  </si>
  <si>
    <t>Condado</t>
  </si>
  <si>
    <t>MR05</t>
  </si>
  <si>
    <t>Timbaúba</t>
  </si>
  <si>
    <t>MR06</t>
  </si>
  <si>
    <t>Rio Formoso</t>
  </si>
  <si>
    <t>Primavera</t>
  </si>
  <si>
    <t>São José da Coroa Grande</t>
  </si>
  <si>
    <t>Altinho</t>
  </si>
  <si>
    <t>Belo Jardim</t>
  </si>
  <si>
    <t>Buíque</t>
  </si>
  <si>
    <t>Custódia</t>
  </si>
  <si>
    <t>Brejinho</t>
  </si>
  <si>
    <t>Belém do São Francisco</t>
  </si>
  <si>
    <t>Municípios de Atendimento</t>
  </si>
  <si>
    <t>Cor do Polo</t>
  </si>
  <si>
    <t>Latitude</t>
  </si>
  <si>
    <t>Longitude</t>
  </si>
  <si>
    <t>Itapissuma; Igarassu; Ilha de Itamaracá; Goiana; Araçoiaba; Abreu e Lima</t>
  </si>
  <si>
    <t>#EB5757</t>
  </si>
  <si>
    <t>Paulista; Olinda</t>
  </si>
  <si>
    <t>Camaragibe; São Lourenço da Mata; Recife; Moreno</t>
  </si>
  <si>
    <t>Cabo de Santo Agostinho; Ipojuca; Jaboatão dos Guararapes</t>
  </si>
  <si>
    <t>Carpina; Paudalho; Lagoa do Carro; Nazaré da Mata</t>
  </si>
  <si>
    <t>#6FCF97</t>
  </si>
  <si>
    <t>Chã de Alegria; Glória do Goitá; Limoeiro; Feira Nova; Lagoa de Itaenga</t>
  </si>
  <si>
    <t>João Alfredo; Bom Jardim; Orobó; Machados</t>
  </si>
  <si>
    <t>Buenos Aires; Vicência; São Vicente Férrer; Macaparana</t>
  </si>
  <si>
    <t>Condado; Aliança; Itambé; Itaquitinga; Tracunhaém</t>
  </si>
  <si>
    <t>Timbaúba; Ferreiros; Camutanga</t>
  </si>
  <si>
    <t>Vitória de Santo Antão; Pombos</t>
  </si>
  <si>
    <t>#56CCF2</t>
  </si>
  <si>
    <t>Primavera; Escada</t>
  </si>
  <si>
    <t>São José da Coroa Grande; Barreiros</t>
  </si>
  <si>
    <t>Rio Formoso; Tamandaré</t>
  </si>
  <si>
    <t>Joaquim Nabuco; Sirinhaém; Ribeirão</t>
  </si>
  <si>
    <t>Barra de Guabiraba; Bonito</t>
  </si>
  <si>
    <t>#F2994A</t>
  </si>
  <si>
    <t>Gravatá; Chã Grande</t>
  </si>
  <si>
    <t>Bezerros; Sairé; Cumaru</t>
  </si>
  <si>
    <t>Camocim de São Félix; São Joaquim do Monte</t>
  </si>
  <si>
    <t>#9B51E0</t>
  </si>
  <si>
    <t>Altinho; Riacho das Almas; São Caetano; Agrestina</t>
  </si>
  <si>
    <t>Panelas; Cupira; Belém de Maria; Lagoa dos Gatos; Maraial</t>
  </si>
  <si>
    <t>Belo Jardim; Cachoeirinha; Ibirajuba; Sanharó; São Bento do Una; Tacaimbó</t>
  </si>
  <si>
    <t>Brejo da Madre de Deus; Jataúba; Santa Cruz do Capibaribe; Taquaritinga do Norte; Toritama; Vertentes</t>
  </si>
  <si>
    <t>Casinhas; Frei Miguelinho; Passira; Salgadinho; Santa Maria do Cambucá; Surubim; Vertente do Lério</t>
  </si>
  <si>
    <t>Garanhuns; Caetés; Capoeiras; Jucati; Jupi; Lajedo; São João</t>
  </si>
  <si>
    <t>#EB8ACB</t>
  </si>
  <si>
    <t>Angelim; Calçado; Canhotinho; Jaqueira; Jurema; São Benedito do Sul; Paranatama</t>
  </si>
  <si>
    <t>Águas Belas; Bom Conselho; Brejão; Correntes; Lagoa do Ouro; Palmeirina; Terezinha; Saloá; Quipapá</t>
  </si>
  <si>
    <t>Buíque; Pedra; Venturosa; Ibimirim</t>
  </si>
  <si>
    <t>#F2C94C</t>
  </si>
  <si>
    <t>Alagoinha; Pesqueira; Poção</t>
  </si>
  <si>
    <t>Itaíba; Manari; Tupanatinga</t>
  </si>
  <si>
    <t>Custódia; Sertânia; Arcoverde</t>
  </si>
  <si>
    <t>Brejinho; Itapetim; Santa Terezinha; São José do Egito; Tuparetama</t>
  </si>
  <si>
    <t>#27AE60</t>
  </si>
  <si>
    <t>Carnaíba; Flores; Quixaba</t>
  </si>
  <si>
    <t>Afogados da Ingazeira; Iguaracy; Ingazeira; Solidão; Tabira</t>
  </si>
  <si>
    <t>Betânia; Calumbi; Santa Cruz da Baixa Verde; Serra Talhada; Triunfo</t>
  </si>
  <si>
    <t>#2F80ED</t>
  </si>
  <si>
    <t>Jatobá; Petrolândia; Tacaratu</t>
  </si>
  <si>
    <t>Belém do São Francisco; Carnaubeira da Penha; Floresta; Itacuruba; Mirandiba</t>
  </si>
  <si>
    <t>Frente</t>
  </si>
  <si>
    <t>Base / Polo</t>
  </si>
  <si>
    <t>Município</t>
  </si>
  <si>
    <t>Base Prevista</t>
  </si>
  <si>
    <t>Status da Base</t>
  </si>
  <si>
    <t>Em implantação</t>
  </si>
  <si>
    <t>DADO FICTÍCIO – teste</t>
  </si>
  <si>
    <t>Marco / Mês</t>
  </si>
  <si>
    <t>Equipes Planejadas</t>
  </si>
  <si>
    <t>Go-Live</t>
  </si>
  <si>
    <t>Cenário 1 selecionado</t>
  </si>
  <si>
    <t>Referência atual</t>
  </si>
  <si>
    <t>Preencher meta oficial quando validada</t>
  </si>
  <si>
    <t>STATUS</t>
  </si>
  <si>
    <t>TIPO EQUIPE</t>
  </si>
  <si>
    <t>SIM/NÃO</t>
  </si>
  <si>
    <t>STATUS BASE</t>
  </si>
  <si>
    <t>FRENTE</t>
  </si>
  <si>
    <t>Prevista</t>
  </si>
  <si>
    <t>Em Operação</t>
  </si>
  <si>
    <t>Desativada</t>
  </si>
  <si>
    <t>AQUA PERNAMBUCO | ORIENTAÇÕES DE PREENCHIMENTO</t>
  </si>
  <si>
    <t>Item</t>
  </si>
  <si>
    <t>Orientação</t>
  </si>
  <si>
    <t>Dados fictícios</t>
  </si>
  <si>
    <t>Servem apenas para testar o painel; substitua pelos dados reais.</t>
  </si>
  <si>
    <t>Linha</t>
  </si>
  <si>
    <t>Cada linha = Agente/Equipe × Microrrota.</t>
  </si>
  <si>
    <t>Repita o mesmo ID nas várias microrrotas do mesmo agente/equipe.</t>
  </si>
  <si>
    <t>Colunas O:P</t>
  </si>
  <si>
    <t>Auxiliares automáticas de deduplicação. Não editar.</t>
  </si>
  <si>
    <t>Status</t>
  </si>
  <si>
    <t>Em recrutamento | Em contratação | Contratada | Mobilizada.</t>
  </si>
  <si>
    <t>Recife/RMR.</t>
  </si>
  <si>
    <t>Demais 8 polos.</t>
  </si>
  <si>
    <t>Todos os 9 polos.</t>
  </si>
  <si>
    <t>Coordenadas</t>
  </si>
  <si>
    <t>Permanecem vazias nesta etapa.</t>
  </si>
  <si>
    <t>FABIANO DE LIMA SANTANA</t>
  </si>
  <si>
    <t>Igarassu</t>
  </si>
  <si>
    <t>LUIZ CARLOS DE OLIVEIRA</t>
  </si>
  <si>
    <t>LAERCIO GALINDO DE ARAUJO</t>
  </si>
  <si>
    <t>RICARDO SOUZA DA SILVA</t>
  </si>
  <si>
    <t>JEAN JAMERSON MIRANDA DA SILVA</t>
  </si>
  <si>
    <t>PEDRO HENRIQUE DA SILVA SANTOS</t>
  </si>
  <si>
    <t>CESAR HENRIQUE SANTANA DA SILVA</t>
  </si>
  <si>
    <t>JOSE ANDERSON DA SILVA</t>
  </si>
  <si>
    <t>IDOMACIO SEVERINO DE FRANCA</t>
  </si>
  <si>
    <t>PAULO HENRIQUE ALVES DE MENDONCA</t>
  </si>
  <si>
    <t>MARCOS DO NASCIMENTO DOS SANTOS</t>
  </si>
  <si>
    <t>Ilha de Itamaracá</t>
  </si>
  <si>
    <t>Goiana</t>
  </si>
  <si>
    <t>Araçoiaba</t>
  </si>
  <si>
    <t>Abreu e Lima</t>
  </si>
  <si>
    <t>Olinda</t>
  </si>
  <si>
    <t>São Lourenço da Mata</t>
  </si>
  <si>
    <t>Recife</t>
  </si>
  <si>
    <t>Moreno</t>
  </si>
  <si>
    <t>Ipojuca</t>
  </si>
  <si>
    <t>Jaboatão dos Guararapes</t>
  </si>
  <si>
    <t>MICROROTA 01</t>
  </si>
  <si>
    <t>MICROROTA 02</t>
  </si>
  <si>
    <t>MICROROTA 03</t>
  </si>
  <si>
    <t>MICROROTA 04</t>
  </si>
  <si>
    <t>MAYCK DANTAS DOS SANTOS</t>
  </si>
  <si>
    <t>ERONILDE CORREIA DE AMORIM</t>
  </si>
  <si>
    <t>RINALDO CIPRIANO DA SILVA</t>
  </si>
  <si>
    <t>EDUARDO GOMES</t>
  </si>
  <si>
    <t>CRISTIANO JOSE DE LUCENA</t>
  </si>
  <si>
    <t>MARCIO MIGUEL DA SILVA</t>
  </si>
  <si>
    <t>ROBERVALDO ANTONIO DA SILVA</t>
  </si>
  <si>
    <t>ROGERIO LUIZ DA SILVA</t>
  </si>
  <si>
    <t xml:space="preserve">TIAGO JOSE DO NASCIMENTO </t>
  </si>
  <si>
    <t>EDMILSON JOSE DO NASCIMENTO</t>
  </si>
  <si>
    <t>JANIVALDO TONES DOS SANTOS</t>
  </si>
  <si>
    <t>EDSON JOSE DA SILVA</t>
  </si>
  <si>
    <t>ROBSON JOSE DA SILVA</t>
  </si>
  <si>
    <t>EDILSON JOSE DO NASCIMENTO</t>
  </si>
  <si>
    <t>ILSON SATURINO DA SILVA</t>
  </si>
  <si>
    <t>JHONATA MICHEL DA SILVA FERREIRA</t>
  </si>
  <si>
    <t>JOAIS FELIX SANTOS DA SILVA</t>
  </si>
  <si>
    <t>LEONARDO DE LYRA VIEIRA</t>
  </si>
  <si>
    <t>ROBERTO ALEXANDRE</t>
  </si>
  <si>
    <t>ROGERIO DE ANDRADE MESQUITA</t>
  </si>
  <si>
    <t>WELLISSON JOSE SILVA DE ALBUQUERQUE</t>
  </si>
  <si>
    <t>ALEXSANDRO BARBOSA</t>
  </si>
  <si>
    <t>PEDRO LUCAS DE FREITAS</t>
  </si>
  <si>
    <t>JEFFERSON PATRICK TORRES DE LIMA</t>
  </si>
  <si>
    <t>DENIVALDO LINO DA SILVA</t>
  </si>
  <si>
    <t xml:space="preserve">CARLOS HENRIQUE VIEIRA GOMES </t>
  </si>
  <si>
    <t>JOSE REGINALDO RODRIGUES DA SILVA</t>
  </si>
  <si>
    <t xml:space="preserve">GEISON ANTONIO DA SILVA SANTOS </t>
  </si>
  <si>
    <t>JOSÉ GUTEMBERG DA SILVA SANTOS</t>
  </si>
  <si>
    <t>ARTHUR HENRIQUE DE MACEDO LIMA</t>
  </si>
  <si>
    <t>MARCILIO MIGUEL DA SILVA</t>
  </si>
  <si>
    <t>FABIO FELIPE DA SILVA</t>
  </si>
  <si>
    <t>REGINALDO FRANCISCO DA SILVA</t>
  </si>
  <si>
    <t>WANDER WILSON DE SOUZA CONSTANTINO</t>
  </si>
  <si>
    <t>JOSE IVO LOPES VENTURA</t>
  </si>
  <si>
    <t>JOSE WILLIAM DE SOUZA</t>
  </si>
  <si>
    <t>JOSÉ BOSCO DE FREITAS LEITE</t>
  </si>
  <si>
    <t>JOSÉ VAGNER FERREIRA DE ALBUQUERQUE</t>
  </si>
  <si>
    <t>JOSÉ AILSON DANTAS BATISTA</t>
  </si>
  <si>
    <t>THIAGO THALES DE MELO LEITE</t>
  </si>
  <si>
    <t>Afogados da Igazeira</t>
  </si>
  <si>
    <t>Tamandaré</t>
  </si>
  <si>
    <t>Escada</t>
  </si>
  <si>
    <t>Barreiros</t>
  </si>
  <si>
    <t>Pombos</t>
  </si>
  <si>
    <t>Caetés</t>
  </si>
  <si>
    <t>Capoeiras</t>
  </si>
  <si>
    <t>Jucati</t>
  </si>
  <si>
    <t>Jupi</t>
  </si>
  <si>
    <t>Lajedo</t>
  </si>
  <si>
    <t>São João</t>
  </si>
  <si>
    <t>Bom Conselho</t>
  </si>
  <si>
    <t>Brejão</t>
  </si>
  <si>
    <t>Correntes</t>
  </si>
  <si>
    <t>Lagoa do Ouro</t>
  </si>
  <si>
    <t>Palmeirina</t>
  </si>
  <si>
    <t>Terezinha</t>
  </si>
  <si>
    <t>Saloá</t>
  </si>
  <si>
    <t>Paranatama</t>
  </si>
  <si>
    <t>Riacho das Almas</t>
  </si>
  <si>
    <t>São Caetano</t>
  </si>
  <si>
    <t>Agrestina</t>
  </si>
  <si>
    <t>Cachoeirinha</t>
  </si>
  <si>
    <t>Ibirajuba</t>
  </si>
  <si>
    <t>Sanharó</t>
  </si>
  <si>
    <t>São Bento do Una</t>
  </si>
  <si>
    <t>Tacaimbó</t>
  </si>
  <si>
    <t>Paudalho</t>
  </si>
  <si>
    <t>Lagoa do Carro</t>
  </si>
  <si>
    <t>Nazaré da Mata</t>
  </si>
  <si>
    <t>Aliança</t>
  </si>
  <si>
    <t>Itambé</t>
  </si>
  <si>
    <t>Itaquitinga</t>
  </si>
  <si>
    <t>Tracunhaém</t>
  </si>
  <si>
    <t>Ferreiros</t>
  </si>
  <si>
    <t>Camutanga</t>
  </si>
  <si>
    <t>Pedra</t>
  </si>
  <si>
    <t>Venturosa</t>
  </si>
  <si>
    <t>Ibimirim</t>
  </si>
  <si>
    <t>Sertânia</t>
  </si>
  <si>
    <t>Itapetim</t>
  </si>
  <si>
    <t>Santa Terezinha</t>
  </si>
  <si>
    <t>São José do Egito</t>
  </si>
  <si>
    <t>Tuparetama</t>
  </si>
  <si>
    <t>Iguaracy</t>
  </si>
  <si>
    <t>Ingazeira</t>
  </si>
  <si>
    <t>Solidão</t>
  </si>
  <si>
    <t>Tabira</t>
  </si>
  <si>
    <t>Carnaubeira da Penha</t>
  </si>
  <si>
    <t>Floresta</t>
  </si>
  <si>
    <t>Itacuruba</t>
  </si>
  <si>
    <t>Mirandiba</t>
  </si>
  <si>
    <t>ALEXANDRE JOSE DA SILVA</t>
  </si>
  <si>
    <t>ALEXSANDRO SILVA DE OLIVEIRA</t>
  </si>
  <si>
    <t>AMOS ANTONIO DE SANTANA</t>
  </si>
  <si>
    <t>CARLOS HENRIQUE DE SANTANA LIMA</t>
  </si>
  <si>
    <t>ELIEZER MACIEL DO NASCIMENTO</t>
  </si>
  <si>
    <t>EVERTON ALVES SANTOS OLIVEIRA</t>
  </si>
  <si>
    <t>FERNANDO JOSÉ DE MORAIS FILHO</t>
  </si>
  <si>
    <t>ITALO FERREIRA NEVES</t>
  </si>
  <si>
    <t>JEISON VITAL LUIZ DA SILVA</t>
  </si>
  <si>
    <t>JOÃO GUSTAVO VIANA</t>
  </si>
  <si>
    <t>JOAQUIM ANDRÉ GOMES DE LIRA</t>
  </si>
  <si>
    <t>JOSÉ RONALDO FERREIRA DA SILVA</t>
  </si>
  <si>
    <t>JOZEMBERG ATANAZIO DE LIMA</t>
  </si>
  <si>
    <t>JULIO CÉSAR COSTA GUIMARÃES</t>
  </si>
  <si>
    <t>LEONARDO CADETE DO NASCIMENTO</t>
  </si>
  <si>
    <t>LUCAS MOREIRA</t>
  </si>
  <si>
    <t>LUCIANO MELO DE ANDRADE</t>
  </si>
  <si>
    <t>PAULO RICARDO DA SILVA</t>
  </si>
  <si>
    <t>RENATO MARTINS DA SILVA</t>
  </si>
  <si>
    <t>ROBERT FERREIRA DA SILVA</t>
  </si>
  <si>
    <t>TYAGO ALVES DA SILVA</t>
  </si>
  <si>
    <t>WALLASS WALTER DA SILVA DINIZ</t>
  </si>
  <si>
    <t>EDUARDO JOSÉ DA SILVA OLIVEIRA</t>
  </si>
  <si>
    <t>FÁBIO FERREIRA UCHÔA JÚNIOR</t>
  </si>
  <si>
    <t>PAULO RODRIGUES DE OLIVEIRA</t>
  </si>
  <si>
    <t>JOSINALDO SEVERO DO NASCIMENTO</t>
  </si>
  <si>
    <t>DANIEL OLIVEIRA FRANCISCO</t>
  </si>
  <si>
    <t>ALBERTO MOTA DA SILVA</t>
  </si>
  <si>
    <t>GILDO LUIS DA SILVA</t>
  </si>
  <si>
    <t>HERBERT DO SACRAMENTO</t>
  </si>
  <si>
    <t>JORGIVAL MIGNAC MENEZES</t>
  </si>
  <si>
    <t>SOCRATES  MARQUES FERREIRA PEREIRA</t>
  </si>
  <si>
    <t>WALDIR NUNES DA SILVA</t>
  </si>
  <si>
    <t>WERECKSON JOSE NUNES DA SILVA</t>
  </si>
  <si>
    <t>GLEBSON RATIS DE ARAUJO</t>
  </si>
  <si>
    <t>MICROROTA 05</t>
  </si>
  <si>
    <t>MICROROTA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</si>
</sst>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b/>
      <sz val="18"/>
      <color rgb="FFFFFFFF"/>
      <name val="Carlito"/>
    </font>
    <font>
      <b/>
      <sz val="9"/>
      <color rgb="FFC94C4C"/>
      <name val="Carlito"/>
    </font>
    <font>
      <b/>
      <sz val="11"/>
      <color rgb="FF12304A"/>
      <name val="Carlito"/>
    </font>
    <font>
      <b/>
      <sz val="14"/>
      <color rgb="FFFFFFFF"/>
      <name val="Carlito"/>
    </font>
    <font>
      <b/>
      <sz val="12"/>
      <color rgb="FF2C91B3"/>
      <name val="Carlito"/>
    </font>
    <font>
      <b/>
      <sz val="12"/>
      <color rgb="FF1F5A7A"/>
      <name val="Carlito"/>
    </font>
    <font>
      <b/>
      <sz val="12"/>
      <color rgb="FF12304A"/>
      <name val="Carlito"/>
    </font>
    <font>
      <b/>
      <sz val="12"/>
      <color rgb="FF2E8B57"/>
      <name val="Carlito"/>
    </font>
    <font>
      <b/>
      <sz val="12"/>
      <color rgb="FFFFFFFF"/>
      <name val="Carlito"/>
    </font>
    <font>
      <b/>
      <sz val="11"/>
      <color rgb="FF7A5A12"/>
      <name val="Carlito"/>
    </font>
    <font>
      <b/>
      <sz val="16"/>
      <color rgb="FFFFFFFF"/>
      <name val="Carlito"/>
    </font>
    <font>
      <sz val="11"/>
      <color theme="1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2304A"/>
      </patternFill>
    </fill>
    <fill>
      <patternFill patternType="solid">
        <fgColor rgb="FFEEF3F6"/>
      </patternFill>
    </fill>
    <fill>
      <patternFill patternType="solid">
        <fgColor rgb="FFFFF8E6"/>
      </patternFill>
    </fill>
    <fill>
      <patternFill patternType="solid">
        <fgColor rgb="FFE9F2F7"/>
      </patternFill>
    </fill>
    <fill>
      <patternFill patternType="solid">
        <fgColor rgb="FF2E8B57"/>
      </patternFill>
    </fill>
    <fill>
      <patternFill patternType="solid">
        <fgColor rgb="FF1F5A7A"/>
      </patternFill>
    </fill>
    <fill>
      <patternFill patternType="solid">
        <fgColor rgb="FFD99A20"/>
      </patternFill>
    </fill>
    <fill>
      <patternFill patternType="solid">
        <fgColor rgb="FFC94C4C"/>
      </patternFill>
    </fill>
    <fill>
      <patternFill patternType="solid">
        <fgColor rgb="FFF4F8FB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0" fontId="5" fillId="5" borderId="0" xfId="0" applyFont="1" applyFill="1"/>
    <xf numFmtId="9" fontId="0" fillId="0" borderId="0" xfId="0" applyNumberFormat="1"/>
    <xf numFmtId="0" fontId="5" fillId="5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vertical="center"/>
    </xf>
    <xf numFmtId="0" fontId="4" fillId="0" borderId="0" xfId="0" applyFont="1"/>
    <xf numFmtId="0" fontId="5" fillId="5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6" fillId="9" borderId="0" xfId="0" applyFont="1" applyFill="1" applyAlignment="1">
      <alignment horizontal="center" vertical="center" wrapText="1"/>
    </xf>
    <xf numFmtId="0" fontId="7" fillId="10" borderId="0" xfId="0" applyFont="1" applyFill="1" applyAlignment="1">
      <alignment horizontal="center" vertical="center" wrapText="1"/>
    </xf>
    <xf numFmtId="0" fontId="8" fillId="10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vertical="center"/>
    </xf>
    <xf numFmtId="0" fontId="12" fillId="4" borderId="0" xfId="0" applyFont="1" applyFill="1" applyAlignment="1">
      <alignment vertical="center" wrapText="1"/>
    </xf>
    <xf numFmtId="0" fontId="13" fillId="2" borderId="0" xfId="0" applyFont="1" applyFill="1"/>
    <xf numFmtId="0" fontId="14" fillId="0" borderId="2" xfId="0" applyFont="1" applyBorder="1"/>
    <xf numFmtId="0" fontId="1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45"/>
  <sheetViews>
    <sheetView topLeftCell="E1" zoomScale="70" zoomScaleNormal="70" workbookViewId="0">
      <selection activeCell="R6" sqref="R6"/>
    </sheetView>
  </sheetViews>
  <sheetFormatPr defaultRowHeight="14.25"/>
  <cols>
    <col min="1" max="1" width="3" customWidth="1"/>
    <col min="2" max="2" width="23" customWidth="1"/>
    <col min="3" max="6" width="15" customWidth="1"/>
    <col min="7" max="7" width="3" customWidth="1"/>
    <col min="8" max="8" width="23" customWidth="1"/>
    <col min="9" max="13" width="15" customWidth="1"/>
    <col min="14" max="14" width="3" customWidth="1"/>
  </cols>
  <sheetData>
    <row r="1" spans="2:25">
      <c r="P1" t="s">
        <v>0</v>
      </c>
      <c r="Q1" t="s">
        <v>1</v>
      </c>
      <c r="R1" t="s">
        <v>2</v>
      </c>
      <c r="S1" t="s">
        <v>3</v>
      </c>
      <c r="T1" t="s">
        <v>4</v>
      </c>
      <c r="U1" t="s">
        <v>5</v>
      </c>
      <c r="V1" t="s">
        <v>6</v>
      </c>
      <c r="W1" t="s">
        <v>7</v>
      </c>
      <c r="X1" t="s">
        <v>8</v>
      </c>
      <c r="Y1" t="s">
        <v>9</v>
      </c>
    </row>
    <row r="2" spans="2:25">
      <c r="B2" s="10" t="s">
        <v>10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P2" t="s">
        <v>11</v>
      </c>
      <c r="Q2">
        <f>IF($I$6="Todos",SUMIFS('Cobrança RMR'!$O$2:$O$600,'Cobrança RMR'!$K$2:$K$600,"Mobilizada"),SUMIFS('Cobrança RMR'!$P$2:$P$600,'Cobrança RMR'!$K$2:$K$600,"Mobilizada",'Cobrança RMR'!$F$2:$F$600,$I$6))</f>
        <v>0</v>
      </c>
      <c r="R2">
        <f>IF($I$6="Todos",SUMIFS('Cobrança RMR'!$O$2:$O$600,'Cobrança RMR'!$K$2:$K$600,"Contratada"),SUMIFS('Cobrança RMR'!$P$2:$P$600,'Cobrança RMR'!$K$2:$K$600,"Contratada",'Cobrança RMR'!$F$2:$F$600,$I$6))</f>
        <v>23</v>
      </c>
      <c r="S2">
        <f>IF($I$6="Todos",SUMIFS('Cobrança RMR'!$O$2:$O$600,'Cobrança RMR'!$K$2:$K$600,"Em contratação"),SUMIFS('Cobrança RMR'!$P$2:$P$600,'Cobrança RMR'!$K$2:$K$600,"Em contratação",'Cobrança RMR'!$F$2:$F$600,$I$6))</f>
        <v>1</v>
      </c>
      <c r="T2">
        <f>IF($I$6="Todos",SUMIFS('Cobrança RMR'!$O$2:$O$600,'Cobrança RMR'!$K$2:$K$600,"Em recrutamento"),SUMIFS('Cobrança RMR'!$P$2:$P$600,'Cobrança RMR'!$K$2:$K$600,"Em recrutamento",'Cobrança RMR'!$F$2:$F$600,$I$6))</f>
        <v>0</v>
      </c>
      <c r="U2">
        <f>IF($I$6="Todos",SUMIFS('Cobrança RMR'!$O$2:$O$600,'Cobrança RMR'!$I$2:$I$600,"Equipe Simples"),SUMIFS('Cobrança RMR'!$P$2:$P$600,'Cobrança RMR'!$I$2:$I$600,"Equipe Simples",'Cobrança RMR'!$F$2:$F$600,$I$6))</f>
        <v>0</v>
      </c>
      <c r="V2">
        <f>IF($I$6="Todos",SUMIFS('Cobrança RMR'!$O$2:$O$600,'Cobrança RMR'!$I$2:$I$600,"Equipe Dupla"),SUMIFS('Cobrança RMR'!$P$2:$P$600,'Cobrança RMR'!$I$2:$I$600,"Equipe Dupla",'Cobrança RMR'!$F$2:$F$600,$I$6))</f>
        <v>0</v>
      </c>
      <c r="W2">
        <f>IF($I$6="Todos",SUMIFS('Cobrança RMR'!$O$2:$O$600,'Cobrança RMR'!$M$2:$M$600,"Sim"),SUMIFS('Cobrança RMR'!$P$2:$P$600,'Cobrança RMR'!$M$2:$M$600,"Sim",'Cobrança RMR'!$F$2:$F$600,$I$6))</f>
        <v>0</v>
      </c>
      <c r="X2">
        <f>IF($I$6="Todos",SUM('Cobrança RMR'!$O$2:$O$600),SUMIFS('Cobrança RMR'!$P$2:$P$600,'Cobrança RMR'!$F$2:$F$600,$I$6))</f>
        <v>24</v>
      </c>
      <c r="Y2">
        <f>IF($I$6="Todos",COUNTIF('Cobrança RMR'!$A$2:$A$600,"&lt;&gt;"),COUNTIFS('Cobrança RMR'!$A$2:$A$600,"&lt;&gt;",'Cobrança RMR'!$F$2:$F$600,$I$6))</f>
        <v>92</v>
      </c>
    </row>
    <row r="3" spans="2:25"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P3" t="s">
        <v>12</v>
      </c>
      <c r="Q3">
        <f>IF($I$6="Todos",SUMIFS('Cobrança Interior'!$O$2:$O$600,'Cobrança Interior'!$K$2:$K$600,"Mobilizada"),SUMIFS('Cobrança Interior'!$P$2:$P$600,'Cobrança Interior'!$K$2:$K$600,"Mobilizada",'Cobrança Interior'!$F$2:$F$600,$I$6))</f>
        <v>0</v>
      </c>
      <c r="R3">
        <f>IF($I$6="Todos",SUMIFS('Cobrança Interior'!$O$2:$O$600,'Cobrança Interior'!$K$2:$K$600,"Contratada"),SUMIFS('Cobrança Interior'!$P$2:$P$600,'Cobrança Interior'!$K$2:$K$600,"Contratada",'Cobrança Interior'!$F$2:$F$600,$I$6))</f>
        <v>0</v>
      </c>
      <c r="S3">
        <f>IF($I$6="Todos",SUMIFS('Cobrança Interior'!$O$2:$O$600,'Cobrança Interior'!$K$2:$K$600,"Em contratação"),SUMIFS('Cobrança Interior'!$P$2:$P$600,'Cobrança Interior'!$K$2:$K$600,"Em contratação",'Cobrança Interior'!$F$2:$F$600,$I$6))</f>
        <v>0</v>
      </c>
      <c r="T3">
        <f>IF($I$6="Todos",SUMIFS('Cobrança Interior'!$O$2:$O$600,'Cobrança Interior'!$K$2:$K$600,"Em recrutamento"),SUMIFS('Cobrança Interior'!$P$2:$P$600,'Cobrança Interior'!$K$2:$K$600,"Em recrutamento",'Cobrança Interior'!$F$2:$F$600,$I$6))</f>
        <v>0</v>
      </c>
      <c r="U3">
        <f>IF($I$6="Todos",SUMIFS('Cobrança Interior'!$O$2:$O$600,'Cobrança Interior'!$I$2:$I$600,"Equipe Simples"),SUMIFS('Cobrança Interior'!$P$2:$P$600,'Cobrança Interior'!$I$2:$I$600,"Equipe Simples",'Cobrança Interior'!$F$2:$F$600,$I$6))</f>
        <v>0</v>
      </c>
      <c r="V3">
        <f>IF($I$6="Todos",SUMIFS('Cobrança Interior'!$O$2:$O$600,'Cobrança Interior'!$I$2:$I$600,"Equipe Dupla"),SUMIFS('Cobrança Interior'!$P$2:$P$600,'Cobrança Interior'!$I$2:$I$600,"Equipe Dupla",'Cobrança Interior'!$F$2:$F$600,$I$6))</f>
        <v>0</v>
      </c>
      <c r="W3">
        <f>IF($I$6="Todos",SUMIFS('Cobrança Interior'!$O$2:$O$600,'Cobrança Interior'!$M$2:$M$600,"Sim"),SUMIFS('Cobrança Interior'!$P$2:$P$600,'Cobrança Interior'!$M$2:$M$600,"Sim",'Cobrança Interior'!$F$2:$F$600,$I$6))</f>
        <v>0</v>
      </c>
      <c r="X3">
        <f>IF($I$6="Todos",SUM('Cobrança Interior'!$O$2:$O$600),SUMIFS('Cobrança Interior'!$P$2:$P$600,'Cobrança Interior'!$F$2:$F$600,$I$6))</f>
        <v>0</v>
      </c>
      <c r="Y3">
        <f>IF($I$6="Todos",COUNTIF('Cobrança Interior'!$A$2:$A$600,"&lt;&gt;"),COUNTIFS('Cobrança Interior'!$A$2:$A$600,"&lt;&gt;",'Cobrança Interior'!$F$2:$F$600,$I$6))</f>
        <v>103</v>
      </c>
    </row>
    <row r="4" spans="2:25">
      <c r="B4" s="11" t="s">
        <v>13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P4" t="s">
        <v>14</v>
      </c>
      <c r="Q4">
        <f>IF($I$6="Todos",SUMIFS(Hidrometria!$O$2:$O$600,Hidrometria!$K$2:$K$600,"Mobilizada"),SUMIFS(Hidrometria!$P$2:$P$600,Hidrometria!$K$2:$K$600,"Mobilizada",Hidrometria!$F$2:$F$600,$I$6))</f>
        <v>0</v>
      </c>
      <c r="R4">
        <f>IF($I$6="Todos",SUMIFS(Hidrometria!$O$2:$O$600,Hidrometria!$K$2:$K$600,"Contratada"),SUMIFS(Hidrometria!$P$2:$P$600,Hidrometria!$K$2:$K$600,"Contratada",Hidrometria!$F$2:$F$600,$I$6))</f>
        <v>0</v>
      </c>
      <c r="S4">
        <f>IF($I$6="Todos",SUMIFS(Hidrometria!$O$2:$O$600,Hidrometria!$K$2:$K$600,"Em contratação"),SUMIFS(Hidrometria!$P$2:$P$600,Hidrometria!$K$2:$K$600,"Em contratação",Hidrometria!$F$2:$F$600,$I$6))</f>
        <v>0</v>
      </c>
      <c r="T4">
        <f>IF($I$6="Todos",SUMIFS(Hidrometria!$O$2:$O$600,Hidrometria!$K$2:$K$600,"Em recrutamento"),SUMIFS(Hidrometria!$P$2:$P$600,Hidrometria!$K$2:$K$600,"Em recrutamento",Hidrometria!$F$2:$F$600,$I$6))</f>
        <v>0</v>
      </c>
      <c r="U4">
        <f>IF($I$6="Todos",SUMIFS(Hidrometria!$O$2:$O$600,Hidrometria!$I$2:$I$600,"Equipe Simples"),SUMIFS(Hidrometria!$P$2:$P$600,Hidrometria!$I$2:$I$600,"Equipe Simples",Hidrometria!$F$2:$F$600,$I$6))</f>
        <v>0</v>
      </c>
      <c r="V4">
        <f>IF($I$6="Todos",SUMIFS(Hidrometria!$O$2:$O$600,Hidrometria!$I$2:$I$600,"Equipe Dupla"),SUMIFS(Hidrometria!$P$2:$P$600,Hidrometria!$I$2:$I$600,"Equipe Dupla",Hidrometria!$F$2:$F$600,$I$6))</f>
        <v>0</v>
      </c>
      <c r="W4">
        <f>IF($I$6="Todos",SUMIFS(Hidrometria!$O$2:$O$600,Hidrometria!$M$2:$M$600,"Sim"),SUMIFS(Hidrometria!$P$2:$P$600,Hidrometria!$M$2:$M$600,"Sim",Hidrometria!$F$2:$F$600,$I$6))</f>
        <v>0</v>
      </c>
      <c r="X4">
        <f>IF($I$6="Todos",SUM(Hidrometria!$O$2:$O$600),SUMIFS(Hidrometria!$P$2:$P$600,Hidrometria!$F$2:$F$600,$I$6))</f>
        <v>0</v>
      </c>
      <c r="Y4">
        <f>IF($I$6="Todos",COUNTIF(Hidrometria!$A$2:$A$600,"&lt;&gt;"),COUNTIFS(Hidrometria!$A$2:$A$600,"&lt;&gt;",Hidrometria!$F$2:$F$600,$I$6))</f>
        <v>35</v>
      </c>
    </row>
    <row r="5" spans="2:25">
      <c r="P5" t="s">
        <v>15</v>
      </c>
      <c r="Q5">
        <f>IF($I$6="Todos",SUMIFS(Leitura!$O$2:$O$600,Leitura!$K$2:$K$600,"Mobilizada"),SUMIFS(Leitura!$P$2:$P$600,Leitura!$K$2:$K$600,"Mobilizada",Leitura!$F$2:$F$600,$I$6))</f>
        <v>0</v>
      </c>
      <c r="R5">
        <f>IF($I$6="Todos",SUMIFS(Leitura!$O$2:$O$600,Leitura!$K$2:$K$600,"Contratada"),SUMIFS(Leitura!$P$2:$P$600,Leitura!$K$2:$K$600,"Contratada",Leitura!$F$2:$F$600,$I$6))</f>
        <v>0</v>
      </c>
      <c r="S5">
        <f>IF($I$6="Todos",SUMIFS(Leitura!$O$2:$O$600,Leitura!$K$2:$K$600,"Em contratação"),SUMIFS(Leitura!$P$2:$P$600,Leitura!$K$2:$K$600,"Em contratação",Leitura!$F$2:$F$600,$I$6))</f>
        <v>0</v>
      </c>
      <c r="T5">
        <f>IF($I$6="Todos",SUMIFS(Leitura!$O$2:$O$600,Leitura!$K$2:$K$600,"Em recrutamento"),SUMIFS(Leitura!$P$2:$P$600,Leitura!$K$2:$K$600,"Em recrutamento",Leitura!$F$2:$F$600,$I$6))</f>
        <v>0</v>
      </c>
      <c r="U5">
        <f>IF($I$6="Todos",SUMIFS(Leitura!$O$2:$O$600,Leitura!$I$2:$I$600,"Equipe Simples"),SUMIFS(Leitura!$P$2:$P$600,Leitura!$I$2:$I$600,"Equipe Simples",Leitura!$F$2:$F$600,$I$6))</f>
        <v>0</v>
      </c>
      <c r="V5">
        <f>IF($I$6="Todos",SUMIFS(Leitura!$O$2:$O$600,Leitura!$I$2:$I$600,"Equipe Dupla"),SUMIFS(Leitura!$P$2:$P$600,Leitura!$I$2:$I$600,"Equipe Dupla",Leitura!$F$2:$F$600,$I$6))</f>
        <v>0</v>
      </c>
      <c r="W5">
        <f>IF($I$6="Todos",SUMIFS(Leitura!$O$2:$O$600,Leitura!$M$2:$M$600,"Sim"),SUMIFS(Leitura!$P$2:$P$600,Leitura!$M$2:$M$600,"Sim",Leitura!$F$2:$F$600,$I$6))</f>
        <v>0</v>
      </c>
      <c r="X5">
        <f>IF($I$6="Todos",SUM(Leitura!$O$2:$O$600),SUMIFS(Leitura!$P$2:$P$600,Leitura!$F$2:$F$600,$I$6))</f>
        <v>0</v>
      </c>
      <c r="Y5">
        <f>IF($I$6="Todos",COUNTIF(Leitura!$A$2:$A$600,"&lt;&gt;"),COUNTIFS(Leitura!$A$2:$A$600,"&lt;&gt;",Leitura!$F$2:$F$600,$I$6))</f>
        <v>0</v>
      </c>
    </row>
    <row r="6" spans="2:25" ht="15">
      <c r="B6" t="s">
        <v>16</v>
      </c>
      <c r="C6" s="12" t="s">
        <v>17</v>
      </c>
      <c r="D6" s="12"/>
      <c r="E6" s="12"/>
      <c r="H6" t="s">
        <v>18</v>
      </c>
      <c r="I6" s="12" t="s">
        <v>19</v>
      </c>
      <c r="J6" s="12"/>
      <c r="K6" s="12"/>
      <c r="P6" t="s">
        <v>17</v>
      </c>
      <c r="Q6">
        <f t="shared" ref="Q6:Y6" si="0">SUM(Q2:Q5)</f>
        <v>0</v>
      </c>
      <c r="R6">
        <f t="shared" si="0"/>
        <v>23</v>
      </c>
      <c r="S6">
        <f t="shared" si="0"/>
        <v>1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24</v>
      </c>
      <c r="Y6">
        <f t="shared" si="0"/>
        <v>230</v>
      </c>
    </row>
    <row r="9" spans="2:25">
      <c r="B9" s="13" t="str">
        <f>"EQUIPES MOBILIZADAS"&amp;CHAR(10)&amp;TEXT(Q10,"0")</f>
        <v>EQUIPES MOBILIZADAS
0</v>
      </c>
      <c r="C9" s="13"/>
      <c r="D9" s="13"/>
      <c r="E9" s="14" t="str">
        <f>"CONTRATADAS"&amp;CHAR(10)&amp;TEXT(R10,"0")</f>
        <v>CONTRATADAS
23</v>
      </c>
      <c r="F9" s="14"/>
      <c r="G9" s="14"/>
      <c r="H9" s="15" t="str">
        <f>"EM CONTRATAÇÃO"&amp;CHAR(10)&amp;TEXT(S10,"0")</f>
        <v>EM CONTRATAÇÃO
1</v>
      </c>
      <c r="I9" s="15"/>
      <c r="J9" s="15"/>
      <c r="K9" s="16" t="str">
        <f>"EM RECRUTAMENTO"&amp;CHAR(10)&amp;TEXT(T10,"0")</f>
        <v>EM RECRUTAMENTO
0</v>
      </c>
      <c r="L9" s="16"/>
      <c r="M9" s="16"/>
      <c r="P9" t="s">
        <v>20</v>
      </c>
      <c r="Q9" t="s">
        <v>1</v>
      </c>
      <c r="R9" t="s">
        <v>2</v>
      </c>
      <c r="S9" t="s">
        <v>3</v>
      </c>
      <c r="T9" t="s">
        <v>4</v>
      </c>
      <c r="U9" t="s">
        <v>5</v>
      </c>
      <c r="V9" t="s">
        <v>6</v>
      </c>
      <c r="W9" t="s">
        <v>7</v>
      </c>
      <c r="X9" t="s">
        <v>8</v>
      </c>
      <c r="Y9" t="s">
        <v>9</v>
      </c>
    </row>
    <row r="10" spans="2:25">
      <c r="B10" s="13"/>
      <c r="C10" s="13"/>
      <c r="D10" s="13"/>
      <c r="E10" s="14"/>
      <c r="F10" s="14"/>
      <c r="G10" s="14"/>
      <c r="H10" s="15"/>
      <c r="I10" s="15"/>
      <c r="J10" s="15"/>
      <c r="K10" s="16"/>
      <c r="L10" s="16"/>
      <c r="M10" s="16"/>
      <c r="Q10">
        <f t="shared" ref="Q10:Y10" si="1">INDEX(Q$2:Q$6,MATCH($C$6,$P$2:$P$6,0))</f>
        <v>0</v>
      </c>
      <c r="R10">
        <f t="shared" si="1"/>
        <v>23</v>
      </c>
      <c r="S10">
        <f t="shared" si="1"/>
        <v>1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24</v>
      </c>
      <c r="Y10">
        <f t="shared" si="1"/>
        <v>230</v>
      </c>
    </row>
    <row r="11" spans="2:25">
      <c r="B11" s="13"/>
      <c r="C11" s="13"/>
      <c r="D11" s="13"/>
      <c r="E11" s="14"/>
      <c r="F11" s="14"/>
      <c r="G11" s="14"/>
      <c r="H11" s="15"/>
      <c r="I11" s="15"/>
      <c r="J11" s="15"/>
      <c r="K11" s="16"/>
      <c r="L11" s="16"/>
      <c r="M11" s="16"/>
    </row>
    <row r="12" spans="2:25">
      <c r="B12" s="13"/>
      <c r="C12" s="13"/>
      <c r="D12" s="13"/>
      <c r="E12" s="14"/>
      <c r="F12" s="14"/>
      <c r="G12" s="14"/>
      <c r="H12" s="15"/>
      <c r="I12" s="15"/>
      <c r="J12" s="15"/>
      <c r="K12" s="16"/>
      <c r="L12" s="16"/>
      <c r="M12" s="16"/>
    </row>
    <row r="13" spans="2:25">
      <c r="B13" s="13"/>
      <c r="C13" s="13"/>
      <c r="D13" s="13"/>
      <c r="E13" s="14"/>
      <c r="F13" s="14"/>
      <c r="G13" s="14"/>
      <c r="H13" s="15"/>
      <c r="I13" s="15"/>
      <c r="J13" s="15"/>
      <c r="K13" s="16"/>
      <c r="L13" s="16"/>
      <c r="M13" s="16"/>
    </row>
    <row r="15" spans="2:25">
      <c r="B15" s="17" t="str">
        <f>"EQUIPE SIMPLES"&amp;CHAR(10)&amp;TEXT(U10,"0")</f>
        <v>EQUIPE SIMPLES
0</v>
      </c>
      <c r="C15" s="17"/>
      <c r="D15" s="17"/>
      <c r="E15" s="18" t="str">
        <f>"EQUIPE DUPLA"&amp;CHAR(10)&amp;TEXT(V10,"0")</f>
        <v>EQUIPE DUPLA
0</v>
      </c>
      <c r="F15" s="18"/>
      <c r="G15" s="18"/>
      <c r="H15" s="19" t="str">
        <f>"VEÍCULOS DISPONÍVEIS"&amp;CHAR(10)&amp;TEXT(W10,"0")</f>
        <v>VEÍCULOS DISPONÍVEIS
0</v>
      </c>
      <c r="I15" s="19"/>
      <c r="J15" s="19"/>
      <c r="K15" s="20" t="str">
        <f>"LINHAS / VÍNCULOS"&amp;CHAR(10)&amp;TEXT(Y10,"0")</f>
        <v>LINHAS / VÍNCULOS
230</v>
      </c>
      <c r="L15" s="20"/>
      <c r="M15" s="20"/>
    </row>
    <row r="16" spans="2:25">
      <c r="B16" s="17"/>
      <c r="C16" s="17"/>
      <c r="D16" s="17"/>
      <c r="E16" s="18"/>
      <c r="F16" s="18"/>
      <c r="G16" s="18"/>
      <c r="H16" s="19"/>
      <c r="I16" s="19"/>
      <c r="J16" s="19"/>
      <c r="K16" s="20"/>
      <c r="L16" s="20"/>
      <c r="M16" s="20"/>
    </row>
    <row r="17" spans="2:13">
      <c r="B17" s="17"/>
      <c r="C17" s="17"/>
      <c r="D17" s="17"/>
      <c r="E17" s="18"/>
      <c r="F17" s="18"/>
      <c r="G17" s="18"/>
      <c r="H17" s="19"/>
      <c r="I17" s="19"/>
      <c r="J17" s="19"/>
      <c r="K17" s="20"/>
      <c r="L17" s="20"/>
      <c r="M17" s="20"/>
    </row>
    <row r="18" spans="2:13">
      <c r="B18" s="17"/>
      <c r="C18" s="17"/>
      <c r="D18" s="17"/>
      <c r="E18" s="18"/>
      <c r="F18" s="18"/>
      <c r="G18" s="18"/>
      <c r="H18" s="19"/>
      <c r="I18" s="19"/>
      <c r="J18" s="19"/>
      <c r="K18" s="20"/>
      <c r="L18" s="20"/>
      <c r="M18" s="20"/>
    </row>
    <row r="20" spans="2:13">
      <c r="B20" s="21" t="s">
        <v>21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</row>
    <row r="21" spans="2:13"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</row>
    <row r="22" spans="2:13" ht="15">
      <c r="B22" s="6" t="s">
        <v>22</v>
      </c>
      <c r="C22" s="6" t="s">
        <v>23</v>
      </c>
      <c r="D22" s="6" t="s">
        <v>1</v>
      </c>
      <c r="E22" s="6" t="s">
        <v>2</v>
      </c>
      <c r="F22" s="6" t="s">
        <v>3</v>
      </c>
      <c r="G22" s="6" t="s">
        <v>4</v>
      </c>
      <c r="H22" s="6" t="s">
        <v>24</v>
      </c>
    </row>
    <row r="23" spans="2:13">
      <c r="B23" t="s">
        <v>25</v>
      </c>
      <c r="C23">
        <f>SUMIFS('Cobrança RMR'!$P$2:$P$600,'Cobrança RMR'!$F$2:$F$600,B23)+SUMIFS(Hidrometria!$P$2:$P$600,Hidrometria!$F$2:$F$600,B23)+SUMIFS(Leitura!$P$2:$P$600,Leitura!$F$2:$F$600,B23)</f>
        <v>24</v>
      </c>
      <c r="D23">
        <f>SUMIFS('Cobrança RMR'!$P$2:$P$600,'Cobrança RMR'!$F$2:$F$600,B23,'Cobrança RMR'!$K$2:$K$600,"Mobilizada")+SUMIFS(Hidrometria!$P$2:$P$600,Hidrometria!$F$2:$F$600,B23,Hidrometria!$K$2:$K$600,"Mobilizada")+SUMIFS(Leitura!$P$2:$P$600,Leitura!$F$2:$F$600,B23,Leitura!$K$2:$K$600,"Mobilizada")</f>
        <v>0</v>
      </c>
      <c r="E23">
        <f>SUMIFS('Cobrança RMR'!$P$2:$P$600,'Cobrança RMR'!$F$2:$F$600,B23,'Cobrança RMR'!$K$2:$K$600,"Contratada")+SUMIFS(Hidrometria!$P$2:$P$600,Hidrometria!$F$2:$F$600,B23,Hidrometria!$K$2:$K$600,"Contratada")+SUMIFS(Leitura!$P$2:$P$600,Leitura!$F$2:$F$600,B23,Leitura!$K$2:$K$600,"Contratada")</f>
        <v>23</v>
      </c>
      <c r="F23">
        <f>SUMIFS('Cobrança RMR'!$P$2:$P$600,'Cobrança RMR'!$F$2:$F$600,B23,'Cobrança RMR'!$K$2:$K$600,"Em contratação")+SUMIFS(Hidrometria!$P$2:$P$600,Hidrometria!$F$2:$F$600,B23,Hidrometria!$K$2:$K$600,"Em contratação")+SUMIFS(Leitura!$P$2:$P$600,Leitura!$F$2:$F$600,B23,Leitura!$K$2:$K$600,"Em contratação")</f>
        <v>1</v>
      </c>
      <c r="G23">
        <f>SUMIFS('Cobrança RMR'!$P$2:$P$600,'Cobrança RMR'!$F$2:$F$600,B23,'Cobrança RMR'!$K$2:$K$600,"Em recrutamento")+SUMIFS(Hidrometria!$P$2:$P$600,Hidrometria!$F$2:$F$600,B23,Hidrometria!$K$2:$K$600,"Em recrutamento")+SUMIFS(Leitura!$P$2:$P$600,Leitura!$F$2:$F$600,B23,Leitura!$K$2:$K$600,"Em recrutamento")</f>
        <v>0</v>
      </c>
      <c r="H23" s="7">
        <f t="shared" ref="H23:H31" si="2">IF(C23=0,0,D23/C23)</f>
        <v>0</v>
      </c>
    </row>
    <row r="24" spans="2:13">
      <c r="B24" t="s">
        <v>26</v>
      </c>
      <c r="C24">
        <f>SUMIFS('Cobrança Interior'!$P$2:$P$600,'Cobrança Interior'!$F$2:$F$600,B24)+SUMIFS(Hidrometria!$P$2:$P$600,Hidrometria!$F$2:$F$600,B24)+SUMIFS(Leitura!$P$2:$P$600,Leitura!$F$2:$F$600,B24)</f>
        <v>0</v>
      </c>
      <c r="D24">
        <f>SUMIFS('Cobrança Interior'!$P$2:$P$600,'Cobrança Interior'!$F$2:$F$600,B24,'Cobrança Interior'!$K$2:$K$600,"Mobilizada")+SUMIFS(Hidrometria!$P$2:$P$600,Hidrometria!$F$2:$F$600,B24,Hidrometria!$K$2:$K$600,"Mobilizada")+SUMIFS(Leitura!$P$2:$P$600,Leitura!$F$2:$F$600,B24,Leitura!$K$2:$K$600,"Mobilizada")</f>
        <v>0</v>
      </c>
      <c r="E24">
        <f>SUMIFS('Cobrança Interior'!$P$2:$P$600,'Cobrança Interior'!$F$2:$F$600,B24,'Cobrança Interior'!$K$2:$K$600,"Contratada")+SUMIFS(Hidrometria!$P$2:$P$600,Hidrometria!$F$2:$F$600,B24,Hidrometria!$K$2:$K$600,"Contratada")+SUMIFS(Leitura!$P$2:$P$600,Leitura!$F$2:$F$600,B24,Leitura!$K$2:$K$600,"Contratada")</f>
        <v>0</v>
      </c>
      <c r="F24">
        <f>SUMIFS('Cobrança Interior'!$P$2:$P$600,'Cobrança Interior'!$F$2:$F$600,B24,'Cobrança Interior'!$K$2:$K$600,"Em contratação")+SUMIFS(Hidrometria!$P$2:$P$600,Hidrometria!$F$2:$F$600,B24,Hidrometria!$K$2:$K$600,"Em contratação")+SUMIFS(Leitura!$P$2:$P$600,Leitura!$F$2:$F$600,B24,Leitura!$K$2:$K$600,"Em contratação")</f>
        <v>0</v>
      </c>
      <c r="G24">
        <f>SUMIFS('Cobrança Interior'!$P$2:$P$600,'Cobrança Interior'!$F$2:$F$600,B24,'Cobrança Interior'!$K$2:$K$600,"Em recrutamento")+SUMIFS(Hidrometria!$P$2:$P$600,Hidrometria!$F$2:$F$600,B24,Hidrometria!$K$2:$K$600,"Em recrutamento")+SUMIFS(Leitura!$P$2:$P$600,Leitura!$F$2:$F$600,B24,Leitura!$K$2:$K$600,"Em recrutamento")</f>
        <v>0</v>
      </c>
      <c r="H24" s="7">
        <f t="shared" si="2"/>
        <v>0</v>
      </c>
    </row>
    <row r="25" spans="2:13">
      <c r="B25" t="s">
        <v>27</v>
      </c>
      <c r="C25">
        <f>SUMIFS('Cobrança Interior'!$P$2:$P$600,'Cobrança Interior'!$F$2:$F$600,B25)+SUMIFS(Hidrometria!$P$2:$P$600,Hidrometria!$F$2:$F$600,B25)+SUMIFS(Leitura!$P$2:$P$600,Leitura!$F$2:$F$600,B25)</f>
        <v>0</v>
      </c>
      <c r="D25">
        <f>SUMIFS('Cobrança Interior'!$P$2:$P$600,'Cobrança Interior'!$F$2:$F$600,B25,'Cobrança Interior'!$K$2:$K$600,"Mobilizada")+SUMIFS(Hidrometria!$P$2:$P$600,Hidrometria!$F$2:$F$600,B25,Hidrometria!$K$2:$K$600,"Mobilizada")+SUMIFS(Leitura!$P$2:$P$600,Leitura!$F$2:$F$600,B25,Leitura!$K$2:$K$600,"Mobilizada")</f>
        <v>0</v>
      </c>
      <c r="E25">
        <f>SUMIFS('Cobrança Interior'!$P$2:$P$600,'Cobrança Interior'!$F$2:$F$600,B25,'Cobrança Interior'!$K$2:$K$600,"Contratada")+SUMIFS(Hidrometria!$P$2:$P$600,Hidrometria!$F$2:$F$600,B25,Hidrometria!$K$2:$K$600,"Contratada")+SUMIFS(Leitura!$P$2:$P$600,Leitura!$F$2:$F$600,B25,Leitura!$K$2:$K$600,"Contratada")</f>
        <v>0</v>
      </c>
      <c r="F25">
        <f>SUMIFS('Cobrança Interior'!$P$2:$P$600,'Cobrança Interior'!$F$2:$F$600,B25,'Cobrança Interior'!$K$2:$K$600,"Em contratação")+SUMIFS(Hidrometria!$P$2:$P$600,Hidrometria!$F$2:$F$600,B25,Hidrometria!$K$2:$K$600,"Em contratação")+SUMIFS(Leitura!$P$2:$P$600,Leitura!$F$2:$F$600,B25,Leitura!$K$2:$K$600,"Em contratação")</f>
        <v>0</v>
      </c>
      <c r="G25">
        <f>SUMIFS('Cobrança Interior'!$P$2:$P$600,'Cobrança Interior'!$F$2:$F$600,B25,'Cobrança Interior'!$K$2:$K$600,"Em recrutamento")+SUMIFS(Hidrometria!$P$2:$P$600,Hidrometria!$F$2:$F$600,B25,Hidrometria!$K$2:$K$600,"Em recrutamento")+SUMIFS(Leitura!$P$2:$P$600,Leitura!$F$2:$F$600,B25,Leitura!$K$2:$K$600,"Em recrutamento")</f>
        <v>0</v>
      </c>
      <c r="H25" s="7">
        <f t="shared" si="2"/>
        <v>0</v>
      </c>
    </row>
    <row r="26" spans="2:13">
      <c r="B26" t="s">
        <v>28</v>
      </c>
      <c r="C26">
        <f>SUMIFS('Cobrança Interior'!$P$2:$P$600,'Cobrança Interior'!$F$2:$F$600,B26)+SUMIFS(Hidrometria!$P$2:$P$600,Hidrometria!$F$2:$F$600,B26)+SUMIFS(Leitura!$P$2:$P$600,Leitura!$F$2:$F$600,B26)</f>
        <v>0</v>
      </c>
      <c r="D26">
        <f>SUMIFS('Cobrança Interior'!$P$2:$P$600,'Cobrança Interior'!$F$2:$F$600,B26,'Cobrança Interior'!$K$2:$K$600,"Mobilizada")+SUMIFS(Hidrometria!$P$2:$P$600,Hidrometria!$F$2:$F$600,B26,Hidrometria!$K$2:$K$600,"Mobilizada")+SUMIFS(Leitura!$P$2:$P$600,Leitura!$F$2:$F$600,B26,Leitura!$K$2:$K$600,"Mobilizada")</f>
        <v>0</v>
      </c>
      <c r="E26">
        <f>SUMIFS('Cobrança Interior'!$P$2:$P$600,'Cobrança Interior'!$F$2:$F$600,B26,'Cobrança Interior'!$K$2:$K$600,"Contratada")+SUMIFS(Hidrometria!$P$2:$P$600,Hidrometria!$F$2:$F$600,B26,Hidrometria!$K$2:$K$600,"Contratada")+SUMIFS(Leitura!$P$2:$P$600,Leitura!$F$2:$F$600,B26,Leitura!$K$2:$K$600,"Contratada")</f>
        <v>0</v>
      </c>
      <c r="F26">
        <f>SUMIFS('Cobrança Interior'!$P$2:$P$600,'Cobrança Interior'!$F$2:$F$600,B26,'Cobrança Interior'!$K$2:$K$600,"Em contratação")+SUMIFS(Hidrometria!$P$2:$P$600,Hidrometria!$F$2:$F$600,B26,Hidrometria!$K$2:$K$600,"Em contratação")+SUMIFS(Leitura!$P$2:$P$600,Leitura!$F$2:$F$600,B26,Leitura!$K$2:$K$600,"Em contratação")</f>
        <v>0</v>
      </c>
      <c r="G26">
        <f>SUMIFS('Cobrança Interior'!$P$2:$P$600,'Cobrança Interior'!$F$2:$F$600,B26,'Cobrança Interior'!$K$2:$K$600,"Em recrutamento")+SUMIFS(Hidrometria!$P$2:$P$600,Hidrometria!$F$2:$F$600,B26,Hidrometria!$K$2:$K$600,"Em recrutamento")+SUMIFS(Leitura!$P$2:$P$600,Leitura!$F$2:$F$600,B26,Leitura!$K$2:$K$600,"Em recrutamento")</f>
        <v>0</v>
      </c>
      <c r="H26" s="7">
        <f t="shared" si="2"/>
        <v>0</v>
      </c>
    </row>
    <row r="27" spans="2:13">
      <c r="B27" t="s">
        <v>29</v>
      </c>
      <c r="C27">
        <f>SUMIFS('Cobrança Interior'!$P$2:$P$600,'Cobrança Interior'!$F$2:$F$600,B27)+SUMIFS(Hidrometria!$P$2:$P$600,Hidrometria!$F$2:$F$600,B27)+SUMIFS(Leitura!$P$2:$P$600,Leitura!$F$2:$F$600,B27)</f>
        <v>0</v>
      </c>
      <c r="D27">
        <f>SUMIFS('Cobrança Interior'!$P$2:$P$600,'Cobrança Interior'!$F$2:$F$600,B27,'Cobrança Interior'!$K$2:$K$600,"Mobilizada")+SUMIFS(Hidrometria!$P$2:$P$600,Hidrometria!$F$2:$F$600,B27,Hidrometria!$K$2:$K$600,"Mobilizada")+SUMIFS(Leitura!$P$2:$P$600,Leitura!$F$2:$F$600,B27,Leitura!$K$2:$K$600,"Mobilizada")</f>
        <v>0</v>
      </c>
      <c r="E27">
        <f>SUMIFS('Cobrança Interior'!$P$2:$P$600,'Cobrança Interior'!$F$2:$F$600,B27,'Cobrança Interior'!$K$2:$K$600,"Contratada")+SUMIFS(Hidrometria!$P$2:$P$600,Hidrometria!$F$2:$F$600,B27,Hidrometria!$K$2:$K$600,"Contratada")+SUMIFS(Leitura!$P$2:$P$600,Leitura!$F$2:$F$600,B27,Leitura!$K$2:$K$600,"Contratada")</f>
        <v>0</v>
      </c>
      <c r="F27">
        <f>SUMIFS('Cobrança Interior'!$P$2:$P$600,'Cobrança Interior'!$F$2:$F$600,B27,'Cobrança Interior'!$K$2:$K$600,"Em contratação")+SUMIFS(Hidrometria!$P$2:$P$600,Hidrometria!$F$2:$F$600,B27,Hidrometria!$K$2:$K$600,"Em contratação")+SUMIFS(Leitura!$P$2:$P$600,Leitura!$F$2:$F$600,B27,Leitura!$K$2:$K$600,"Em contratação")</f>
        <v>0</v>
      </c>
      <c r="G27">
        <f>SUMIFS('Cobrança Interior'!$P$2:$P$600,'Cobrança Interior'!$F$2:$F$600,B27,'Cobrança Interior'!$K$2:$K$600,"Em recrutamento")+SUMIFS(Hidrometria!$P$2:$P$600,Hidrometria!$F$2:$F$600,B27,Hidrometria!$K$2:$K$600,"Em recrutamento")+SUMIFS(Leitura!$P$2:$P$600,Leitura!$F$2:$F$600,B27,Leitura!$K$2:$K$600,"Em recrutamento")</f>
        <v>0</v>
      </c>
      <c r="H27" s="7">
        <f t="shared" si="2"/>
        <v>0</v>
      </c>
    </row>
    <row r="28" spans="2:13">
      <c r="B28" t="s">
        <v>30</v>
      </c>
      <c r="C28">
        <f>SUMIFS('Cobrança Interior'!$P$2:$P$600,'Cobrança Interior'!$F$2:$F$600,B28)+SUMIFS(Hidrometria!$P$2:$P$600,Hidrometria!$F$2:$F$600,B28)+SUMIFS(Leitura!$P$2:$P$600,Leitura!$F$2:$F$600,B28)</f>
        <v>0</v>
      </c>
      <c r="D28">
        <f>SUMIFS('Cobrança Interior'!$P$2:$P$600,'Cobrança Interior'!$F$2:$F$600,B28,'Cobrança Interior'!$K$2:$K$600,"Mobilizada")+SUMIFS(Hidrometria!$P$2:$P$600,Hidrometria!$F$2:$F$600,B28,Hidrometria!$K$2:$K$600,"Mobilizada")+SUMIFS(Leitura!$P$2:$P$600,Leitura!$F$2:$F$600,B28,Leitura!$K$2:$K$600,"Mobilizada")</f>
        <v>0</v>
      </c>
      <c r="E28">
        <f>SUMIFS('Cobrança Interior'!$P$2:$P$600,'Cobrança Interior'!$F$2:$F$600,B28,'Cobrança Interior'!$K$2:$K$600,"Contratada")+SUMIFS(Hidrometria!$P$2:$P$600,Hidrometria!$F$2:$F$600,B28,Hidrometria!$K$2:$K$600,"Contratada")+SUMIFS(Leitura!$P$2:$P$600,Leitura!$F$2:$F$600,B28,Leitura!$K$2:$K$600,"Contratada")</f>
        <v>0</v>
      </c>
      <c r="F28">
        <f>SUMIFS('Cobrança Interior'!$P$2:$P$600,'Cobrança Interior'!$F$2:$F$600,B28,'Cobrança Interior'!$K$2:$K$600,"Em contratação")+SUMIFS(Hidrometria!$P$2:$P$600,Hidrometria!$F$2:$F$600,B28,Hidrometria!$K$2:$K$600,"Em contratação")+SUMIFS(Leitura!$P$2:$P$600,Leitura!$F$2:$F$600,B28,Leitura!$K$2:$K$600,"Em contratação")</f>
        <v>0</v>
      </c>
      <c r="G28">
        <f>SUMIFS('Cobrança Interior'!$P$2:$P$600,'Cobrança Interior'!$F$2:$F$600,B28,'Cobrança Interior'!$K$2:$K$600,"Em recrutamento")+SUMIFS(Hidrometria!$P$2:$P$600,Hidrometria!$F$2:$F$600,B28,Hidrometria!$K$2:$K$600,"Em recrutamento")+SUMIFS(Leitura!$P$2:$P$600,Leitura!$F$2:$F$600,B28,Leitura!$K$2:$K$600,"Em recrutamento")</f>
        <v>0</v>
      </c>
      <c r="H28" s="7">
        <f t="shared" si="2"/>
        <v>0</v>
      </c>
    </row>
    <row r="29" spans="2:13">
      <c r="B29" t="s">
        <v>31</v>
      </c>
      <c r="C29">
        <f>SUMIFS('Cobrança Interior'!$P$2:$P$600,'Cobrança Interior'!$F$2:$F$600,B29)+SUMIFS(Hidrometria!$P$2:$P$600,Hidrometria!$F$2:$F$600,B29)+SUMIFS(Leitura!$P$2:$P$600,Leitura!$F$2:$F$600,B29)</f>
        <v>0</v>
      </c>
      <c r="D29">
        <f>SUMIFS('Cobrança Interior'!$P$2:$P$600,'Cobrança Interior'!$F$2:$F$600,B29,'Cobrança Interior'!$K$2:$K$600,"Mobilizada")+SUMIFS(Hidrometria!$P$2:$P$600,Hidrometria!$F$2:$F$600,B29,Hidrometria!$K$2:$K$600,"Mobilizada")+SUMIFS(Leitura!$P$2:$P$600,Leitura!$F$2:$F$600,B29,Leitura!$K$2:$K$600,"Mobilizada")</f>
        <v>0</v>
      </c>
      <c r="E29">
        <f>SUMIFS('Cobrança Interior'!$P$2:$P$600,'Cobrança Interior'!$F$2:$F$600,B29,'Cobrança Interior'!$K$2:$K$600,"Contratada")+SUMIFS(Hidrometria!$P$2:$P$600,Hidrometria!$F$2:$F$600,B29,Hidrometria!$K$2:$K$600,"Contratada")+SUMIFS(Leitura!$P$2:$P$600,Leitura!$F$2:$F$600,B29,Leitura!$K$2:$K$600,"Contratada")</f>
        <v>0</v>
      </c>
      <c r="F29">
        <f>SUMIFS('Cobrança Interior'!$P$2:$P$600,'Cobrança Interior'!$F$2:$F$600,B29,'Cobrança Interior'!$K$2:$K$600,"Em contratação")+SUMIFS(Hidrometria!$P$2:$P$600,Hidrometria!$F$2:$F$600,B29,Hidrometria!$K$2:$K$600,"Em contratação")+SUMIFS(Leitura!$P$2:$P$600,Leitura!$F$2:$F$600,B29,Leitura!$K$2:$K$600,"Em contratação")</f>
        <v>0</v>
      </c>
      <c r="G29">
        <f>SUMIFS('Cobrança Interior'!$P$2:$P$600,'Cobrança Interior'!$F$2:$F$600,B29,'Cobrança Interior'!$K$2:$K$600,"Em recrutamento")+SUMIFS(Hidrometria!$P$2:$P$600,Hidrometria!$F$2:$F$600,B29,Hidrometria!$K$2:$K$600,"Em recrutamento")+SUMIFS(Leitura!$P$2:$P$600,Leitura!$F$2:$F$600,B29,Leitura!$K$2:$K$600,"Em recrutamento")</f>
        <v>0</v>
      </c>
      <c r="H29" s="7">
        <f t="shared" si="2"/>
        <v>0</v>
      </c>
    </row>
    <row r="30" spans="2:13">
      <c r="B30" t="s">
        <v>32</v>
      </c>
      <c r="C30">
        <f>SUMIFS('Cobrança Interior'!$P$2:$P$600,'Cobrança Interior'!$F$2:$F$600,B30)+SUMIFS(Hidrometria!$P$2:$P$600,Hidrometria!$F$2:$F$600,B30)+SUMIFS(Leitura!$P$2:$P$600,Leitura!$F$2:$F$600,B30)</f>
        <v>0</v>
      </c>
      <c r="D30">
        <f>SUMIFS('Cobrança Interior'!$P$2:$P$600,'Cobrança Interior'!$F$2:$F$600,B30,'Cobrança Interior'!$K$2:$K$600,"Mobilizada")+SUMIFS(Hidrometria!$P$2:$P$600,Hidrometria!$F$2:$F$600,B30,Hidrometria!$K$2:$K$600,"Mobilizada")+SUMIFS(Leitura!$P$2:$P$600,Leitura!$F$2:$F$600,B30,Leitura!$K$2:$K$600,"Mobilizada")</f>
        <v>0</v>
      </c>
      <c r="E30">
        <f>SUMIFS('Cobrança Interior'!$P$2:$P$600,'Cobrança Interior'!$F$2:$F$600,B30,'Cobrança Interior'!$K$2:$K$600,"Contratada")+SUMIFS(Hidrometria!$P$2:$P$600,Hidrometria!$F$2:$F$600,B30,Hidrometria!$K$2:$K$600,"Contratada")+SUMIFS(Leitura!$P$2:$P$600,Leitura!$F$2:$F$600,B30,Leitura!$K$2:$K$600,"Contratada")</f>
        <v>0</v>
      </c>
      <c r="F30">
        <f>SUMIFS('Cobrança Interior'!$P$2:$P$600,'Cobrança Interior'!$F$2:$F$600,B30,'Cobrança Interior'!$K$2:$K$600,"Em contratação")+SUMIFS(Hidrometria!$P$2:$P$600,Hidrometria!$F$2:$F$600,B30,Hidrometria!$K$2:$K$600,"Em contratação")+SUMIFS(Leitura!$P$2:$P$600,Leitura!$F$2:$F$600,B30,Leitura!$K$2:$K$600,"Em contratação")</f>
        <v>0</v>
      </c>
      <c r="G30">
        <f>SUMIFS('Cobrança Interior'!$P$2:$P$600,'Cobrança Interior'!$F$2:$F$600,B30,'Cobrança Interior'!$K$2:$K$600,"Em recrutamento")+SUMIFS(Hidrometria!$P$2:$P$600,Hidrometria!$F$2:$F$600,B30,Hidrometria!$K$2:$K$600,"Em recrutamento")+SUMIFS(Leitura!$P$2:$P$600,Leitura!$F$2:$F$600,B30,Leitura!$K$2:$K$600,"Em recrutamento")</f>
        <v>0</v>
      </c>
      <c r="H30" s="7">
        <f t="shared" si="2"/>
        <v>0</v>
      </c>
    </row>
    <row r="31" spans="2:13">
      <c r="B31" t="s">
        <v>33</v>
      </c>
      <c r="C31">
        <f>SUMIFS('Cobrança Interior'!$P$2:$P$600,'Cobrança Interior'!$F$2:$F$600,B31)+SUMIFS(Hidrometria!$P$2:$P$600,Hidrometria!$F$2:$F$600,B31)+SUMIFS(Leitura!$P$2:$P$600,Leitura!$F$2:$F$600,B31)</f>
        <v>0</v>
      </c>
      <c r="D31">
        <f>SUMIFS('Cobrança Interior'!$P$2:$P$600,'Cobrança Interior'!$F$2:$F$600,B31,'Cobrança Interior'!$K$2:$K$600,"Mobilizada")+SUMIFS(Hidrometria!$P$2:$P$600,Hidrometria!$F$2:$F$600,B31,Hidrometria!$K$2:$K$600,"Mobilizada")+SUMIFS(Leitura!$P$2:$P$600,Leitura!$F$2:$F$600,B31,Leitura!$K$2:$K$600,"Mobilizada")</f>
        <v>0</v>
      </c>
      <c r="E31">
        <f>SUMIFS('Cobrança Interior'!$P$2:$P$600,'Cobrança Interior'!$F$2:$F$600,B31,'Cobrança Interior'!$K$2:$K$600,"Contratada")+SUMIFS(Hidrometria!$P$2:$P$600,Hidrometria!$F$2:$F$600,B31,Hidrometria!$K$2:$K$600,"Contratada")+SUMIFS(Leitura!$P$2:$P$600,Leitura!$F$2:$F$600,B31,Leitura!$K$2:$K$600,"Contratada")</f>
        <v>0</v>
      </c>
      <c r="F31">
        <f>SUMIFS('Cobrança Interior'!$P$2:$P$600,'Cobrança Interior'!$F$2:$F$600,B31,'Cobrança Interior'!$K$2:$K$600,"Em contratação")+SUMIFS(Hidrometria!$P$2:$P$600,Hidrometria!$F$2:$F$600,B31,Hidrometria!$K$2:$K$600,"Em contratação")+SUMIFS(Leitura!$P$2:$P$600,Leitura!$F$2:$F$600,B31,Leitura!$K$2:$K$600,"Em contratação")</f>
        <v>0</v>
      </c>
      <c r="G31">
        <f>SUMIFS('Cobrança Interior'!$P$2:$P$600,'Cobrança Interior'!$F$2:$F$600,B31,'Cobrança Interior'!$K$2:$K$600,"Em recrutamento")+SUMIFS(Hidrometria!$P$2:$P$600,Hidrometria!$F$2:$F$600,B31,Hidrometria!$K$2:$K$600,"Em recrutamento")+SUMIFS(Leitura!$P$2:$P$600,Leitura!$F$2:$F$600,B31,Leitura!$K$2:$K$600,"Em recrutamento")</f>
        <v>0</v>
      </c>
      <c r="H31" s="7">
        <f t="shared" si="2"/>
        <v>0</v>
      </c>
    </row>
    <row r="34" spans="2:13">
      <c r="B34" s="22" t="s">
        <v>34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spans="2:13"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  <row r="36" spans="2:13"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spans="2:13"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</row>
    <row r="39" spans="2:13" ht="15">
      <c r="B39" s="1" t="s">
        <v>35</v>
      </c>
      <c r="C39" s="1" t="s">
        <v>36</v>
      </c>
      <c r="D39" s="1" t="s">
        <v>37</v>
      </c>
    </row>
    <row r="40" spans="2:13">
      <c r="B40" t="s">
        <v>1</v>
      </c>
      <c r="C40">
        <v>54</v>
      </c>
      <c r="D40">
        <f>Q10</f>
        <v>0</v>
      </c>
    </row>
    <row r="41" spans="2:13">
      <c r="B41" t="s">
        <v>2</v>
      </c>
      <c r="C41">
        <v>54</v>
      </c>
      <c r="D41">
        <f>R10</f>
        <v>23</v>
      </c>
    </row>
    <row r="42" spans="2:13">
      <c r="B42" t="s">
        <v>3</v>
      </c>
      <c r="C42">
        <v>54</v>
      </c>
      <c r="D42">
        <f>S10</f>
        <v>1</v>
      </c>
    </row>
    <row r="43" spans="2:13">
      <c r="B43" t="s">
        <v>4</v>
      </c>
      <c r="C43">
        <v>54</v>
      </c>
      <c r="D43">
        <f>T10</f>
        <v>0</v>
      </c>
    </row>
    <row r="44" spans="2:13">
      <c r="B44" t="s">
        <v>8</v>
      </c>
      <c r="C44">
        <v>216</v>
      </c>
      <c r="D44">
        <f>X10</f>
        <v>24</v>
      </c>
    </row>
    <row r="45" spans="2:13">
      <c r="B45" t="s">
        <v>38</v>
      </c>
      <c r="C45">
        <v>432</v>
      </c>
      <c r="D45">
        <f>Y10</f>
        <v>230</v>
      </c>
    </row>
  </sheetData>
  <mergeCells count="14">
    <mergeCell ref="B34:M37"/>
    <mergeCell ref="B15:D18"/>
    <mergeCell ref="E15:G18"/>
    <mergeCell ref="H15:J18"/>
    <mergeCell ref="K15:M18"/>
    <mergeCell ref="B20:M21"/>
    <mergeCell ref="B2:M3"/>
    <mergeCell ref="B4:M4"/>
    <mergeCell ref="C6:E6"/>
    <mergeCell ref="I6:K6"/>
    <mergeCell ref="B9:D13"/>
    <mergeCell ref="E9:G13"/>
    <mergeCell ref="H9:J13"/>
    <mergeCell ref="K9:M1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0000000}">
          <x14:formula1>
            <xm:f>LISTAS!$A$2:$A$6</xm:f>
          </x14:formula1>
          <xm:sqref>C6:E6</xm:sqref>
        </x14:dataValidation>
        <x14:dataValidation type="list" xr:uid="{00000000-0002-0000-0000-000001000000}">
          <x14:formula1>
            <xm:f>LISTAS!$B$2:$B$11</xm:f>
          </x14:formula1>
          <xm:sqref>I6:K6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00"/>
  <sheetViews>
    <sheetView topLeftCell="B1" workbookViewId="0">
      <selection activeCell="D2" sqref="D2"/>
    </sheetView>
  </sheetViews>
  <sheetFormatPr defaultRowHeight="14.25"/>
  <cols>
    <col min="1" max="3" width="38.25" bestFit="1" customWidth="1"/>
    <col min="4" max="4" width="16.875" bestFit="1" customWidth="1"/>
    <col min="5" max="5" width="15.5" bestFit="1" customWidth="1"/>
    <col min="6" max="6" width="10.75" bestFit="1" customWidth="1"/>
    <col min="7" max="7" width="14.625" bestFit="1" customWidth="1"/>
    <col min="8" max="8" width="22.25" bestFit="1" customWidth="1"/>
    <col min="9" max="9" width="11.125" bestFit="1" customWidth="1"/>
    <col min="10" max="10" width="21.375" bestFit="1" customWidth="1"/>
    <col min="11" max="11" width="14" bestFit="1" customWidth="1"/>
    <col min="12" max="12" width="12" bestFit="1" customWidth="1"/>
    <col min="13" max="13" width="13.875" bestFit="1" customWidth="1"/>
    <col min="14" max="14" width="9.5" bestFit="1" customWidth="1"/>
    <col min="15" max="15" width="11.625" bestFit="1" customWidth="1"/>
    <col min="16" max="16" width="10.25" bestFit="1" customWidth="1"/>
  </cols>
  <sheetData>
    <row r="1" spans="1:16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22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2" t="s">
        <v>51</v>
      </c>
      <c r="O1" s="3" t="s">
        <v>52</v>
      </c>
      <c r="P1" s="3" t="s">
        <v>53</v>
      </c>
    </row>
    <row r="2" spans="1:16">
      <c r="A2" t="s">
        <v>171</v>
      </c>
      <c r="B2" t="s">
        <v>171</v>
      </c>
      <c r="C2" t="s">
        <v>171</v>
      </c>
      <c r="D2" t="s">
        <v>54</v>
      </c>
      <c r="F2" t="s">
        <v>25</v>
      </c>
      <c r="G2" t="s">
        <v>193</v>
      </c>
      <c r="H2" t="s">
        <v>55</v>
      </c>
      <c r="K2" t="s">
        <v>68</v>
      </c>
      <c r="O2" s="4">
        <f>IF(A2="","",--(COUNTIF($A$2:A2,A2)=1))</f>
        <v>1</v>
      </c>
      <c r="P2" s="4">
        <f>IF(A2="","",--(COUNTIFS($A$2:A2,A2,$F$2:F2,F2)=1))</f>
        <v>1</v>
      </c>
    </row>
    <row r="3" spans="1:16">
      <c r="A3" t="s">
        <v>171</v>
      </c>
      <c r="B3" t="s">
        <v>171</v>
      </c>
      <c r="C3" t="s">
        <v>171</v>
      </c>
      <c r="D3" t="s">
        <v>54</v>
      </c>
      <c r="F3" t="s">
        <v>25</v>
      </c>
      <c r="G3" t="s">
        <v>193</v>
      </c>
      <c r="H3" t="s">
        <v>172</v>
      </c>
      <c r="K3" t="s">
        <v>68</v>
      </c>
      <c r="O3" s="4">
        <f>IF(A3="","",--(COUNTIF($A$2:A3,A3)=1))</f>
        <v>0</v>
      </c>
      <c r="P3" s="4">
        <f>IF(A3="","",--(COUNTIFS($A$2:A3,A3,$F$2:F3,F3)=1))</f>
        <v>0</v>
      </c>
    </row>
    <row r="4" spans="1:16">
      <c r="A4" t="s">
        <v>171</v>
      </c>
      <c r="B4" t="s">
        <v>171</v>
      </c>
      <c r="C4" t="s">
        <v>171</v>
      </c>
      <c r="D4" t="s">
        <v>54</v>
      </c>
      <c r="F4" t="s">
        <v>25</v>
      </c>
      <c r="G4" t="s">
        <v>193</v>
      </c>
      <c r="H4" t="s">
        <v>183</v>
      </c>
      <c r="K4" t="s">
        <v>68</v>
      </c>
      <c r="O4" s="4">
        <f>IF(A4="","",--(COUNTIF($A$2:A4,A4)=1))</f>
        <v>0</v>
      </c>
      <c r="P4" s="4">
        <f>IF(A4="","",--(COUNTIFS($A$2:A4,A4,$F$2:F4,F4)=1))</f>
        <v>0</v>
      </c>
    </row>
    <row r="5" spans="1:16">
      <c r="A5" t="s">
        <v>171</v>
      </c>
      <c r="B5" t="s">
        <v>171</v>
      </c>
      <c r="C5" t="s">
        <v>171</v>
      </c>
      <c r="D5" t="s">
        <v>54</v>
      </c>
      <c r="F5" t="s">
        <v>25</v>
      </c>
      <c r="G5" t="s">
        <v>193</v>
      </c>
      <c r="H5" t="s">
        <v>184</v>
      </c>
      <c r="K5" t="s">
        <v>68</v>
      </c>
      <c r="O5" s="4">
        <f>IF(A5="","",--(COUNTIF($A$2:A5,A5)=1))</f>
        <v>0</v>
      </c>
      <c r="P5" s="4">
        <f>IF(A5="","",--(COUNTIFS($A$2:A5,A5,$F$2:F5,F5)=1))</f>
        <v>0</v>
      </c>
    </row>
    <row r="6" spans="1:16">
      <c r="A6" t="s">
        <v>171</v>
      </c>
      <c r="B6" t="s">
        <v>171</v>
      </c>
      <c r="C6" t="s">
        <v>171</v>
      </c>
      <c r="D6" t="s">
        <v>54</v>
      </c>
      <c r="F6" t="s">
        <v>25</v>
      </c>
      <c r="G6" t="s">
        <v>193</v>
      </c>
      <c r="H6" t="s">
        <v>185</v>
      </c>
      <c r="K6" t="s">
        <v>68</v>
      </c>
      <c r="O6" s="4">
        <f>IF(A6="","",--(COUNTIF($A$2:A6,A6)=1))</f>
        <v>0</v>
      </c>
      <c r="P6" s="4">
        <f>IF(A6="","",--(COUNTIFS($A$2:A6,A6,$F$2:F6,F6)=1))</f>
        <v>0</v>
      </c>
    </row>
    <row r="7" spans="1:16">
      <c r="A7" t="s">
        <v>171</v>
      </c>
      <c r="B7" t="s">
        <v>171</v>
      </c>
      <c r="C7" t="s">
        <v>171</v>
      </c>
      <c r="D7" t="s">
        <v>54</v>
      </c>
      <c r="F7" t="s">
        <v>25</v>
      </c>
      <c r="G7" t="s">
        <v>193</v>
      </c>
      <c r="H7" t="s">
        <v>186</v>
      </c>
      <c r="K7" t="s">
        <v>68</v>
      </c>
      <c r="O7" s="4">
        <f>IF(A7="","",--(COUNTIF($A$2:A7,A7)=1))</f>
        <v>0</v>
      </c>
      <c r="P7" s="4">
        <f>IF(A7="","",--(COUNTIFS($A$2:A7,A7,$F$2:F7,F7)=1))</f>
        <v>0</v>
      </c>
    </row>
    <row r="8" spans="1:16">
      <c r="A8" t="s">
        <v>173</v>
      </c>
      <c r="B8" t="s">
        <v>173</v>
      </c>
      <c r="C8" t="s">
        <v>173</v>
      </c>
      <c r="D8" t="s">
        <v>54</v>
      </c>
      <c r="F8" t="s">
        <v>25</v>
      </c>
      <c r="G8" t="s">
        <v>193</v>
      </c>
      <c r="H8" t="s">
        <v>55</v>
      </c>
      <c r="K8" t="s">
        <v>68</v>
      </c>
      <c r="O8" s="4">
        <f>IF(A8="","",--(COUNTIF($A$2:A8,A8)=1))</f>
        <v>1</v>
      </c>
      <c r="P8" s="4">
        <f>IF(A8="","",--(COUNTIFS($A$2:A8,A8,$F$2:F8,F8)=1))</f>
        <v>1</v>
      </c>
    </row>
    <row r="9" spans="1:16">
      <c r="A9" t="s">
        <v>173</v>
      </c>
      <c r="B9" t="s">
        <v>173</v>
      </c>
      <c r="C9" t="s">
        <v>173</v>
      </c>
      <c r="D9" t="s">
        <v>54</v>
      </c>
      <c r="F9" t="s">
        <v>25</v>
      </c>
      <c r="G9" t="s">
        <v>193</v>
      </c>
      <c r="H9" t="s">
        <v>172</v>
      </c>
      <c r="K9" t="s">
        <v>68</v>
      </c>
      <c r="O9" s="4">
        <f>IF(A9="","",--(COUNTIF($A$2:A9,A9)=1))</f>
        <v>0</v>
      </c>
      <c r="P9" s="4">
        <f>IF(A9="","",--(COUNTIFS($A$2:A9,A9,$F$2:F9,F9)=1))</f>
        <v>0</v>
      </c>
    </row>
    <row r="10" spans="1:16">
      <c r="A10" t="s">
        <v>173</v>
      </c>
      <c r="B10" t="s">
        <v>173</v>
      </c>
      <c r="C10" t="s">
        <v>173</v>
      </c>
      <c r="D10" t="s">
        <v>54</v>
      </c>
      <c r="F10" t="s">
        <v>25</v>
      </c>
      <c r="G10" t="s">
        <v>193</v>
      </c>
      <c r="H10" t="s">
        <v>183</v>
      </c>
      <c r="K10" t="s">
        <v>68</v>
      </c>
      <c r="O10" s="4">
        <f>IF(A10="","",--(COUNTIF($A$2:A10,A10)=1))</f>
        <v>0</v>
      </c>
      <c r="P10" s="4">
        <f>IF(A10="","",--(COUNTIFS($A$2:A10,A10,$F$2:F10,F10)=1))</f>
        <v>0</v>
      </c>
    </row>
    <row r="11" spans="1:16">
      <c r="A11" t="s">
        <v>173</v>
      </c>
      <c r="B11" t="s">
        <v>173</v>
      </c>
      <c r="C11" t="s">
        <v>173</v>
      </c>
      <c r="D11" t="s">
        <v>54</v>
      </c>
      <c r="F11" t="s">
        <v>25</v>
      </c>
      <c r="G11" t="s">
        <v>193</v>
      </c>
      <c r="H11" t="s">
        <v>184</v>
      </c>
      <c r="K11" t="s">
        <v>68</v>
      </c>
      <c r="O11" s="4">
        <f>IF(A11="","",--(COUNTIF($A$2:A11,A11)=1))</f>
        <v>0</v>
      </c>
      <c r="P11" s="4">
        <f>IF(A11="","",--(COUNTIFS($A$2:A11,A11,$F$2:F11,F11)=1))</f>
        <v>0</v>
      </c>
    </row>
    <row r="12" spans="1:16">
      <c r="A12" t="s">
        <v>173</v>
      </c>
      <c r="B12" t="s">
        <v>173</v>
      </c>
      <c r="C12" t="s">
        <v>173</v>
      </c>
      <c r="D12" t="s">
        <v>54</v>
      </c>
      <c r="F12" t="s">
        <v>25</v>
      </c>
      <c r="G12" t="s">
        <v>193</v>
      </c>
      <c r="H12" t="s">
        <v>185</v>
      </c>
      <c r="K12" t="s">
        <v>68</v>
      </c>
      <c r="O12" s="4">
        <f>IF(A12="","",--(COUNTIF($A$2:A12,A12)=1))</f>
        <v>0</v>
      </c>
      <c r="P12" s="4">
        <f>IF(A12="","",--(COUNTIFS($A$2:A12,A12,$F$2:F12,F12)=1))</f>
        <v>0</v>
      </c>
    </row>
    <row r="13" spans="1:16">
      <c r="A13" t="s">
        <v>173</v>
      </c>
      <c r="B13" t="s">
        <v>173</v>
      </c>
      <c r="C13" t="s">
        <v>173</v>
      </c>
      <c r="D13" t="s">
        <v>54</v>
      </c>
      <c r="F13" t="s">
        <v>25</v>
      </c>
      <c r="G13" t="s">
        <v>193</v>
      </c>
      <c r="H13" t="s">
        <v>186</v>
      </c>
      <c r="K13" t="s">
        <v>68</v>
      </c>
      <c r="O13" s="4">
        <f>IF(A13="","",--(COUNTIF($A$2:A13,A13)=1))</f>
        <v>0</v>
      </c>
      <c r="P13" s="4">
        <f>IF(A13="","",--(COUNTIFS($A$2:A13,A13,$F$2:F13,F13)=1))</f>
        <v>0</v>
      </c>
    </row>
    <row r="14" spans="1:16">
      <c r="A14" t="s">
        <v>174</v>
      </c>
      <c r="B14" t="s">
        <v>174</v>
      </c>
      <c r="C14" t="s">
        <v>174</v>
      </c>
      <c r="D14" t="s">
        <v>54</v>
      </c>
      <c r="F14" t="s">
        <v>25</v>
      </c>
      <c r="G14" t="s">
        <v>193</v>
      </c>
      <c r="H14" t="s">
        <v>55</v>
      </c>
      <c r="K14" t="s">
        <v>68</v>
      </c>
      <c r="O14" s="4">
        <f>IF(A14="","",--(COUNTIF($A$2:A14,A14)=1))</f>
        <v>1</v>
      </c>
      <c r="P14" s="4">
        <f>IF(A14="","",--(COUNTIFS($A$2:A14,A14,$F$2:F14,F14)=1))</f>
        <v>1</v>
      </c>
    </row>
    <row r="15" spans="1:16">
      <c r="A15" t="s">
        <v>174</v>
      </c>
      <c r="B15" t="s">
        <v>174</v>
      </c>
      <c r="C15" t="s">
        <v>174</v>
      </c>
      <c r="D15" t="s">
        <v>54</v>
      </c>
      <c r="F15" t="s">
        <v>25</v>
      </c>
      <c r="G15" t="s">
        <v>193</v>
      </c>
      <c r="H15" t="s">
        <v>172</v>
      </c>
      <c r="K15" t="s">
        <v>68</v>
      </c>
      <c r="O15" s="4">
        <f>IF(A15="","",--(COUNTIF($A$2:A15,A15)=1))</f>
        <v>0</v>
      </c>
      <c r="P15" s="4">
        <f>IF(A15="","",--(COUNTIFS($A$2:A15,A15,$F$2:F15,F15)=1))</f>
        <v>0</v>
      </c>
    </row>
    <row r="16" spans="1:16">
      <c r="A16" t="s">
        <v>174</v>
      </c>
      <c r="B16" t="s">
        <v>174</v>
      </c>
      <c r="C16" t="s">
        <v>174</v>
      </c>
      <c r="D16" t="s">
        <v>54</v>
      </c>
      <c r="F16" t="s">
        <v>25</v>
      </c>
      <c r="G16" t="s">
        <v>193</v>
      </c>
      <c r="H16" t="s">
        <v>183</v>
      </c>
      <c r="K16" t="s">
        <v>68</v>
      </c>
      <c r="O16" s="4">
        <f>IF(A16="","",--(COUNTIF($A$2:A16,A16)=1))</f>
        <v>0</v>
      </c>
      <c r="P16" s="4">
        <f>IF(A16="","",--(COUNTIFS($A$2:A16,A16,$F$2:F16,F16)=1))</f>
        <v>0</v>
      </c>
    </row>
    <row r="17" spans="1:16">
      <c r="A17" t="s">
        <v>174</v>
      </c>
      <c r="B17" t="s">
        <v>174</v>
      </c>
      <c r="C17" t="s">
        <v>174</v>
      </c>
      <c r="D17" t="s">
        <v>54</v>
      </c>
      <c r="F17" t="s">
        <v>25</v>
      </c>
      <c r="G17" t="s">
        <v>193</v>
      </c>
      <c r="H17" t="s">
        <v>184</v>
      </c>
      <c r="K17" t="s">
        <v>68</v>
      </c>
      <c r="O17" s="4">
        <f>IF(A17="","",--(COUNTIF($A$2:A17,A17)=1))</f>
        <v>0</v>
      </c>
      <c r="P17" s="4">
        <f>IF(A17="","",--(COUNTIFS($A$2:A17,A17,$F$2:F17,F17)=1))</f>
        <v>0</v>
      </c>
    </row>
    <row r="18" spans="1:16">
      <c r="A18" t="s">
        <v>174</v>
      </c>
      <c r="B18" t="s">
        <v>174</v>
      </c>
      <c r="C18" t="s">
        <v>174</v>
      </c>
      <c r="D18" t="s">
        <v>54</v>
      </c>
      <c r="F18" t="s">
        <v>25</v>
      </c>
      <c r="G18" t="s">
        <v>193</v>
      </c>
      <c r="H18" t="s">
        <v>185</v>
      </c>
      <c r="K18" t="s">
        <v>68</v>
      </c>
      <c r="O18" s="4">
        <f>IF(A18="","",--(COUNTIF($A$2:A18,A18)=1))</f>
        <v>0</v>
      </c>
      <c r="P18" s="4">
        <f>IF(A18="","",--(COUNTIFS($A$2:A18,A18,$F$2:F18,F18)=1))</f>
        <v>0</v>
      </c>
    </row>
    <row r="19" spans="1:16">
      <c r="A19" t="s">
        <v>174</v>
      </c>
      <c r="B19" t="s">
        <v>174</v>
      </c>
      <c r="C19" t="s">
        <v>174</v>
      </c>
      <c r="D19" t="s">
        <v>54</v>
      </c>
      <c r="F19" t="s">
        <v>25</v>
      </c>
      <c r="G19" t="s">
        <v>193</v>
      </c>
      <c r="H19" t="s">
        <v>186</v>
      </c>
      <c r="K19" t="s">
        <v>68</v>
      </c>
      <c r="O19" s="4">
        <f>IF(A19="","",--(COUNTIF($A$2:A19,A19)=1))</f>
        <v>0</v>
      </c>
      <c r="P19" s="4">
        <f>IF(A19="","",--(COUNTIFS($A$2:A19,A19,$F$2:F19,F19)=1))</f>
        <v>0</v>
      </c>
    </row>
    <row r="20" spans="1:16">
      <c r="A20" t="s">
        <v>175</v>
      </c>
      <c r="B20" t="s">
        <v>175</v>
      </c>
      <c r="C20" t="s">
        <v>175</v>
      </c>
      <c r="D20" t="s">
        <v>54</v>
      </c>
      <c r="F20" t="s">
        <v>25</v>
      </c>
      <c r="G20" t="s">
        <v>193</v>
      </c>
      <c r="H20" t="s">
        <v>55</v>
      </c>
      <c r="K20" t="s">
        <v>68</v>
      </c>
      <c r="O20" s="4">
        <f>IF(A20="","",--(COUNTIF($A$2:A20,A20)=1))</f>
        <v>1</v>
      </c>
      <c r="P20" s="4">
        <f>IF(A20="","",--(COUNTIFS($A$2:A20,A20,$F$2:F20,F20)=1))</f>
        <v>1</v>
      </c>
    </row>
    <row r="21" spans="1:16">
      <c r="A21" t="s">
        <v>175</v>
      </c>
      <c r="B21" t="s">
        <v>175</v>
      </c>
      <c r="C21" t="s">
        <v>175</v>
      </c>
      <c r="D21" t="s">
        <v>54</v>
      </c>
      <c r="F21" t="s">
        <v>25</v>
      </c>
      <c r="G21" t="s">
        <v>193</v>
      </c>
      <c r="H21" t="s">
        <v>172</v>
      </c>
      <c r="K21" t="s">
        <v>68</v>
      </c>
      <c r="O21" s="4">
        <f>IF(A21="","",--(COUNTIF($A$2:A21,A21)=1))</f>
        <v>0</v>
      </c>
      <c r="P21" s="4">
        <f>IF(A21="","",--(COUNTIFS($A$2:A21,A21,$F$2:F21,F21)=1))</f>
        <v>0</v>
      </c>
    </row>
    <row r="22" spans="1:16">
      <c r="A22" t="s">
        <v>175</v>
      </c>
      <c r="B22" t="s">
        <v>175</v>
      </c>
      <c r="C22" t="s">
        <v>175</v>
      </c>
      <c r="D22" t="s">
        <v>54</v>
      </c>
      <c r="F22" t="s">
        <v>25</v>
      </c>
      <c r="G22" t="s">
        <v>193</v>
      </c>
      <c r="H22" t="s">
        <v>183</v>
      </c>
      <c r="K22" t="s">
        <v>68</v>
      </c>
      <c r="O22" s="4">
        <f>IF(A22="","",--(COUNTIF($A$2:A22,A22)=1))</f>
        <v>0</v>
      </c>
      <c r="P22" s="4">
        <f>IF(A22="","",--(COUNTIFS($A$2:A22,A22,$F$2:F22,F22)=1))</f>
        <v>0</v>
      </c>
    </row>
    <row r="23" spans="1:16">
      <c r="A23" t="s">
        <v>175</v>
      </c>
      <c r="B23" t="s">
        <v>175</v>
      </c>
      <c r="C23" t="s">
        <v>175</v>
      </c>
      <c r="D23" t="s">
        <v>54</v>
      </c>
      <c r="F23" t="s">
        <v>25</v>
      </c>
      <c r="G23" t="s">
        <v>193</v>
      </c>
      <c r="H23" t="s">
        <v>184</v>
      </c>
      <c r="K23" t="s">
        <v>68</v>
      </c>
      <c r="O23" s="4">
        <f>IF(A23="","",--(COUNTIF($A$2:A23,A23)=1))</f>
        <v>0</v>
      </c>
      <c r="P23" s="4">
        <f>IF(A23="","",--(COUNTIFS($A$2:A23,A23,$F$2:F23,F23)=1))</f>
        <v>0</v>
      </c>
    </row>
    <row r="24" spans="1:16">
      <c r="A24" t="s">
        <v>175</v>
      </c>
      <c r="B24" t="s">
        <v>175</v>
      </c>
      <c r="C24" t="s">
        <v>175</v>
      </c>
      <c r="D24" t="s">
        <v>54</v>
      </c>
      <c r="F24" t="s">
        <v>25</v>
      </c>
      <c r="G24" t="s">
        <v>193</v>
      </c>
      <c r="H24" t="s">
        <v>185</v>
      </c>
      <c r="K24" t="s">
        <v>68</v>
      </c>
      <c r="O24" s="4">
        <f>IF(A24="","",--(COUNTIF($A$2:A24,A24)=1))</f>
        <v>0</v>
      </c>
      <c r="P24" s="4">
        <f>IF(A24="","",--(COUNTIFS($A$2:A24,A24,$F$2:F24,F24)=1))</f>
        <v>0</v>
      </c>
    </row>
    <row r="25" spans="1:16">
      <c r="A25" t="s">
        <v>175</v>
      </c>
      <c r="B25" t="s">
        <v>175</v>
      </c>
      <c r="C25" t="s">
        <v>175</v>
      </c>
      <c r="D25" t="s">
        <v>54</v>
      </c>
      <c r="F25" t="s">
        <v>25</v>
      </c>
      <c r="G25" t="s">
        <v>193</v>
      </c>
      <c r="H25" t="s">
        <v>186</v>
      </c>
      <c r="K25" t="s">
        <v>68</v>
      </c>
      <c r="O25" s="4">
        <f>IF(A25="","",--(COUNTIF($A$2:A25,A25)=1))</f>
        <v>0</v>
      </c>
      <c r="P25" s="4">
        <f>IF(A25="","",--(COUNTIFS($A$2:A25,A25,$F$2:F25,F25)=1))</f>
        <v>0</v>
      </c>
    </row>
    <row r="26" spans="1:16">
      <c r="A26" t="s">
        <v>176</v>
      </c>
      <c r="B26" t="s">
        <v>176</v>
      </c>
      <c r="C26" t="s">
        <v>176</v>
      </c>
      <c r="D26" t="s">
        <v>54</v>
      </c>
      <c r="F26" t="s">
        <v>25</v>
      </c>
      <c r="G26" t="s">
        <v>193</v>
      </c>
      <c r="H26" t="s">
        <v>55</v>
      </c>
      <c r="K26" t="s">
        <v>3</v>
      </c>
      <c r="O26" s="4">
        <f>IF(A26="","",--(COUNTIF($A$2:A26,A26)=1))</f>
        <v>1</v>
      </c>
      <c r="P26" s="4">
        <f>IF(A26="","",--(COUNTIFS($A$2:A26,A26,$F$2:F26,F26)=1))</f>
        <v>1</v>
      </c>
    </row>
    <row r="27" spans="1:16">
      <c r="A27" t="s">
        <v>176</v>
      </c>
      <c r="B27" t="s">
        <v>176</v>
      </c>
      <c r="C27" t="s">
        <v>176</v>
      </c>
      <c r="D27" t="s">
        <v>54</v>
      </c>
      <c r="F27" t="s">
        <v>25</v>
      </c>
      <c r="G27" t="s">
        <v>193</v>
      </c>
      <c r="H27" t="s">
        <v>172</v>
      </c>
      <c r="K27" t="s">
        <v>3</v>
      </c>
      <c r="O27" s="4">
        <f>IF(A27="","",--(COUNTIF($A$2:A27,A27)=1))</f>
        <v>0</v>
      </c>
      <c r="P27" s="4">
        <f>IF(A27="","",--(COUNTIFS($A$2:A27,A27,$F$2:F27,F27)=1))</f>
        <v>0</v>
      </c>
    </row>
    <row r="28" spans="1:16">
      <c r="A28" t="s">
        <v>176</v>
      </c>
      <c r="B28" t="s">
        <v>176</v>
      </c>
      <c r="C28" t="s">
        <v>176</v>
      </c>
      <c r="D28" t="s">
        <v>54</v>
      </c>
      <c r="F28" t="s">
        <v>25</v>
      </c>
      <c r="G28" t="s">
        <v>193</v>
      </c>
      <c r="H28" t="s">
        <v>183</v>
      </c>
      <c r="K28" t="s">
        <v>3</v>
      </c>
      <c r="O28" s="4">
        <f>IF(A28="","",--(COUNTIF($A$2:A28,A28)=1))</f>
        <v>0</v>
      </c>
      <c r="P28" s="4">
        <f>IF(A28="","",--(COUNTIFS($A$2:A28,A28,$F$2:F28,F28)=1))</f>
        <v>0</v>
      </c>
    </row>
    <row r="29" spans="1:16">
      <c r="A29" t="s">
        <v>176</v>
      </c>
      <c r="B29" t="s">
        <v>176</v>
      </c>
      <c r="C29" t="s">
        <v>176</v>
      </c>
      <c r="D29" t="s">
        <v>54</v>
      </c>
      <c r="F29" t="s">
        <v>25</v>
      </c>
      <c r="G29" t="s">
        <v>193</v>
      </c>
      <c r="H29" t="s">
        <v>184</v>
      </c>
      <c r="K29" t="s">
        <v>3</v>
      </c>
      <c r="O29" s="4">
        <f>IF(A29="","",--(COUNTIF($A$2:A29,A29)=1))</f>
        <v>0</v>
      </c>
      <c r="P29" s="4">
        <f>IF(A29="","",--(COUNTIFS($A$2:A29,A29,$F$2:F29,F29)=1))</f>
        <v>0</v>
      </c>
    </row>
    <row r="30" spans="1:16">
      <c r="A30" t="s">
        <v>176</v>
      </c>
      <c r="B30" t="s">
        <v>176</v>
      </c>
      <c r="C30" t="s">
        <v>176</v>
      </c>
      <c r="D30" t="s">
        <v>54</v>
      </c>
      <c r="F30" t="s">
        <v>25</v>
      </c>
      <c r="G30" t="s">
        <v>193</v>
      </c>
      <c r="H30" t="s">
        <v>185</v>
      </c>
      <c r="K30" t="s">
        <v>3</v>
      </c>
      <c r="O30" s="4">
        <f>IF(A30="","",--(COUNTIF($A$2:A30,A30)=1))</f>
        <v>0</v>
      </c>
      <c r="P30" s="4">
        <f>IF(A30="","",--(COUNTIFS($A$2:A30,A30,$F$2:F30,F30)=1))</f>
        <v>0</v>
      </c>
    </row>
    <row r="31" spans="1:16">
      <c r="A31" t="s">
        <v>176</v>
      </c>
      <c r="B31" t="s">
        <v>176</v>
      </c>
      <c r="C31" t="s">
        <v>176</v>
      </c>
      <c r="D31" t="s">
        <v>54</v>
      </c>
      <c r="F31" t="s">
        <v>25</v>
      </c>
      <c r="G31" t="s">
        <v>193</v>
      </c>
      <c r="H31" t="s">
        <v>186</v>
      </c>
      <c r="K31" t="s">
        <v>3</v>
      </c>
      <c r="O31" s="4">
        <f>IF(A31="","",--(COUNTIF($A$2:A31,A31)=1))</f>
        <v>0</v>
      </c>
      <c r="P31" s="4">
        <f>IF(A31="","",--(COUNTIFS($A$2:A31,A31,$F$2:F31,F31)=1))</f>
        <v>0</v>
      </c>
    </row>
    <row r="32" spans="1:16">
      <c r="A32" t="s">
        <v>177</v>
      </c>
      <c r="B32" t="s">
        <v>177</v>
      </c>
      <c r="C32" t="s">
        <v>177</v>
      </c>
      <c r="D32" t="s">
        <v>54</v>
      </c>
      <c r="F32" t="s">
        <v>25</v>
      </c>
      <c r="G32" t="s">
        <v>193</v>
      </c>
      <c r="H32" t="s">
        <v>55</v>
      </c>
      <c r="K32" t="s">
        <v>68</v>
      </c>
      <c r="O32" s="4">
        <f>IF(A32="","",--(COUNTIF($A$2:A32,A32)=1))</f>
        <v>1</v>
      </c>
      <c r="P32" s="4">
        <f>IF(A32="","",--(COUNTIFS($A$2:A32,A32,$F$2:F32,F32)=1))</f>
        <v>1</v>
      </c>
    </row>
    <row r="33" spans="1:16">
      <c r="A33" t="s">
        <v>177</v>
      </c>
      <c r="B33" t="s">
        <v>177</v>
      </c>
      <c r="C33" t="s">
        <v>177</v>
      </c>
      <c r="D33" t="s">
        <v>54</v>
      </c>
      <c r="F33" t="s">
        <v>25</v>
      </c>
      <c r="G33" t="s">
        <v>193</v>
      </c>
      <c r="H33" t="s">
        <v>172</v>
      </c>
      <c r="K33" t="s">
        <v>68</v>
      </c>
      <c r="O33" s="4">
        <f>IF(A33="","",--(COUNTIF($A$2:A33,A33)=1))</f>
        <v>0</v>
      </c>
      <c r="P33" s="4">
        <f>IF(A33="","",--(COUNTIFS($A$2:A33,A33,$F$2:F33,F33)=1))</f>
        <v>0</v>
      </c>
    </row>
    <row r="34" spans="1:16">
      <c r="A34" t="s">
        <v>177</v>
      </c>
      <c r="B34" t="s">
        <v>177</v>
      </c>
      <c r="C34" t="s">
        <v>177</v>
      </c>
      <c r="D34" t="s">
        <v>54</v>
      </c>
      <c r="F34" t="s">
        <v>25</v>
      </c>
      <c r="G34" t="s">
        <v>193</v>
      </c>
      <c r="H34" t="s">
        <v>183</v>
      </c>
      <c r="K34" t="s">
        <v>68</v>
      </c>
      <c r="O34" s="4">
        <f>IF(A34="","",--(COUNTIF($A$2:A34,A34)=1))</f>
        <v>0</v>
      </c>
      <c r="P34" s="4">
        <f>IF(A34="","",--(COUNTIFS($A$2:A34,A34,$F$2:F34,F34)=1))</f>
        <v>0</v>
      </c>
    </row>
    <row r="35" spans="1:16">
      <c r="A35" t="s">
        <v>177</v>
      </c>
      <c r="B35" t="s">
        <v>177</v>
      </c>
      <c r="C35" t="s">
        <v>177</v>
      </c>
      <c r="D35" t="s">
        <v>54</v>
      </c>
      <c r="F35" t="s">
        <v>25</v>
      </c>
      <c r="G35" t="s">
        <v>193</v>
      </c>
      <c r="H35" t="s">
        <v>184</v>
      </c>
      <c r="K35" t="s">
        <v>68</v>
      </c>
      <c r="O35" s="4">
        <f>IF(A35="","",--(COUNTIF($A$2:A35,A35)=1))</f>
        <v>0</v>
      </c>
      <c r="P35" s="4">
        <f>IF(A35="","",--(COUNTIFS($A$2:A35,A35,$F$2:F35,F35)=1))</f>
        <v>0</v>
      </c>
    </row>
    <row r="36" spans="1:16">
      <c r="A36" t="s">
        <v>177</v>
      </c>
      <c r="B36" t="s">
        <v>177</v>
      </c>
      <c r="C36" t="s">
        <v>177</v>
      </c>
      <c r="D36" t="s">
        <v>54</v>
      </c>
      <c r="F36" t="s">
        <v>25</v>
      </c>
      <c r="G36" t="s">
        <v>193</v>
      </c>
      <c r="H36" t="s">
        <v>185</v>
      </c>
      <c r="K36" t="s">
        <v>68</v>
      </c>
      <c r="O36" s="4">
        <f>IF(A36="","",--(COUNTIF($A$2:A36,A36)=1))</f>
        <v>0</v>
      </c>
      <c r="P36" s="4">
        <f>IF(A36="","",--(COUNTIFS($A$2:A36,A36,$F$2:F36,F36)=1))</f>
        <v>0</v>
      </c>
    </row>
    <row r="37" spans="1:16">
      <c r="A37" t="s">
        <v>177</v>
      </c>
      <c r="B37" t="s">
        <v>177</v>
      </c>
      <c r="C37" t="s">
        <v>177</v>
      </c>
      <c r="D37" t="s">
        <v>54</v>
      </c>
      <c r="F37" t="s">
        <v>25</v>
      </c>
      <c r="G37" t="s">
        <v>193</v>
      </c>
      <c r="H37" t="s">
        <v>186</v>
      </c>
      <c r="K37" t="s">
        <v>68</v>
      </c>
      <c r="O37" s="4">
        <f>IF(A37="","",--(COUNTIF($A$2:A37,A37)=1))</f>
        <v>0</v>
      </c>
      <c r="P37" s="4">
        <f>IF(A37="","",--(COUNTIFS($A$2:A37,A37,$F$2:F37,F37)=1))</f>
        <v>0</v>
      </c>
    </row>
    <row r="38" spans="1:16">
      <c r="A38" t="s">
        <v>178</v>
      </c>
      <c r="B38" t="s">
        <v>178</v>
      </c>
      <c r="C38" t="s">
        <v>178</v>
      </c>
      <c r="D38" t="s">
        <v>54</v>
      </c>
      <c r="F38" t="s">
        <v>25</v>
      </c>
      <c r="G38" t="s">
        <v>194</v>
      </c>
      <c r="H38" t="s">
        <v>60</v>
      </c>
      <c r="K38" t="s">
        <v>68</v>
      </c>
      <c r="O38" s="4">
        <f>IF(A38="","",--(COUNTIF($A$2:A38,A38)=1))</f>
        <v>1</v>
      </c>
      <c r="P38" s="4">
        <f>IF(A38="","",--(COUNTIFS($A$2:A38,A38,$F$2:F38,F38)=1))</f>
        <v>1</v>
      </c>
    </row>
    <row r="39" spans="1:16">
      <c r="A39" t="s">
        <v>178</v>
      </c>
      <c r="B39" t="s">
        <v>178</v>
      </c>
      <c r="C39" t="s">
        <v>178</v>
      </c>
      <c r="D39" t="s">
        <v>54</v>
      </c>
      <c r="F39" t="s">
        <v>25</v>
      </c>
      <c r="G39" t="s">
        <v>194</v>
      </c>
      <c r="H39" t="s">
        <v>187</v>
      </c>
      <c r="K39" t="s">
        <v>68</v>
      </c>
      <c r="O39" s="4">
        <f>IF(A39="","",--(COUNTIF($A$2:A39,A39)=1))</f>
        <v>0</v>
      </c>
      <c r="P39" s="4">
        <f>IF(A39="","",--(COUNTIFS($A$2:A39,A39,$F$2:F39,F39)=1))</f>
        <v>0</v>
      </c>
    </row>
    <row r="40" spans="1:16">
      <c r="A40" t="s">
        <v>179</v>
      </c>
      <c r="B40" t="s">
        <v>179</v>
      </c>
      <c r="C40" t="s">
        <v>179</v>
      </c>
      <c r="D40" t="s">
        <v>54</v>
      </c>
      <c r="F40" t="s">
        <v>25</v>
      </c>
      <c r="G40" t="s">
        <v>194</v>
      </c>
      <c r="H40" t="s">
        <v>60</v>
      </c>
      <c r="K40" t="s">
        <v>68</v>
      </c>
      <c r="O40" s="4">
        <f>IF(A40="","",--(COUNTIF($A$2:A40,A40)=1))</f>
        <v>1</v>
      </c>
      <c r="P40" s="4">
        <f>IF(A40="","",--(COUNTIFS($A$2:A40,A40,$F$2:F40,F40)=1))</f>
        <v>1</v>
      </c>
    </row>
    <row r="41" spans="1:16">
      <c r="A41" t="s">
        <v>179</v>
      </c>
      <c r="B41" t="s">
        <v>179</v>
      </c>
      <c r="C41" t="s">
        <v>179</v>
      </c>
      <c r="D41" t="s">
        <v>54</v>
      </c>
      <c r="F41" t="s">
        <v>25</v>
      </c>
      <c r="G41" t="s">
        <v>194</v>
      </c>
      <c r="H41" t="s">
        <v>187</v>
      </c>
      <c r="K41" t="s">
        <v>68</v>
      </c>
      <c r="O41" s="4">
        <f>IF(A41="","",--(COUNTIF($A$2:A41,A41)=1))</f>
        <v>0</v>
      </c>
      <c r="P41" s="4">
        <f>IF(A41="","",--(COUNTIFS($A$2:A41,A41,$F$2:F41,F41)=1))</f>
        <v>0</v>
      </c>
    </row>
    <row r="42" spans="1:16">
      <c r="A42" t="s">
        <v>180</v>
      </c>
      <c r="B42" t="s">
        <v>180</v>
      </c>
      <c r="C42" t="s">
        <v>180</v>
      </c>
      <c r="D42" t="s">
        <v>54</v>
      </c>
      <c r="F42" t="s">
        <v>25</v>
      </c>
      <c r="G42" t="s">
        <v>194</v>
      </c>
      <c r="H42" t="s">
        <v>60</v>
      </c>
      <c r="K42" t="s">
        <v>68</v>
      </c>
      <c r="O42" s="4">
        <f>IF(A42="","",--(COUNTIF($A$2:A42,A42)=1))</f>
        <v>1</v>
      </c>
      <c r="P42" s="4">
        <f>IF(A42="","",--(COUNTIFS($A$2:A42,A42,$F$2:F42,F42)=1))</f>
        <v>1</v>
      </c>
    </row>
    <row r="43" spans="1:16">
      <c r="A43" t="s">
        <v>180</v>
      </c>
      <c r="B43" t="s">
        <v>180</v>
      </c>
      <c r="C43" t="s">
        <v>180</v>
      </c>
      <c r="D43" t="s">
        <v>54</v>
      </c>
      <c r="F43" t="s">
        <v>25</v>
      </c>
      <c r="G43" t="s">
        <v>194</v>
      </c>
      <c r="H43" t="s">
        <v>187</v>
      </c>
      <c r="K43" t="s">
        <v>68</v>
      </c>
      <c r="O43" s="4">
        <f>IF(A43="","",--(COUNTIF($A$2:A43,A43)=1))</f>
        <v>0</v>
      </c>
      <c r="P43" s="4">
        <f>IF(A43="","",--(COUNTIFS($A$2:A43,A43,$F$2:F43,F43)=1))</f>
        <v>0</v>
      </c>
    </row>
    <row r="44" spans="1:16">
      <c r="A44" t="s">
        <v>181</v>
      </c>
      <c r="B44" t="s">
        <v>181</v>
      </c>
      <c r="C44" t="s">
        <v>181</v>
      </c>
      <c r="D44" t="s">
        <v>54</v>
      </c>
      <c r="F44" t="s">
        <v>25</v>
      </c>
      <c r="G44" t="s">
        <v>194</v>
      </c>
      <c r="H44" t="s">
        <v>60</v>
      </c>
      <c r="K44" t="s">
        <v>68</v>
      </c>
      <c r="O44" s="4">
        <f>IF(A44="","",--(COUNTIF($A$2:A44,A44)=1))</f>
        <v>1</v>
      </c>
      <c r="P44" s="4">
        <f>IF(A44="","",--(COUNTIFS($A$2:A44,A44,$F$2:F44,F44)=1))</f>
        <v>1</v>
      </c>
    </row>
    <row r="45" spans="1:16">
      <c r="A45" t="s">
        <v>181</v>
      </c>
      <c r="B45" t="s">
        <v>181</v>
      </c>
      <c r="C45" t="s">
        <v>181</v>
      </c>
      <c r="D45" t="s">
        <v>54</v>
      </c>
      <c r="F45" t="s">
        <v>25</v>
      </c>
      <c r="G45" t="s">
        <v>194</v>
      </c>
      <c r="H45" t="s">
        <v>187</v>
      </c>
      <c r="K45" t="s">
        <v>68</v>
      </c>
      <c r="O45" s="4">
        <f>IF(A45="","",--(COUNTIF($A$2:A45,A45)=1))</f>
        <v>0</v>
      </c>
      <c r="P45" s="4">
        <f>IF(A45="","",--(COUNTIFS($A$2:A45,A45,$F$2:F45,F45)=1))</f>
        <v>0</v>
      </c>
    </row>
    <row r="46" spans="1:16">
      <c r="A46" t="s">
        <v>182</v>
      </c>
      <c r="B46" t="s">
        <v>182</v>
      </c>
      <c r="C46" t="s">
        <v>182</v>
      </c>
      <c r="D46" t="s">
        <v>54</v>
      </c>
      <c r="F46" t="s">
        <v>25</v>
      </c>
      <c r="G46" t="s">
        <v>194</v>
      </c>
      <c r="H46" t="s">
        <v>60</v>
      </c>
      <c r="K46" t="s">
        <v>68</v>
      </c>
      <c r="O46" s="4">
        <f>IF(A46="","",--(COUNTIF($A$2:A46,A46)=1))</f>
        <v>1</v>
      </c>
      <c r="P46" s="4">
        <f>IF(A46="","",--(COUNTIFS($A$2:A46,A46,$F$2:F46,F46)=1))</f>
        <v>1</v>
      </c>
    </row>
    <row r="47" spans="1:16">
      <c r="A47" t="s">
        <v>182</v>
      </c>
      <c r="B47" t="s">
        <v>182</v>
      </c>
      <c r="C47" t="s">
        <v>182</v>
      </c>
      <c r="D47" t="s">
        <v>54</v>
      </c>
      <c r="F47" t="s">
        <v>25</v>
      </c>
      <c r="G47" t="s">
        <v>194</v>
      </c>
      <c r="H47" t="s">
        <v>187</v>
      </c>
      <c r="K47" t="s">
        <v>68</v>
      </c>
      <c r="O47" s="4">
        <f>IF(A47="","",--(COUNTIF($A$2:A47,A47)=1))</f>
        <v>0</v>
      </c>
      <c r="P47" s="4">
        <f>IF(A47="","",--(COUNTIFS($A$2:A47,A47,$F$2:F47,F47)=1))</f>
        <v>0</v>
      </c>
    </row>
    <row r="48" spans="1:16">
      <c r="A48" s="5"/>
      <c r="D48" t="s">
        <v>54</v>
      </c>
      <c r="F48" t="s">
        <v>25</v>
      </c>
      <c r="G48" t="s">
        <v>194</v>
      </c>
      <c r="H48" t="s">
        <v>60</v>
      </c>
      <c r="O48" s="4" t="str">
        <f>IF(A48="","",--(COUNTIF($A$2:A48,A48)=1))</f>
        <v/>
      </c>
      <c r="P48" s="4" t="str">
        <f>IF(A48="","",--(COUNTIFS($A$2:A48,A48,$F$2:F48,F48)=1))</f>
        <v/>
      </c>
    </row>
    <row r="49" spans="1:16">
      <c r="A49" s="5"/>
      <c r="D49" t="s">
        <v>54</v>
      </c>
      <c r="F49" t="s">
        <v>25</v>
      </c>
      <c r="G49" t="s">
        <v>194</v>
      </c>
      <c r="H49" t="s">
        <v>187</v>
      </c>
      <c r="O49" s="4" t="str">
        <f>IF(A49="","",--(COUNTIF($A$2:A49,A49)=1))</f>
        <v/>
      </c>
      <c r="P49" s="4" t="str">
        <f>IF(A49="","",--(COUNTIFS($A$2:A49,A49,$F$2:F49,F49)=1))</f>
        <v/>
      </c>
    </row>
    <row r="50" spans="1:16">
      <c r="A50" t="s">
        <v>197</v>
      </c>
      <c r="B50" t="s">
        <v>197</v>
      </c>
      <c r="C50" t="s">
        <v>197</v>
      </c>
      <c r="D50" t="s">
        <v>54</v>
      </c>
      <c r="F50" t="s">
        <v>25</v>
      </c>
      <c r="G50" t="s">
        <v>195</v>
      </c>
      <c r="H50" t="s">
        <v>64</v>
      </c>
      <c r="K50" t="s">
        <v>68</v>
      </c>
      <c r="O50" s="4">
        <f>IF(A50="","",--(COUNTIF($A$2:A50,A50)=1))</f>
        <v>1</v>
      </c>
      <c r="P50" s="4">
        <f>IF(A50="","",--(COUNTIFS($A$2:A50,A50,$F$2:F50,F50)=1))</f>
        <v>1</v>
      </c>
    </row>
    <row r="51" spans="1:16">
      <c r="A51" t="s">
        <v>197</v>
      </c>
      <c r="B51" t="s">
        <v>197</v>
      </c>
      <c r="C51" t="s">
        <v>197</v>
      </c>
      <c r="D51" t="s">
        <v>54</v>
      </c>
      <c r="F51" t="s">
        <v>25</v>
      </c>
      <c r="G51" t="s">
        <v>195</v>
      </c>
      <c r="H51" t="s">
        <v>188</v>
      </c>
      <c r="K51" t="s">
        <v>68</v>
      </c>
      <c r="O51" s="4">
        <f>IF(A51="","",--(COUNTIF($A$2:A51,A51)=1))</f>
        <v>0</v>
      </c>
      <c r="P51" s="4">
        <f>IF(A51="","",--(COUNTIFS($A$2:A51,A51,$F$2:F51,F51)=1))</f>
        <v>0</v>
      </c>
    </row>
    <row r="52" spans="1:16">
      <c r="A52" t="s">
        <v>197</v>
      </c>
      <c r="B52" t="s">
        <v>197</v>
      </c>
      <c r="C52" t="s">
        <v>197</v>
      </c>
      <c r="D52" t="s">
        <v>54</v>
      </c>
      <c r="F52" t="s">
        <v>25</v>
      </c>
      <c r="G52" t="s">
        <v>195</v>
      </c>
      <c r="H52" t="s">
        <v>189</v>
      </c>
      <c r="K52" t="s">
        <v>68</v>
      </c>
      <c r="O52" s="4">
        <f>IF(A52="","",--(COUNTIF($A$2:A52,A52)=1))</f>
        <v>0</v>
      </c>
      <c r="P52" s="4">
        <f>IF(A52="","",--(COUNTIFS($A$2:A52,A52,$F$2:F52,F52)=1))</f>
        <v>0</v>
      </c>
    </row>
    <row r="53" spans="1:16">
      <c r="A53" t="s">
        <v>197</v>
      </c>
      <c r="B53" t="s">
        <v>197</v>
      </c>
      <c r="C53" t="s">
        <v>197</v>
      </c>
      <c r="D53" t="s">
        <v>54</v>
      </c>
      <c r="F53" t="s">
        <v>25</v>
      </c>
      <c r="G53" t="s">
        <v>195</v>
      </c>
      <c r="H53" t="s">
        <v>190</v>
      </c>
      <c r="K53" t="s">
        <v>68</v>
      </c>
      <c r="O53" s="4">
        <f>IF(A53="","",--(COUNTIF($A$2:A53,A53)=1))</f>
        <v>0</v>
      </c>
      <c r="P53" s="4">
        <f>IF(A53="","",--(COUNTIFS($A$2:A53,A53,$F$2:F53,F53)=1))</f>
        <v>0</v>
      </c>
    </row>
    <row r="54" spans="1:16">
      <c r="A54" t="s">
        <v>198</v>
      </c>
      <c r="B54" t="s">
        <v>198</v>
      </c>
      <c r="C54" t="s">
        <v>198</v>
      </c>
      <c r="D54" t="s">
        <v>54</v>
      </c>
      <c r="F54" t="s">
        <v>25</v>
      </c>
      <c r="G54" t="s">
        <v>195</v>
      </c>
      <c r="H54" t="s">
        <v>64</v>
      </c>
      <c r="K54" t="s">
        <v>68</v>
      </c>
      <c r="O54" s="4">
        <f>IF(A54="","",--(COUNTIF($A$2:A54,A54)=1))</f>
        <v>1</v>
      </c>
      <c r="P54" s="4">
        <f>IF(A54="","",--(COUNTIFS($A$2:A54,A54,$F$2:F54,F54)=1))</f>
        <v>1</v>
      </c>
    </row>
    <row r="55" spans="1:16">
      <c r="A55" t="s">
        <v>198</v>
      </c>
      <c r="B55" t="s">
        <v>198</v>
      </c>
      <c r="C55" t="s">
        <v>198</v>
      </c>
      <c r="D55" t="s">
        <v>54</v>
      </c>
      <c r="F55" t="s">
        <v>25</v>
      </c>
      <c r="G55" t="s">
        <v>195</v>
      </c>
      <c r="H55" t="s">
        <v>188</v>
      </c>
      <c r="K55" t="s">
        <v>68</v>
      </c>
      <c r="O55" s="4">
        <f>IF(A55="","",--(COUNTIF($A$2:A55,A55)=1))</f>
        <v>0</v>
      </c>
      <c r="P55" s="4">
        <f>IF(A55="","",--(COUNTIFS($A$2:A55,A55,$F$2:F55,F55)=1))</f>
        <v>0</v>
      </c>
    </row>
    <row r="56" spans="1:16">
      <c r="A56" t="s">
        <v>198</v>
      </c>
      <c r="B56" t="s">
        <v>198</v>
      </c>
      <c r="C56" t="s">
        <v>198</v>
      </c>
      <c r="D56" t="s">
        <v>54</v>
      </c>
      <c r="F56" t="s">
        <v>25</v>
      </c>
      <c r="G56" t="s">
        <v>195</v>
      </c>
      <c r="H56" t="s">
        <v>189</v>
      </c>
      <c r="K56" t="s">
        <v>68</v>
      </c>
      <c r="O56" s="4">
        <f>IF(A56="","",--(COUNTIF($A$2:A56,A56)=1))</f>
        <v>0</v>
      </c>
      <c r="P56" s="4">
        <f>IF(A56="","",--(COUNTIFS($A$2:A56,A56,$F$2:F56,F56)=1))</f>
        <v>0</v>
      </c>
    </row>
    <row r="57" spans="1:16">
      <c r="A57" t="s">
        <v>198</v>
      </c>
      <c r="B57" t="s">
        <v>198</v>
      </c>
      <c r="C57" t="s">
        <v>198</v>
      </c>
      <c r="D57" t="s">
        <v>54</v>
      </c>
      <c r="F57" t="s">
        <v>25</v>
      </c>
      <c r="G57" t="s">
        <v>195</v>
      </c>
      <c r="H57" t="s">
        <v>190</v>
      </c>
      <c r="K57" t="s">
        <v>68</v>
      </c>
      <c r="O57" s="4">
        <f>IF(A57="","",--(COUNTIF($A$2:A57,A57)=1))</f>
        <v>0</v>
      </c>
      <c r="P57" s="4">
        <f>IF(A57="","",--(COUNTIFS($A$2:A57,A57,$F$2:F57,F57)=1))</f>
        <v>0</v>
      </c>
    </row>
    <row r="58" spans="1:16">
      <c r="A58" t="s">
        <v>199</v>
      </c>
      <c r="B58" t="s">
        <v>199</v>
      </c>
      <c r="C58" t="s">
        <v>199</v>
      </c>
      <c r="D58" t="s">
        <v>54</v>
      </c>
      <c r="F58" t="s">
        <v>25</v>
      </c>
      <c r="G58" t="s">
        <v>195</v>
      </c>
      <c r="H58" t="s">
        <v>64</v>
      </c>
      <c r="K58" t="s">
        <v>68</v>
      </c>
      <c r="O58" s="4">
        <f>IF(A58="","",--(COUNTIF($A$2:A58,A58)=1))</f>
        <v>1</v>
      </c>
      <c r="P58" s="4">
        <f>IF(A58="","",--(COUNTIFS($A$2:A58,A58,$F$2:F58,F58)=1))</f>
        <v>1</v>
      </c>
    </row>
    <row r="59" spans="1:16">
      <c r="A59" t="s">
        <v>199</v>
      </c>
      <c r="B59" t="s">
        <v>199</v>
      </c>
      <c r="C59" t="s">
        <v>199</v>
      </c>
      <c r="D59" t="s">
        <v>54</v>
      </c>
      <c r="F59" t="s">
        <v>25</v>
      </c>
      <c r="G59" t="s">
        <v>195</v>
      </c>
      <c r="H59" t="s">
        <v>188</v>
      </c>
      <c r="K59" t="s">
        <v>68</v>
      </c>
      <c r="O59" s="4">
        <f>IF(A59="","",--(COUNTIF($A$2:A59,A59)=1))</f>
        <v>0</v>
      </c>
      <c r="P59" s="4">
        <f>IF(A59="","",--(COUNTIFS($A$2:A59,A59,$F$2:F59,F59)=1))</f>
        <v>0</v>
      </c>
    </row>
    <row r="60" spans="1:16">
      <c r="A60" t="s">
        <v>199</v>
      </c>
      <c r="B60" t="s">
        <v>199</v>
      </c>
      <c r="C60" t="s">
        <v>199</v>
      </c>
      <c r="D60" t="s">
        <v>54</v>
      </c>
      <c r="F60" t="s">
        <v>25</v>
      </c>
      <c r="G60" t="s">
        <v>195</v>
      </c>
      <c r="H60" t="s">
        <v>189</v>
      </c>
      <c r="K60" t="s">
        <v>68</v>
      </c>
      <c r="O60" s="4">
        <f>IF(A60="","",--(COUNTIF($A$2:A60,A60)=1))</f>
        <v>0</v>
      </c>
      <c r="P60" s="4">
        <f>IF(A60="","",--(COUNTIFS($A$2:A60,A60,$F$2:F60,F60)=1))</f>
        <v>0</v>
      </c>
    </row>
    <row r="61" spans="1:16">
      <c r="A61" t="s">
        <v>199</v>
      </c>
      <c r="B61" t="s">
        <v>199</v>
      </c>
      <c r="C61" t="s">
        <v>199</v>
      </c>
      <c r="D61" t="s">
        <v>54</v>
      </c>
      <c r="F61" t="s">
        <v>25</v>
      </c>
      <c r="G61" t="s">
        <v>195</v>
      </c>
      <c r="H61" t="s">
        <v>190</v>
      </c>
      <c r="K61" t="s">
        <v>68</v>
      </c>
      <c r="O61" s="4">
        <f>IF(A61="","",--(COUNTIF($A$2:A61,A61)=1))</f>
        <v>0</v>
      </c>
      <c r="P61" s="4">
        <f>IF(A61="","",--(COUNTIFS($A$2:A61,A61,$F$2:F61,F61)=1))</f>
        <v>0</v>
      </c>
    </row>
    <row r="62" spans="1:16">
      <c r="A62" t="s">
        <v>200</v>
      </c>
      <c r="B62" t="s">
        <v>200</v>
      </c>
      <c r="C62" t="s">
        <v>200</v>
      </c>
      <c r="D62" t="s">
        <v>54</v>
      </c>
      <c r="F62" t="s">
        <v>25</v>
      </c>
      <c r="G62" t="s">
        <v>195</v>
      </c>
      <c r="H62" t="s">
        <v>64</v>
      </c>
      <c r="K62" t="s">
        <v>68</v>
      </c>
      <c r="O62" s="4">
        <f>IF(A62="","",--(COUNTIF($A$2:A62,A62)=1))</f>
        <v>1</v>
      </c>
      <c r="P62" s="4">
        <f>IF(A62="","",--(COUNTIFS($A$2:A62,A62,$F$2:F62,F62)=1))</f>
        <v>1</v>
      </c>
    </row>
    <row r="63" spans="1:16">
      <c r="A63" t="s">
        <v>200</v>
      </c>
      <c r="B63" t="s">
        <v>200</v>
      </c>
      <c r="C63" t="s">
        <v>200</v>
      </c>
      <c r="D63" t="s">
        <v>54</v>
      </c>
      <c r="F63" t="s">
        <v>25</v>
      </c>
      <c r="G63" t="s">
        <v>195</v>
      </c>
      <c r="H63" t="s">
        <v>188</v>
      </c>
      <c r="K63" t="s">
        <v>68</v>
      </c>
      <c r="O63" s="4">
        <f>IF(A63="","",--(COUNTIF($A$2:A63,A63)=1))</f>
        <v>0</v>
      </c>
      <c r="P63" s="4">
        <f>IF(A63="","",--(COUNTIFS($A$2:A63,A63,$F$2:F63,F63)=1))</f>
        <v>0</v>
      </c>
    </row>
    <row r="64" spans="1:16">
      <c r="A64" t="s">
        <v>200</v>
      </c>
      <c r="B64" t="s">
        <v>200</v>
      </c>
      <c r="C64" t="s">
        <v>200</v>
      </c>
      <c r="D64" t="s">
        <v>54</v>
      </c>
      <c r="F64" t="s">
        <v>25</v>
      </c>
      <c r="G64" t="s">
        <v>195</v>
      </c>
      <c r="H64" t="s">
        <v>189</v>
      </c>
      <c r="K64" t="s">
        <v>68</v>
      </c>
      <c r="O64" s="4">
        <f>IF(A64="","",--(COUNTIF($A$2:A64,A64)=1))</f>
        <v>0</v>
      </c>
      <c r="P64" s="4">
        <f>IF(A64="","",--(COUNTIFS($A$2:A64,A64,$F$2:F64,F64)=1))</f>
        <v>0</v>
      </c>
    </row>
    <row r="65" spans="1:16">
      <c r="A65" t="s">
        <v>200</v>
      </c>
      <c r="B65" t="s">
        <v>200</v>
      </c>
      <c r="C65" t="s">
        <v>200</v>
      </c>
      <c r="D65" t="s">
        <v>54</v>
      </c>
      <c r="F65" t="s">
        <v>25</v>
      </c>
      <c r="G65" t="s">
        <v>195</v>
      </c>
      <c r="H65" t="s">
        <v>190</v>
      </c>
      <c r="K65" t="s">
        <v>68</v>
      </c>
      <c r="O65" s="4">
        <f>IF(A65="","",--(COUNTIF($A$2:A65,A65)=1))</f>
        <v>0</v>
      </c>
      <c r="P65" s="4">
        <f>IF(A65="","",--(COUNTIFS($A$2:A65,A65,$F$2:F65,F65)=1))</f>
        <v>0</v>
      </c>
    </row>
    <row r="66" spans="1:16">
      <c r="A66" t="s">
        <v>201</v>
      </c>
      <c r="B66" t="s">
        <v>201</v>
      </c>
      <c r="C66" t="s">
        <v>201</v>
      </c>
      <c r="D66" t="s">
        <v>54</v>
      </c>
      <c r="F66" t="s">
        <v>25</v>
      </c>
      <c r="G66" t="s">
        <v>195</v>
      </c>
      <c r="H66" t="s">
        <v>64</v>
      </c>
      <c r="K66" t="s">
        <v>68</v>
      </c>
      <c r="O66" s="4">
        <f>IF(A66="","",--(COUNTIF($A$2:A66,A66)=1))</f>
        <v>1</v>
      </c>
      <c r="P66" s="4">
        <f>IF(A66="","",--(COUNTIFS($A$2:A66,A66,$F$2:F66,F66)=1))</f>
        <v>1</v>
      </c>
    </row>
    <row r="67" spans="1:16">
      <c r="A67" t="s">
        <v>201</v>
      </c>
      <c r="B67" t="s">
        <v>201</v>
      </c>
      <c r="C67" t="s">
        <v>201</v>
      </c>
      <c r="D67" t="s">
        <v>54</v>
      </c>
      <c r="F67" t="s">
        <v>25</v>
      </c>
      <c r="G67" t="s">
        <v>195</v>
      </c>
      <c r="H67" t="s">
        <v>188</v>
      </c>
      <c r="K67" t="s">
        <v>68</v>
      </c>
      <c r="O67" s="4">
        <f>IF(A67="","",--(COUNTIF($A$2:A67,A67)=1))</f>
        <v>0</v>
      </c>
      <c r="P67" s="4">
        <f>IF(A67="","",--(COUNTIFS($A$2:A67,A67,$F$2:F67,F67)=1))</f>
        <v>0</v>
      </c>
    </row>
    <row r="68" spans="1:16">
      <c r="A68" t="s">
        <v>201</v>
      </c>
      <c r="B68" t="s">
        <v>201</v>
      </c>
      <c r="C68" t="s">
        <v>201</v>
      </c>
      <c r="D68" t="s">
        <v>54</v>
      </c>
      <c r="F68" t="s">
        <v>25</v>
      </c>
      <c r="G68" t="s">
        <v>195</v>
      </c>
      <c r="H68" t="s">
        <v>189</v>
      </c>
      <c r="K68" t="s">
        <v>68</v>
      </c>
      <c r="O68" s="4">
        <f>IF(A68="","",--(COUNTIF($A$2:A68,A68)=1))</f>
        <v>0</v>
      </c>
      <c r="P68" s="4">
        <f>IF(A68="","",--(COUNTIFS($A$2:A68,A68,$F$2:F68,F68)=1))</f>
        <v>0</v>
      </c>
    </row>
    <row r="69" spans="1:16">
      <c r="A69" t="s">
        <v>201</v>
      </c>
      <c r="B69" t="s">
        <v>201</v>
      </c>
      <c r="C69" t="s">
        <v>201</v>
      </c>
      <c r="D69" t="s">
        <v>54</v>
      </c>
      <c r="F69" t="s">
        <v>25</v>
      </c>
      <c r="G69" t="s">
        <v>195</v>
      </c>
      <c r="H69" t="s">
        <v>190</v>
      </c>
      <c r="K69" t="s">
        <v>68</v>
      </c>
      <c r="O69" s="4">
        <f>IF(A69="","",--(COUNTIF($A$2:A69,A69)=1))</f>
        <v>0</v>
      </c>
      <c r="P69" s="4">
        <f>IF(A69="","",--(COUNTIFS($A$2:A69,A69,$F$2:F69,F69)=1))</f>
        <v>0</v>
      </c>
    </row>
    <row r="70" spans="1:16">
      <c r="A70" t="s">
        <v>202</v>
      </c>
      <c r="B70" t="s">
        <v>202</v>
      </c>
      <c r="C70" t="s">
        <v>202</v>
      </c>
      <c r="D70" t="s">
        <v>54</v>
      </c>
      <c r="F70" t="s">
        <v>25</v>
      </c>
      <c r="G70" t="s">
        <v>196</v>
      </c>
      <c r="H70" t="s">
        <v>66</v>
      </c>
      <c r="K70" t="s">
        <v>68</v>
      </c>
      <c r="O70" s="4">
        <f>IF(A70="","",--(COUNTIF($A$2:A70,A70)=1))</f>
        <v>1</v>
      </c>
      <c r="P70" s="4">
        <f>IF(A70="","",--(COUNTIFS($A$2:A70,A70,$F$2:F70,F70)=1))</f>
        <v>1</v>
      </c>
    </row>
    <row r="71" spans="1:16">
      <c r="A71" t="s">
        <v>202</v>
      </c>
      <c r="B71" t="s">
        <v>202</v>
      </c>
      <c r="C71" t="s">
        <v>202</v>
      </c>
      <c r="D71" t="s">
        <v>54</v>
      </c>
      <c r="F71" t="s">
        <v>25</v>
      </c>
      <c r="G71" t="s">
        <v>196</v>
      </c>
      <c r="H71" t="s">
        <v>191</v>
      </c>
      <c r="K71" t="s">
        <v>68</v>
      </c>
      <c r="O71" s="4">
        <f>IF(A71="","",--(COUNTIF($A$2:A71,A71)=1))</f>
        <v>0</v>
      </c>
      <c r="P71" s="4">
        <f>IF(A71="","",--(COUNTIFS($A$2:A71,A71,$F$2:F71,F71)=1))</f>
        <v>0</v>
      </c>
    </row>
    <row r="72" spans="1:16">
      <c r="A72" t="s">
        <v>202</v>
      </c>
      <c r="B72" t="s">
        <v>202</v>
      </c>
      <c r="C72" t="s">
        <v>202</v>
      </c>
      <c r="D72" t="s">
        <v>54</v>
      </c>
      <c r="F72" t="s">
        <v>25</v>
      </c>
      <c r="G72" t="s">
        <v>196</v>
      </c>
      <c r="H72" t="s">
        <v>192</v>
      </c>
      <c r="K72" t="s">
        <v>68</v>
      </c>
      <c r="O72" s="4">
        <f>IF(A72="","",--(COUNTIF($A$2:A72,A72)=1))</f>
        <v>0</v>
      </c>
      <c r="P72" s="4">
        <f>IF(A72="","",--(COUNTIFS($A$2:A72,A72,$F$2:F72,F72)=1))</f>
        <v>0</v>
      </c>
    </row>
    <row r="73" spans="1:16">
      <c r="A73" t="s">
        <v>203</v>
      </c>
      <c r="B73" t="s">
        <v>203</v>
      </c>
      <c r="C73" t="s">
        <v>203</v>
      </c>
      <c r="D73" t="s">
        <v>54</v>
      </c>
      <c r="F73" t="s">
        <v>25</v>
      </c>
      <c r="G73" t="s">
        <v>196</v>
      </c>
      <c r="H73" t="s">
        <v>66</v>
      </c>
      <c r="K73" t="s">
        <v>68</v>
      </c>
      <c r="O73" s="4">
        <f>IF(A73="","",--(COUNTIF($A$2:A73,A73)=1))</f>
        <v>1</v>
      </c>
      <c r="P73" s="4">
        <f>IF(A73="","",--(COUNTIFS($A$2:A73,A73,$F$2:F73,F73)=1))</f>
        <v>1</v>
      </c>
    </row>
    <row r="74" spans="1:16">
      <c r="A74" t="s">
        <v>203</v>
      </c>
      <c r="B74" t="s">
        <v>203</v>
      </c>
      <c r="C74" t="s">
        <v>203</v>
      </c>
      <c r="D74" t="s">
        <v>54</v>
      </c>
      <c r="F74" t="s">
        <v>25</v>
      </c>
      <c r="G74" t="s">
        <v>196</v>
      </c>
      <c r="H74" t="s">
        <v>191</v>
      </c>
      <c r="K74" t="s">
        <v>68</v>
      </c>
      <c r="O74" s="4">
        <f>IF(A74="","",--(COUNTIF($A$2:A74,A74)=1))</f>
        <v>0</v>
      </c>
      <c r="P74" s="4">
        <f>IF(A74="","",--(COUNTIFS($A$2:A74,A74,$F$2:F74,F74)=1))</f>
        <v>0</v>
      </c>
    </row>
    <row r="75" spans="1:16">
      <c r="A75" t="s">
        <v>203</v>
      </c>
      <c r="B75" t="s">
        <v>203</v>
      </c>
      <c r="C75" t="s">
        <v>203</v>
      </c>
      <c r="D75" t="s">
        <v>54</v>
      </c>
      <c r="F75" t="s">
        <v>25</v>
      </c>
      <c r="G75" t="s">
        <v>196</v>
      </c>
      <c r="H75" t="s">
        <v>192</v>
      </c>
      <c r="K75" t="s">
        <v>68</v>
      </c>
      <c r="O75" s="4">
        <f>IF(A75="","",--(COUNTIF($A$2:A75,A75)=1))</f>
        <v>0</v>
      </c>
      <c r="P75" s="4">
        <f>IF(A75="","",--(COUNTIFS($A$2:A75,A75,$F$2:F75,F75)=1))</f>
        <v>0</v>
      </c>
    </row>
    <row r="76" spans="1:16">
      <c r="A76" t="s">
        <v>204</v>
      </c>
      <c r="B76" t="s">
        <v>204</v>
      </c>
      <c r="C76" t="s">
        <v>204</v>
      </c>
      <c r="D76" t="s">
        <v>54</v>
      </c>
      <c r="F76" t="s">
        <v>25</v>
      </c>
      <c r="G76" t="s">
        <v>196</v>
      </c>
      <c r="H76" t="s">
        <v>66</v>
      </c>
      <c r="K76" t="s">
        <v>68</v>
      </c>
      <c r="O76" s="4">
        <f>IF(A76="","",--(COUNTIF($A$2:A76,A76)=1))</f>
        <v>1</v>
      </c>
      <c r="P76" s="4">
        <f>IF(A76="","",--(COUNTIFS($A$2:A76,A76,$F$2:F76,F76)=1))</f>
        <v>1</v>
      </c>
    </row>
    <row r="77" spans="1:16">
      <c r="A77" t="s">
        <v>204</v>
      </c>
      <c r="B77" t="s">
        <v>204</v>
      </c>
      <c r="C77" t="s">
        <v>204</v>
      </c>
      <c r="D77" t="s">
        <v>54</v>
      </c>
      <c r="F77" t="s">
        <v>25</v>
      </c>
      <c r="G77" t="s">
        <v>196</v>
      </c>
      <c r="H77" t="s">
        <v>191</v>
      </c>
      <c r="K77" t="s">
        <v>68</v>
      </c>
      <c r="O77" s="4">
        <f>IF(A77="","",--(COUNTIF($A$2:A77,A77)=1))</f>
        <v>0</v>
      </c>
      <c r="P77" s="4">
        <f>IF(A77="","",--(COUNTIFS($A$2:A77,A77,$F$2:F77,F77)=1))</f>
        <v>0</v>
      </c>
    </row>
    <row r="78" spans="1:16">
      <c r="A78" t="s">
        <v>204</v>
      </c>
      <c r="B78" t="s">
        <v>204</v>
      </c>
      <c r="C78" t="s">
        <v>204</v>
      </c>
      <c r="D78" t="s">
        <v>54</v>
      </c>
      <c r="F78" t="s">
        <v>25</v>
      </c>
      <c r="G78" t="s">
        <v>196</v>
      </c>
      <c r="H78" t="s">
        <v>192</v>
      </c>
      <c r="K78" t="s">
        <v>68</v>
      </c>
      <c r="O78" s="4">
        <f>IF(A78="","",--(COUNTIF($A$2:A78,A78)=1))</f>
        <v>0</v>
      </c>
      <c r="P78" s="4">
        <f>IF(A78="","",--(COUNTIFS($A$2:A78,A78,$F$2:F78,F78)=1))</f>
        <v>0</v>
      </c>
    </row>
    <row r="79" spans="1:16">
      <c r="A79" t="s">
        <v>205</v>
      </c>
      <c r="B79" t="s">
        <v>205</v>
      </c>
      <c r="C79" t="s">
        <v>205</v>
      </c>
      <c r="D79" t="s">
        <v>54</v>
      </c>
      <c r="F79" t="s">
        <v>25</v>
      </c>
      <c r="G79" t="s">
        <v>196</v>
      </c>
      <c r="H79" t="s">
        <v>66</v>
      </c>
      <c r="K79" t="s">
        <v>68</v>
      </c>
      <c r="O79" s="4">
        <f>IF(A79="","",--(COUNTIF($A$2:A79,A79)=1))</f>
        <v>1</v>
      </c>
      <c r="P79" s="4">
        <f>IF(A79="","",--(COUNTIFS($A$2:A79,A79,$F$2:F79,F79)=1))</f>
        <v>1</v>
      </c>
    </row>
    <row r="80" spans="1:16">
      <c r="A80" t="s">
        <v>205</v>
      </c>
      <c r="B80" t="s">
        <v>205</v>
      </c>
      <c r="C80" t="s">
        <v>205</v>
      </c>
      <c r="D80" t="s">
        <v>54</v>
      </c>
      <c r="F80" t="s">
        <v>25</v>
      </c>
      <c r="G80" t="s">
        <v>196</v>
      </c>
      <c r="H80" t="s">
        <v>191</v>
      </c>
      <c r="K80" t="s">
        <v>68</v>
      </c>
      <c r="O80" s="4">
        <f>IF(A80="","",--(COUNTIF($A$2:A80,A80)=1))</f>
        <v>0</v>
      </c>
      <c r="P80" s="4">
        <f>IF(A80="","",--(COUNTIFS($A$2:A80,A80,$F$2:F80,F80)=1))</f>
        <v>0</v>
      </c>
    </row>
    <row r="81" spans="1:16">
      <c r="A81" t="s">
        <v>205</v>
      </c>
      <c r="B81" t="s">
        <v>205</v>
      </c>
      <c r="C81" t="s">
        <v>205</v>
      </c>
      <c r="D81" t="s">
        <v>54</v>
      </c>
      <c r="F81" t="s">
        <v>25</v>
      </c>
      <c r="G81" t="s">
        <v>196</v>
      </c>
      <c r="H81" t="s">
        <v>192</v>
      </c>
      <c r="K81" t="s">
        <v>68</v>
      </c>
      <c r="O81" s="4">
        <f>IF(A81="","",--(COUNTIF($A$2:A81,A81)=1))</f>
        <v>0</v>
      </c>
      <c r="P81" s="4">
        <f>IF(A81="","",--(COUNTIFS($A$2:A81,A81,$F$2:F81,F81)=1))</f>
        <v>0</v>
      </c>
    </row>
    <row r="82" spans="1:16">
      <c r="A82" t="s">
        <v>206</v>
      </c>
      <c r="B82" t="s">
        <v>206</v>
      </c>
      <c r="C82" t="s">
        <v>206</v>
      </c>
      <c r="D82" t="s">
        <v>54</v>
      </c>
      <c r="F82" t="s">
        <v>25</v>
      </c>
      <c r="G82" t="s">
        <v>196</v>
      </c>
      <c r="H82" t="s">
        <v>66</v>
      </c>
      <c r="K82" t="s">
        <v>68</v>
      </c>
      <c r="O82" s="4">
        <f>IF(A82="","",--(COUNTIF($A$2:A82,A82)=1))</f>
        <v>1</v>
      </c>
      <c r="P82" s="4">
        <f>IF(A82="","",--(COUNTIFS($A$2:A82,A82,$F$2:F82,F82)=1))</f>
        <v>1</v>
      </c>
    </row>
    <row r="83" spans="1:16">
      <c r="A83" t="s">
        <v>206</v>
      </c>
      <c r="B83" t="s">
        <v>206</v>
      </c>
      <c r="C83" t="s">
        <v>206</v>
      </c>
      <c r="D83" t="s">
        <v>54</v>
      </c>
      <c r="F83" t="s">
        <v>25</v>
      </c>
      <c r="G83" t="s">
        <v>196</v>
      </c>
      <c r="H83" t="s">
        <v>191</v>
      </c>
      <c r="K83" t="s">
        <v>68</v>
      </c>
      <c r="O83" s="4">
        <f>IF(A83="","",--(COUNTIF($A$2:A83,A83)=1))</f>
        <v>0</v>
      </c>
      <c r="P83" s="4">
        <f>IF(A83="","",--(COUNTIFS($A$2:A83,A83,$F$2:F83,F83)=1))</f>
        <v>0</v>
      </c>
    </row>
    <row r="84" spans="1:16">
      <c r="A84" t="s">
        <v>206</v>
      </c>
      <c r="B84" t="s">
        <v>206</v>
      </c>
      <c r="C84" t="s">
        <v>206</v>
      </c>
      <c r="D84" t="s">
        <v>54</v>
      </c>
      <c r="F84" t="s">
        <v>25</v>
      </c>
      <c r="G84" t="s">
        <v>196</v>
      </c>
      <c r="H84" t="s">
        <v>192</v>
      </c>
      <c r="K84" t="s">
        <v>68</v>
      </c>
      <c r="O84" s="4">
        <f>IF(A84="","",--(COUNTIF($A$2:A84,A84)=1))</f>
        <v>0</v>
      </c>
      <c r="P84" s="4">
        <f>IF(A84="","",--(COUNTIFS($A$2:A84,A84,$F$2:F84,F84)=1))</f>
        <v>0</v>
      </c>
    </row>
    <row r="85" spans="1:16">
      <c r="A85" t="s">
        <v>207</v>
      </c>
      <c r="B85" t="s">
        <v>207</v>
      </c>
      <c r="C85" t="s">
        <v>207</v>
      </c>
      <c r="D85" t="s">
        <v>54</v>
      </c>
      <c r="F85" t="s">
        <v>25</v>
      </c>
      <c r="G85" t="s">
        <v>196</v>
      </c>
      <c r="H85" t="s">
        <v>66</v>
      </c>
      <c r="K85" t="s">
        <v>68</v>
      </c>
      <c r="O85" s="4">
        <f>IF(A85="","",--(COUNTIF($A$2:A85,A85)=1))</f>
        <v>1</v>
      </c>
      <c r="P85" s="4">
        <f>IF(A85="","",--(COUNTIFS($A$2:A85,A85,$F$2:F85,F85)=1))</f>
        <v>1</v>
      </c>
    </row>
    <row r="86" spans="1:16">
      <c r="A86" t="s">
        <v>207</v>
      </c>
      <c r="B86" t="s">
        <v>207</v>
      </c>
      <c r="C86" t="s">
        <v>207</v>
      </c>
      <c r="D86" t="s">
        <v>54</v>
      </c>
      <c r="F86" t="s">
        <v>25</v>
      </c>
      <c r="G86" t="s">
        <v>196</v>
      </c>
      <c r="H86" t="s">
        <v>191</v>
      </c>
      <c r="K86" t="s">
        <v>68</v>
      </c>
      <c r="O86" s="4">
        <f>IF(A86="","",--(COUNTIF($A$2:A86,A86)=1))</f>
        <v>0</v>
      </c>
      <c r="P86" s="4">
        <f>IF(A86="","",--(COUNTIFS($A$2:A86,A86,$F$2:F86,F86)=1))</f>
        <v>0</v>
      </c>
    </row>
    <row r="87" spans="1:16">
      <c r="A87" t="s">
        <v>207</v>
      </c>
      <c r="B87" t="s">
        <v>207</v>
      </c>
      <c r="C87" t="s">
        <v>207</v>
      </c>
      <c r="D87" t="s">
        <v>54</v>
      </c>
      <c r="F87" t="s">
        <v>25</v>
      </c>
      <c r="G87" t="s">
        <v>196</v>
      </c>
      <c r="H87" t="s">
        <v>192</v>
      </c>
      <c r="K87" t="s">
        <v>68</v>
      </c>
      <c r="O87" s="4">
        <f>IF(A87="","",--(COUNTIF($A$2:A87,A87)=1))</f>
        <v>0</v>
      </c>
      <c r="P87" s="4">
        <f>IF(A87="","",--(COUNTIFS($A$2:A87,A87,$F$2:F87,F87)=1))</f>
        <v>0</v>
      </c>
    </row>
    <row r="88" spans="1:16">
      <c r="A88" t="s">
        <v>208</v>
      </c>
      <c r="B88" t="s">
        <v>208</v>
      </c>
      <c r="C88" t="s">
        <v>208</v>
      </c>
      <c r="D88" t="s">
        <v>54</v>
      </c>
      <c r="F88" t="s">
        <v>25</v>
      </c>
      <c r="G88" t="s">
        <v>195</v>
      </c>
      <c r="H88" t="s">
        <v>64</v>
      </c>
      <c r="K88" t="s">
        <v>68</v>
      </c>
      <c r="O88" s="4">
        <f>IF(A88="","",--(COUNTIF($A$2:A88,A88)=1))</f>
        <v>1</v>
      </c>
      <c r="P88" s="4">
        <f>IF(A88="","",--(COUNTIFS($A$2:A88,A88,$F$2:F88,F88)=1))</f>
        <v>1</v>
      </c>
    </row>
    <row r="89" spans="1:16">
      <c r="A89" t="s">
        <v>208</v>
      </c>
      <c r="B89" t="s">
        <v>208</v>
      </c>
      <c r="C89" t="s">
        <v>208</v>
      </c>
      <c r="D89" t="s">
        <v>54</v>
      </c>
      <c r="F89" t="s">
        <v>25</v>
      </c>
      <c r="G89" t="s">
        <v>195</v>
      </c>
      <c r="H89" t="s">
        <v>188</v>
      </c>
      <c r="K89" t="s">
        <v>68</v>
      </c>
      <c r="O89" s="4">
        <f>IF(A89="","",--(COUNTIF($A$2:A89,A89)=1))</f>
        <v>0</v>
      </c>
      <c r="P89" s="4">
        <f>IF(A89="","",--(COUNTIFS($A$2:A89,A89,$F$2:F89,F89)=1))</f>
        <v>0</v>
      </c>
    </row>
    <row r="90" spans="1:16">
      <c r="A90" t="s">
        <v>208</v>
      </c>
      <c r="B90" t="s">
        <v>208</v>
      </c>
      <c r="C90" t="s">
        <v>208</v>
      </c>
      <c r="D90" t="s">
        <v>54</v>
      </c>
      <c r="F90" t="s">
        <v>25</v>
      </c>
      <c r="G90" t="s">
        <v>195</v>
      </c>
      <c r="H90" t="s">
        <v>189</v>
      </c>
      <c r="K90" t="s">
        <v>68</v>
      </c>
      <c r="O90" s="4">
        <f>IF(A90="","",--(COUNTIF($A$2:A90,A90)=1))</f>
        <v>0</v>
      </c>
      <c r="P90" s="4">
        <f>IF(A90="","",--(COUNTIFS($A$2:A90,A90,$F$2:F90,F90)=1))</f>
        <v>0</v>
      </c>
    </row>
    <row r="91" spans="1:16">
      <c r="A91" t="s">
        <v>208</v>
      </c>
      <c r="B91" t="s">
        <v>208</v>
      </c>
      <c r="C91" t="s">
        <v>208</v>
      </c>
      <c r="D91" t="s">
        <v>54</v>
      </c>
      <c r="F91" t="s">
        <v>25</v>
      </c>
      <c r="G91" t="s">
        <v>195</v>
      </c>
      <c r="H91" t="s">
        <v>190</v>
      </c>
      <c r="K91" t="s">
        <v>68</v>
      </c>
      <c r="O91" s="4">
        <f>IF(A91="","",--(COUNTIF($A$2:A91,A91)=1))</f>
        <v>0</v>
      </c>
      <c r="P91" s="4">
        <f>IF(A91="","",--(COUNTIFS($A$2:A91,A91,$F$2:F91,F91)=1))</f>
        <v>0</v>
      </c>
    </row>
    <row r="92" spans="1:16">
      <c r="A92" s="24" t="s">
        <v>209</v>
      </c>
      <c r="B92" s="24" t="s">
        <v>209</v>
      </c>
      <c r="C92" s="24" t="s">
        <v>209</v>
      </c>
      <c r="D92" t="s">
        <v>54</v>
      </c>
      <c r="F92" t="s">
        <v>25</v>
      </c>
      <c r="G92" t="s">
        <v>195</v>
      </c>
      <c r="H92" t="s">
        <v>64</v>
      </c>
      <c r="K92" t="s">
        <v>68</v>
      </c>
      <c r="O92" s="4">
        <f>IF(A92="","",--(COUNTIF($A$2:A92,A92)=1))</f>
        <v>1</v>
      </c>
      <c r="P92" s="4">
        <f>IF(A92="","",--(COUNTIFS($A$2:A92,A92,$F$2:F92,F92)=1))</f>
        <v>1</v>
      </c>
    </row>
    <row r="93" spans="1:16">
      <c r="A93" s="24" t="s">
        <v>209</v>
      </c>
      <c r="B93" s="24" t="s">
        <v>209</v>
      </c>
      <c r="C93" s="24" t="s">
        <v>209</v>
      </c>
      <c r="D93" t="s">
        <v>54</v>
      </c>
      <c r="F93" t="s">
        <v>25</v>
      </c>
      <c r="G93" t="s">
        <v>195</v>
      </c>
      <c r="H93" t="s">
        <v>188</v>
      </c>
      <c r="K93" t="s">
        <v>68</v>
      </c>
      <c r="O93" s="4">
        <f>IF(A93="","",--(COUNTIF($A$2:A93,A93)=1))</f>
        <v>0</v>
      </c>
      <c r="P93" s="4">
        <f>IF(A93="","",--(COUNTIFS($A$2:A93,A93,$F$2:F93,F93)=1))</f>
        <v>0</v>
      </c>
    </row>
    <row r="94" spans="1:16">
      <c r="A94" s="24" t="s">
        <v>209</v>
      </c>
      <c r="B94" s="24" t="s">
        <v>209</v>
      </c>
      <c r="C94" s="24" t="s">
        <v>209</v>
      </c>
      <c r="D94" t="s">
        <v>54</v>
      </c>
      <c r="F94" t="s">
        <v>25</v>
      </c>
      <c r="G94" t="s">
        <v>195</v>
      </c>
      <c r="H94" t="s">
        <v>189</v>
      </c>
      <c r="K94" t="s">
        <v>68</v>
      </c>
      <c r="O94" s="4">
        <f>IF(A94="","",--(COUNTIF($A$2:A94,A94)=1))</f>
        <v>0</v>
      </c>
      <c r="P94" s="4">
        <f>IF(A94="","",--(COUNTIFS($A$2:A94,A94,$F$2:F94,F94)=1))</f>
        <v>0</v>
      </c>
    </row>
    <row r="95" spans="1:16">
      <c r="A95" s="24" t="s">
        <v>209</v>
      </c>
      <c r="B95" s="24" t="s">
        <v>209</v>
      </c>
      <c r="C95" s="24" t="s">
        <v>209</v>
      </c>
      <c r="D95" t="s">
        <v>54</v>
      </c>
      <c r="F95" t="s">
        <v>25</v>
      </c>
      <c r="G95" t="s">
        <v>195</v>
      </c>
      <c r="H95" t="s">
        <v>190</v>
      </c>
      <c r="K95" t="s">
        <v>68</v>
      </c>
      <c r="O95" s="4">
        <f>IF(A95="","",--(COUNTIF($A$2:A95,A95)=1))</f>
        <v>0</v>
      </c>
      <c r="P95" s="4">
        <f>IF(A95="","",--(COUNTIFS($A$2:A95,A95,$F$2:F95,F95)=1))</f>
        <v>0</v>
      </c>
    </row>
    <row r="96" spans="1:16">
      <c r="A96" s="5"/>
      <c r="D96" t="s">
        <v>54</v>
      </c>
      <c r="F96" t="s">
        <v>25</v>
      </c>
      <c r="O96" s="4" t="str">
        <f>IF(A96="","",--(COUNTIF($A$2:A96,A96)=1))</f>
        <v/>
      </c>
      <c r="P96" s="4" t="str">
        <f>IF(A96="","",--(COUNTIFS($A$2:A96,A96,$F$2:F96,F96)=1))</f>
        <v/>
      </c>
    </row>
    <row r="97" spans="1:16">
      <c r="A97" s="5"/>
      <c r="D97" t="s">
        <v>54</v>
      </c>
      <c r="F97" t="s">
        <v>25</v>
      </c>
      <c r="O97" s="4" t="str">
        <f>IF(A97="","",--(COUNTIF($A$2:A97,A97)=1))</f>
        <v/>
      </c>
      <c r="P97" s="4" t="str">
        <f>IF(A97="","",--(COUNTIFS($A$2:A97,A97,$F$2:F97,F97)=1))</f>
        <v/>
      </c>
    </row>
    <row r="98" spans="1:16">
      <c r="A98" s="5"/>
      <c r="D98" t="s">
        <v>54</v>
      </c>
      <c r="F98" t="s">
        <v>25</v>
      </c>
      <c r="O98" s="4" t="str">
        <f>IF(A98="","",--(COUNTIF($A$2:A98,A98)=1))</f>
        <v/>
      </c>
      <c r="P98" s="4" t="str">
        <f>IF(A98="","",--(COUNTIFS($A$2:A98,A98,$F$2:F98,F98)=1))</f>
        <v/>
      </c>
    </row>
    <row r="99" spans="1:16">
      <c r="A99" s="5"/>
      <c r="D99" t="s">
        <v>54</v>
      </c>
      <c r="F99" t="s">
        <v>25</v>
      </c>
      <c r="O99" s="4" t="str">
        <f>IF(A99="","",--(COUNTIF($A$2:A99,A99)=1))</f>
        <v/>
      </c>
      <c r="P99" s="4" t="str">
        <f>IF(A99="","",--(COUNTIFS($A$2:A99,A99,$F$2:F99,F99)=1))</f>
        <v/>
      </c>
    </row>
    <row r="100" spans="1:16">
      <c r="A100" s="5"/>
      <c r="D100" t="s">
        <v>54</v>
      </c>
      <c r="F100" t="s">
        <v>25</v>
      </c>
      <c r="O100" s="4" t="str">
        <f>IF(A100="","",--(COUNTIF($A$2:A100,A100)=1))</f>
        <v/>
      </c>
      <c r="P100" s="4" t="str">
        <f>IF(A100="","",--(COUNTIFS($A$2:A100,A100,$F$2:F100,F100)=1))</f>
        <v/>
      </c>
    </row>
    <row r="101" spans="1:16">
      <c r="A101" s="5"/>
      <c r="D101" t="s">
        <v>54</v>
      </c>
      <c r="F101" t="s">
        <v>25</v>
      </c>
      <c r="O101" s="4" t="str">
        <f>IF(A101="","",--(COUNTIF($A$2:A101,A101)=1))</f>
        <v/>
      </c>
      <c r="P101" s="4" t="str">
        <f>IF(A101="","",--(COUNTIFS($A$2:A101,A101,$F$2:F101,F101)=1))</f>
        <v/>
      </c>
    </row>
    <row r="102" spans="1:16">
      <c r="A102" s="5"/>
      <c r="D102" t="s">
        <v>54</v>
      </c>
      <c r="F102" t="s">
        <v>25</v>
      </c>
      <c r="O102" s="4" t="str">
        <f>IF(A102="","",--(COUNTIF($A$2:A102,A102)=1))</f>
        <v/>
      </c>
      <c r="P102" s="4" t="str">
        <f>IF(A102="","",--(COUNTIFS($A$2:A102,A102,$F$2:F102,F102)=1))</f>
        <v/>
      </c>
    </row>
    <row r="103" spans="1:16">
      <c r="A103" s="5"/>
      <c r="D103" t="s">
        <v>54</v>
      </c>
      <c r="F103" t="s">
        <v>25</v>
      </c>
      <c r="O103" s="4" t="str">
        <f>IF(A103="","",--(COUNTIF($A$2:A103,A103)=1))</f>
        <v/>
      </c>
      <c r="P103" s="4" t="str">
        <f>IF(A103="","",--(COUNTIFS($A$2:A103,A103,$F$2:F103,F103)=1))</f>
        <v/>
      </c>
    </row>
    <row r="104" spans="1:16">
      <c r="A104" s="5"/>
      <c r="D104" t="s">
        <v>54</v>
      </c>
      <c r="F104" t="s">
        <v>25</v>
      </c>
      <c r="O104" s="4" t="str">
        <f>IF(A104="","",--(COUNTIF($A$2:A104,A104)=1))</f>
        <v/>
      </c>
      <c r="P104" s="4" t="str">
        <f>IF(A104="","",--(COUNTIFS($A$2:A104,A104,$F$2:F104,F104)=1))</f>
        <v/>
      </c>
    </row>
    <row r="105" spans="1:16">
      <c r="A105" s="5"/>
      <c r="D105" t="s">
        <v>54</v>
      </c>
      <c r="F105" t="s">
        <v>25</v>
      </c>
      <c r="O105" s="4" t="str">
        <f>IF(A105="","",--(COUNTIF($A$2:A105,A105)=1))</f>
        <v/>
      </c>
      <c r="P105" s="4" t="str">
        <f>IF(A105="","",--(COUNTIFS($A$2:A105,A105,$F$2:F105,F105)=1))</f>
        <v/>
      </c>
    </row>
    <row r="106" spans="1:16">
      <c r="A106" s="5"/>
      <c r="D106" t="s">
        <v>54</v>
      </c>
      <c r="F106" t="s">
        <v>25</v>
      </c>
      <c r="O106" s="4" t="str">
        <f>IF(A106="","",--(COUNTIF($A$2:A106,A106)=1))</f>
        <v/>
      </c>
      <c r="P106" s="4" t="str">
        <f>IF(A106="","",--(COUNTIFS($A$2:A106,A106,$F$2:F106,F106)=1))</f>
        <v/>
      </c>
    </row>
    <row r="107" spans="1:16">
      <c r="A107" s="5"/>
      <c r="D107" t="s">
        <v>54</v>
      </c>
      <c r="F107" t="s">
        <v>25</v>
      </c>
      <c r="O107" s="4" t="str">
        <f>IF(A107="","",--(COUNTIF($A$2:A107,A107)=1))</f>
        <v/>
      </c>
      <c r="P107" s="4" t="str">
        <f>IF(A107="","",--(COUNTIFS($A$2:A107,A107,$F$2:F107,F107)=1))</f>
        <v/>
      </c>
    </row>
    <row r="108" spans="1:16">
      <c r="A108" s="5"/>
      <c r="D108" t="s">
        <v>54</v>
      </c>
      <c r="F108" t="s">
        <v>25</v>
      </c>
      <c r="O108" s="4" t="str">
        <f>IF(A108="","",--(COUNTIF($A$2:A108,A108)=1))</f>
        <v/>
      </c>
      <c r="P108" s="4" t="str">
        <f>IF(A108="","",--(COUNTIFS($A$2:A108,A108,$F$2:F108,F108)=1))</f>
        <v/>
      </c>
    </row>
    <row r="109" spans="1:16">
      <c r="A109" s="5"/>
      <c r="D109" t="s">
        <v>54</v>
      </c>
      <c r="F109" t="s">
        <v>25</v>
      </c>
      <c r="O109" s="4" t="str">
        <f>IF(A109="","",--(COUNTIF($A$2:A109,A109)=1))</f>
        <v/>
      </c>
      <c r="P109" s="4" t="str">
        <f>IF(A109="","",--(COUNTIFS($A$2:A109,A109,$F$2:F109,F109)=1))</f>
        <v/>
      </c>
    </row>
    <row r="110" spans="1:16">
      <c r="A110" s="5"/>
      <c r="D110" t="s">
        <v>54</v>
      </c>
      <c r="F110" t="s">
        <v>25</v>
      </c>
      <c r="O110" s="4" t="str">
        <f>IF(A110="","",--(COUNTIF($A$2:A110,A110)=1))</f>
        <v/>
      </c>
      <c r="P110" s="4" t="str">
        <f>IF(A110="","",--(COUNTIFS($A$2:A110,A110,$F$2:F110,F110)=1))</f>
        <v/>
      </c>
    </row>
    <row r="111" spans="1:16">
      <c r="A111" s="5"/>
      <c r="D111" t="s">
        <v>54</v>
      </c>
      <c r="F111" t="s">
        <v>25</v>
      </c>
      <c r="O111" s="4" t="str">
        <f>IF(A111="","",--(COUNTIF($A$2:A111,A111)=1))</f>
        <v/>
      </c>
      <c r="P111" s="4" t="str">
        <f>IF(A111="","",--(COUNTIFS($A$2:A111,A111,$F$2:F111,F111)=1))</f>
        <v/>
      </c>
    </row>
    <row r="112" spans="1:16">
      <c r="A112" s="5"/>
      <c r="D112" t="s">
        <v>54</v>
      </c>
      <c r="F112" t="s">
        <v>25</v>
      </c>
      <c r="O112" s="4" t="str">
        <f>IF(A112="","",--(COUNTIF($A$2:A112,A112)=1))</f>
        <v/>
      </c>
      <c r="P112" s="4" t="str">
        <f>IF(A112="","",--(COUNTIFS($A$2:A112,A112,$F$2:F112,F112)=1))</f>
        <v/>
      </c>
    </row>
    <row r="113" spans="1:16">
      <c r="A113" s="5"/>
      <c r="D113" t="s">
        <v>54</v>
      </c>
      <c r="F113" t="s">
        <v>25</v>
      </c>
      <c r="O113" s="4" t="str">
        <f>IF(A113="","",--(COUNTIF($A$2:A113,A113)=1))</f>
        <v/>
      </c>
      <c r="P113" s="4" t="str">
        <f>IF(A113="","",--(COUNTIFS($A$2:A113,A113,$F$2:F113,F113)=1))</f>
        <v/>
      </c>
    </row>
    <row r="114" spans="1:16">
      <c r="A114" s="5"/>
      <c r="D114" t="s">
        <v>54</v>
      </c>
      <c r="F114" t="s">
        <v>25</v>
      </c>
      <c r="O114" s="4" t="str">
        <f>IF(A114="","",--(COUNTIF($A$2:A114,A114)=1))</f>
        <v/>
      </c>
      <c r="P114" s="4" t="str">
        <f>IF(A114="","",--(COUNTIFS($A$2:A114,A114,$F$2:F114,F114)=1))</f>
        <v/>
      </c>
    </row>
    <row r="115" spans="1:16">
      <c r="A115" s="5"/>
      <c r="D115" t="s">
        <v>54</v>
      </c>
      <c r="F115" t="s">
        <v>25</v>
      </c>
      <c r="O115" s="4" t="str">
        <f>IF(A115="","",--(COUNTIF($A$2:A115,A115)=1))</f>
        <v/>
      </c>
      <c r="P115" s="4" t="str">
        <f>IF(A115="","",--(COUNTIFS($A$2:A115,A115,$F$2:F115,F115)=1))</f>
        <v/>
      </c>
    </row>
    <row r="116" spans="1:16">
      <c r="A116" s="5"/>
      <c r="D116" t="s">
        <v>54</v>
      </c>
      <c r="F116" t="s">
        <v>25</v>
      </c>
      <c r="O116" s="4" t="str">
        <f>IF(A116="","",--(COUNTIF($A$2:A116,A116)=1))</f>
        <v/>
      </c>
      <c r="P116" s="4" t="str">
        <f>IF(A116="","",--(COUNTIFS($A$2:A116,A116,$F$2:F116,F116)=1))</f>
        <v/>
      </c>
    </row>
    <row r="117" spans="1:16">
      <c r="A117" s="5"/>
      <c r="D117" t="s">
        <v>54</v>
      </c>
      <c r="F117" t="s">
        <v>25</v>
      </c>
      <c r="O117" s="4" t="str">
        <f>IF(A117="","",--(COUNTIF($A$2:A117,A117)=1))</f>
        <v/>
      </c>
      <c r="P117" s="4" t="str">
        <f>IF(A117="","",--(COUNTIFS($A$2:A117,A117,$F$2:F117,F117)=1))</f>
        <v/>
      </c>
    </row>
    <row r="118" spans="1:16">
      <c r="A118" s="5"/>
      <c r="D118" t="s">
        <v>54</v>
      </c>
      <c r="F118" t="s">
        <v>25</v>
      </c>
      <c r="O118" s="4" t="str">
        <f>IF(A118="","",--(COUNTIF($A$2:A118,A118)=1))</f>
        <v/>
      </c>
      <c r="P118" s="4" t="str">
        <f>IF(A118="","",--(COUNTIFS($A$2:A118,A118,$F$2:F118,F118)=1))</f>
        <v/>
      </c>
    </row>
    <row r="119" spans="1:16">
      <c r="A119" s="5"/>
      <c r="D119" t="s">
        <v>54</v>
      </c>
      <c r="F119" t="s">
        <v>25</v>
      </c>
      <c r="O119" s="4" t="str">
        <f>IF(A119="","",--(COUNTIF($A$2:A119,A119)=1))</f>
        <v/>
      </c>
      <c r="P119" s="4" t="str">
        <f>IF(A119="","",--(COUNTIFS($A$2:A119,A119,$F$2:F119,F119)=1))</f>
        <v/>
      </c>
    </row>
    <row r="120" spans="1:16">
      <c r="A120" s="5"/>
      <c r="D120" t="s">
        <v>54</v>
      </c>
      <c r="F120" t="s">
        <v>25</v>
      </c>
      <c r="O120" s="4" t="str">
        <f>IF(A120="","",--(COUNTIF($A$2:A120,A120)=1))</f>
        <v/>
      </c>
      <c r="P120" s="4" t="str">
        <f>IF(A120="","",--(COUNTIFS($A$2:A120,A120,$F$2:F120,F120)=1))</f>
        <v/>
      </c>
    </row>
    <row r="121" spans="1:16">
      <c r="A121" s="5"/>
      <c r="D121" t="s">
        <v>54</v>
      </c>
      <c r="F121" t="s">
        <v>25</v>
      </c>
      <c r="O121" s="4" t="str">
        <f>IF(A121="","",--(COUNTIF($A$2:A121,A121)=1))</f>
        <v/>
      </c>
      <c r="P121" s="4" t="str">
        <f>IF(A121="","",--(COUNTIFS($A$2:A121,A121,$F$2:F121,F121)=1))</f>
        <v/>
      </c>
    </row>
    <row r="122" spans="1:16">
      <c r="A122" s="5"/>
      <c r="D122" t="s">
        <v>54</v>
      </c>
      <c r="F122" t="s">
        <v>25</v>
      </c>
      <c r="O122" s="4" t="str">
        <f>IF(A122="","",--(COUNTIF($A$2:A122,A122)=1))</f>
        <v/>
      </c>
      <c r="P122" s="4" t="str">
        <f>IF(A122="","",--(COUNTIFS($A$2:A122,A122,$F$2:F122,F122)=1))</f>
        <v/>
      </c>
    </row>
    <row r="123" spans="1:16">
      <c r="A123" s="5"/>
      <c r="D123" t="s">
        <v>54</v>
      </c>
      <c r="F123" t="s">
        <v>25</v>
      </c>
      <c r="O123" s="4" t="str">
        <f>IF(A123="","",--(COUNTIF($A$2:A123,A123)=1))</f>
        <v/>
      </c>
      <c r="P123" s="4" t="str">
        <f>IF(A123="","",--(COUNTIFS($A$2:A123,A123,$F$2:F123,F123)=1))</f>
        <v/>
      </c>
    </row>
    <row r="124" spans="1:16">
      <c r="A124" s="5"/>
      <c r="D124" t="s">
        <v>54</v>
      </c>
      <c r="F124" t="s">
        <v>25</v>
      </c>
      <c r="O124" s="4" t="str">
        <f>IF(A124="","",--(COUNTIF($A$2:A124,A124)=1))</f>
        <v/>
      </c>
      <c r="P124" s="4" t="str">
        <f>IF(A124="","",--(COUNTIFS($A$2:A124,A124,$F$2:F124,F124)=1))</f>
        <v/>
      </c>
    </row>
    <row r="125" spans="1:16">
      <c r="A125" s="5"/>
      <c r="D125" t="s">
        <v>54</v>
      </c>
      <c r="F125" t="s">
        <v>25</v>
      </c>
      <c r="O125" s="4" t="str">
        <f>IF(A125="","",--(COUNTIF($A$2:A125,A125)=1))</f>
        <v/>
      </c>
      <c r="P125" s="4" t="str">
        <f>IF(A125="","",--(COUNTIFS($A$2:A125,A125,$F$2:F125,F125)=1))</f>
        <v/>
      </c>
    </row>
    <row r="126" spans="1:16">
      <c r="A126" s="5"/>
      <c r="D126" t="s">
        <v>54</v>
      </c>
      <c r="F126" t="s">
        <v>25</v>
      </c>
      <c r="O126" s="4" t="str">
        <f>IF(A126="","",--(COUNTIF($A$2:A126,A126)=1))</f>
        <v/>
      </c>
      <c r="P126" s="4" t="str">
        <f>IF(A126="","",--(COUNTIFS($A$2:A126,A126,$F$2:F126,F126)=1))</f>
        <v/>
      </c>
    </row>
    <row r="127" spans="1:16">
      <c r="A127" s="5"/>
      <c r="D127" t="s">
        <v>54</v>
      </c>
      <c r="F127" t="s">
        <v>25</v>
      </c>
      <c r="O127" s="4" t="str">
        <f>IF(A127="","",--(COUNTIF($A$2:A127,A127)=1))</f>
        <v/>
      </c>
      <c r="P127" s="4" t="str">
        <f>IF(A127="","",--(COUNTIFS($A$2:A127,A127,$F$2:F127,F127)=1))</f>
        <v/>
      </c>
    </row>
    <row r="128" spans="1:16">
      <c r="A128" s="5"/>
      <c r="D128" t="s">
        <v>54</v>
      </c>
      <c r="F128" t="s">
        <v>25</v>
      </c>
      <c r="O128" s="4" t="str">
        <f>IF(A128="","",--(COUNTIF($A$2:A128,A128)=1))</f>
        <v/>
      </c>
      <c r="P128" s="4" t="str">
        <f>IF(A128="","",--(COUNTIFS($A$2:A128,A128,$F$2:F128,F128)=1))</f>
        <v/>
      </c>
    </row>
    <row r="129" spans="1:16">
      <c r="A129" s="5"/>
      <c r="D129" t="s">
        <v>54</v>
      </c>
      <c r="F129" t="s">
        <v>25</v>
      </c>
      <c r="O129" s="4" t="str">
        <f>IF(A129="","",--(COUNTIF($A$2:A129,A129)=1))</f>
        <v/>
      </c>
      <c r="P129" s="4" t="str">
        <f>IF(A129="","",--(COUNTIFS($A$2:A129,A129,$F$2:F129,F129)=1))</f>
        <v/>
      </c>
    </row>
    <row r="130" spans="1:16">
      <c r="A130" s="5"/>
      <c r="D130" t="s">
        <v>54</v>
      </c>
      <c r="F130" t="s">
        <v>25</v>
      </c>
      <c r="O130" s="4" t="str">
        <f>IF(A130="","",--(COUNTIF($A$2:A130,A130)=1))</f>
        <v/>
      </c>
      <c r="P130" s="4" t="str">
        <f>IF(A130="","",--(COUNTIFS($A$2:A130,A130,$F$2:F130,F130)=1))</f>
        <v/>
      </c>
    </row>
    <row r="131" spans="1:16">
      <c r="A131" s="5"/>
      <c r="D131" t="s">
        <v>54</v>
      </c>
      <c r="F131" t="s">
        <v>25</v>
      </c>
      <c r="O131" s="4" t="str">
        <f>IF(A131="","",--(COUNTIF($A$2:A131,A131)=1))</f>
        <v/>
      </c>
      <c r="P131" s="4" t="str">
        <f>IF(A131="","",--(COUNTIFS($A$2:A131,A131,$F$2:F131,F131)=1))</f>
        <v/>
      </c>
    </row>
    <row r="132" spans="1:16">
      <c r="A132" s="5"/>
      <c r="D132" t="s">
        <v>54</v>
      </c>
      <c r="F132" t="s">
        <v>25</v>
      </c>
      <c r="O132" s="4" t="str">
        <f>IF(A132="","",--(COUNTIF($A$2:A132,A132)=1))</f>
        <v/>
      </c>
      <c r="P132" s="4" t="str">
        <f>IF(A132="","",--(COUNTIFS($A$2:A132,A132,$F$2:F132,F132)=1))</f>
        <v/>
      </c>
    </row>
    <row r="133" spans="1:16">
      <c r="A133" s="5"/>
      <c r="D133" t="s">
        <v>54</v>
      </c>
      <c r="F133" t="s">
        <v>25</v>
      </c>
      <c r="O133" s="4" t="str">
        <f>IF(A133="","",--(COUNTIF($A$2:A133,A133)=1))</f>
        <v/>
      </c>
      <c r="P133" s="4" t="str">
        <f>IF(A133="","",--(COUNTIFS($A$2:A133,A133,$F$2:F133,F133)=1))</f>
        <v/>
      </c>
    </row>
    <row r="134" spans="1:16">
      <c r="A134" s="5"/>
      <c r="D134" t="s">
        <v>54</v>
      </c>
      <c r="F134" t="s">
        <v>25</v>
      </c>
      <c r="O134" s="4" t="str">
        <f>IF(A134="","",--(COUNTIF($A$2:A134,A134)=1))</f>
        <v/>
      </c>
      <c r="P134" s="4" t="str">
        <f>IF(A134="","",--(COUNTIFS($A$2:A134,A134,$F$2:F134,F134)=1))</f>
        <v/>
      </c>
    </row>
    <row r="135" spans="1:16">
      <c r="A135" s="5"/>
      <c r="D135" t="s">
        <v>54</v>
      </c>
      <c r="F135" t="s">
        <v>25</v>
      </c>
      <c r="O135" s="4" t="str">
        <f>IF(A135="","",--(COUNTIF($A$2:A135,A135)=1))</f>
        <v/>
      </c>
      <c r="P135" s="4" t="str">
        <f>IF(A135="","",--(COUNTIFS($A$2:A135,A135,$F$2:F135,F135)=1))</f>
        <v/>
      </c>
    </row>
    <row r="136" spans="1:16">
      <c r="A136" s="5"/>
      <c r="D136" t="s">
        <v>54</v>
      </c>
      <c r="F136" t="s">
        <v>25</v>
      </c>
      <c r="O136" s="4" t="str">
        <f>IF(A136="","",--(COUNTIF($A$2:A136,A136)=1))</f>
        <v/>
      </c>
      <c r="P136" s="4" t="str">
        <f>IF(A136="","",--(COUNTIFS($A$2:A136,A136,$F$2:F136,F136)=1))</f>
        <v/>
      </c>
    </row>
    <row r="137" spans="1:16">
      <c r="A137" s="5"/>
      <c r="D137" t="s">
        <v>54</v>
      </c>
      <c r="F137" t="s">
        <v>25</v>
      </c>
      <c r="O137" s="4" t="str">
        <f>IF(A137="","",--(COUNTIF($A$2:A137,A137)=1))</f>
        <v/>
      </c>
      <c r="P137" s="4" t="str">
        <f>IF(A137="","",--(COUNTIFS($A$2:A137,A137,$F$2:F137,F137)=1))</f>
        <v/>
      </c>
    </row>
    <row r="138" spans="1:16">
      <c r="A138" s="5"/>
      <c r="D138" t="s">
        <v>54</v>
      </c>
      <c r="F138" t="s">
        <v>25</v>
      </c>
      <c r="O138" s="4" t="str">
        <f>IF(A138="","",--(COUNTIF($A$2:A138,A138)=1))</f>
        <v/>
      </c>
      <c r="P138" s="4" t="str">
        <f>IF(A138="","",--(COUNTIFS($A$2:A138,A138,$F$2:F138,F138)=1))</f>
        <v/>
      </c>
    </row>
    <row r="139" spans="1:16">
      <c r="A139" s="5"/>
      <c r="D139" t="s">
        <v>54</v>
      </c>
      <c r="F139" t="s">
        <v>25</v>
      </c>
      <c r="O139" s="4" t="str">
        <f>IF(A139="","",--(COUNTIF($A$2:A139,A139)=1))</f>
        <v/>
      </c>
      <c r="P139" s="4" t="str">
        <f>IF(A139="","",--(COUNTIFS($A$2:A139,A139,$F$2:F139,F139)=1))</f>
        <v/>
      </c>
    </row>
    <row r="140" spans="1:16">
      <c r="A140" s="5"/>
      <c r="D140" t="s">
        <v>54</v>
      </c>
      <c r="F140" t="s">
        <v>25</v>
      </c>
      <c r="O140" s="4" t="str">
        <f>IF(A140="","",--(COUNTIF($A$2:A140,A140)=1))</f>
        <v/>
      </c>
      <c r="P140" s="4" t="str">
        <f>IF(A140="","",--(COUNTIFS($A$2:A140,A140,$F$2:F140,F140)=1))</f>
        <v/>
      </c>
    </row>
    <row r="141" spans="1:16">
      <c r="A141" s="5"/>
      <c r="D141" t="s">
        <v>54</v>
      </c>
      <c r="F141" t="s">
        <v>25</v>
      </c>
      <c r="O141" s="4" t="str">
        <f>IF(A141="","",--(COUNTIF($A$2:A141,A141)=1))</f>
        <v/>
      </c>
      <c r="P141" s="4" t="str">
        <f>IF(A141="","",--(COUNTIFS($A$2:A141,A141,$F$2:F141,F141)=1))</f>
        <v/>
      </c>
    </row>
    <row r="142" spans="1:16">
      <c r="A142" s="5"/>
      <c r="D142" t="s">
        <v>54</v>
      </c>
      <c r="F142" t="s">
        <v>25</v>
      </c>
      <c r="O142" s="4" t="str">
        <f>IF(A142="","",--(COUNTIF($A$2:A142,A142)=1))</f>
        <v/>
      </c>
      <c r="P142" s="4" t="str">
        <f>IF(A142="","",--(COUNTIFS($A$2:A142,A142,$F$2:F142,F142)=1))</f>
        <v/>
      </c>
    </row>
    <row r="143" spans="1:16">
      <c r="A143" s="5"/>
      <c r="D143" t="s">
        <v>54</v>
      </c>
      <c r="F143" t="s">
        <v>25</v>
      </c>
      <c r="O143" s="4" t="str">
        <f>IF(A143="","",--(COUNTIF($A$2:A143,A143)=1))</f>
        <v/>
      </c>
      <c r="P143" s="4" t="str">
        <f>IF(A143="","",--(COUNTIFS($A$2:A143,A143,$F$2:F143,F143)=1))</f>
        <v/>
      </c>
    </row>
    <row r="144" spans="1:16">
      <c r="A144" s="5"/>
      <c r="D144" t="s">
        <v>54</v>
      </c>
      <c r="F144" t="s">
        <v>25</v>
      </c>
      <c r="O144" s="4" t="str">
        <f>IF(A144="","",--(COUNTIF($A$2:A144,A144)=1))</f>
        <v/>
      </c>
      <c r="P144" s="4" t="str">
        <f>IF(A144="","",--(COUNTIFS($A$2:A144,A144,$F$2:F144,F144)=1))</f>
        <v/>
      </c>
    </row>
    <row r="145" spans="1:16">
      <c r="A145" s="5"/>
      <c r="D145" t="s">
        <v>54</v>
      </c>
      <c r="F145" t="s">
        <v>25</v>
      </c>
      <c r="O145" s="4" t="str">
        <f>IF(A145="","",--(COUNTIF($A$2:A145,A145)=1))</f>
        <v/>
      </c>
      <c r="P145" s="4" t="str">
        <f>IF(A145="","",--(COUNTIFS($A$2:A145,A145,$F$2:F145,F145)=1))</f>
        <v/>
      </c>
    </row>
    <row r="146" spans="1:16">
      <c r="A146" s="5"/>
      <c r="D146" t="s">
        <v>54</v>
      </c>
      <c r="F146" t="s">
        <v>25</v>
      </c>
      <c r="O146" s="4" t="str">
        <f>IF(A146="","",--(COUNTIF($A$2:A146,A146)=1))</f>
        <v/>
      </c>
      <c r="P146" s="4" t="str">
        <f>IF(A146="","",--(COUNTIFS($A$2:A146,A146,$F$2:F146,F146)=1))</f>
        <v/>
      </c>
    </row>
    <row r="147" spans="1:16">
      <c r="A147" s="5"/>
      <c r="D147" t="s">
        <v>54</v>
      </c>
      <c r="F147" t="s">
        <v>25</v>
      </c>
      <c r="O147" s="4" t="str">
        <f>IF(A147="","",--(COUNTIF($A$2:A147,A147)=1))</f>
        <v/>
      </c>
      <c r="P147" s="4" t="str">
        <f>IF(A147="","",--(COUNTIFS($A$2:A147,A147,$F$2:F147,F147)=1))</f>
        <v/>
      </c>
    </row>
    <row r="148" spans="1:16">
      <c r="A148" s="5"/>
      <c r="D148" t="s">
        <v>54</v>
      </c>
      <c r="F148" t="s">
        <v>25</v>
      </c>
      <c r="O148" s="4" t="str">
        <f>IF(A148="","",--(COUNTIF($A$2:A148,A148)=1))</f>
        <v/>
      </c>
      <c r="P148" s="4" t="str">
        <f>IF(A148="","",--(COUNTIFS($A$2:A148,A148,$F$2:F148,F148)=1))</f>
        <v/>
      </c>
    </row>
    <row r="149" spans="1:16">
      <c r="A149" s="5"/>
      <c r="D149" t="s">
        <v>54</v>
      </c>
      <c r="F149" t="s">
        <v>25</v>
      </c>
      <c r="O149" s="4" t="str">
        <f>IF(A149="","",--(COUNTIF($A$2:A149,A149)=1))</f>
        <v/>
      </c>
      <c r="P149" s="4" t="str">
        <f>IF(A149="","",--(COUNTIFS($A$2:A149,A149,$F$2:F149,F149)=1))</f>
        <v/>
      </c>
    </row>
    <row r="150" spans="1:16">
      <c r="A150" s="5"/>
      <c r="D150" t="s">
        <v>54</v>
      </c>
      <c r="F150" t="s">
        <v>25</v>
      </c>
      <c r="O150" s="4" t="str">
        <f>IF(A150="","",--(COUNTIF($A$2:A150,A150)=1))</f>
        <v/>
      </c>
      <c r="P150" s="4" t="str">
        <f>IF(A150="","",--(COUNTIFS($A$2:A150,A150,$F$2:F150,F150)=1))</f>
        <v/>
      </c>
    </row>
    <row r="151" spans="1:16">
      <c r="A151" s="5"/>
      <c r="D151" t="s">
        <v>54</v>
      </c>
      <c r="F151" t="s">
        <v>25</v>
      </c>
      <c r="O151" s="4" t="str">
        <f>IF(A151="","",--(COUNTIF($A$2:A151,A151)=1))</f>
        <v/>
      </c>
      <c r="P151" s="4" t="str">
        <f>IF(A151="","",--(COUNTIFS($A$2:A151,A151,$F$2:F151,F151)=1))</f>
        <v/>
      </c>
    </row>
    <row r="152" spans="1:16">
      <c r="A152" s="5"/>
      <c r="D152" t="s">
        <v>54</v>
      </c>
      <c r="F152" t="s">
        <v>25</v>
      </c>
      <c r="O152" s="4" t="str">
        <f>IF(A152="","",--(COUNTIF($A$2:A152,A152)=1))</f>
        <v/>
      </c>
      <c r="P152" s="4" t="str">
        <f>IF(A152="","",--(COUNTIFS($A$2:A152,A152,$F$2:F152,F152)=1))</f>
        <v/>
      </c>
    </row>
    <row r="153" spans="1:16">
      <c r="A153" s="5"/>
      <c r="D153" t="s">
        <v>54</v>
      </c>
      <c r="F153" t="s">
        <v>25</v>
      </c>
      <c r="O153" s="4" t="str">
        <f>IF(A153="","",--(COUNTIF($A$2:A153,A153)=1))</f>
        <v/>
      </c>
      <c r="P153" s="4" t="str">
        <f>IF(A153="","",--(COUNTIFS($A$2:A153,A153,$F$2:F153,F153)=1))</f>
        <v/>
      </c>
    </row>
    <row r="154" spans="1:16">
      <c r="A154" s="5"/>
      <c r="D154" t="s">
        <v>54</v>
      </c>
      <c r="F154" t="s">
        <v>25</v>
      </c>
      <c r="O154" s="4" t="str">
        <f>IF(A154="","",--(COUNTIF($A$2:A154,A154)=1))</f>
        <v/>
      </c>
      <c r="P154" s="4" t="str">
        <f>IF(A154="","",--(COUNTIFS($A$2:A154,A154,$F$2:F154,F154)=1))</f>
        <v/>
      </c>
    </row>
    <row r="155" spans="1:16">
      <c r="A155" s="5"/>
      <c r="D155" t="s">
        <v>54</v>
      </c>
      <c r="F155" t="s">
        <v>25</v>
      </c>
      <c r="O155" s="4" t="str">
        <f>IF(A155="","",--(COUNTIF($A$2:A155,A155)=1))</f>
        <v/>
      </c>
      <c r="P155" s="4" t="str">
        <f>IF(A155="","",--(COUNTIFS($A$2:A155,A155,$F$2:F155,F155)=1))</f>
        <v/>
      </c>
    </row>
    <row r="156" spans="1:16">
      <c r="A156" s="5"/>
      <c r="D156" t="s">
        <v>54</v>
      </c>
      <c r="F156" t="s">
        <v>25</v>
      </c>
      <c r="O156" s="4" t="str">
        <f>IF(A156="","",--(COUNTIF($A$2:A156,A156)=1))</f>
        <v/>
      </c>
      <c r="P156" s="4" t="str">
        <f>IF(A156="","",--(COUNTIFS($A$2:A156,A156,$F$2:F156,F156)=1))</f>
        <v/>
      </c>
    </row>
    <row r="157" spans="1:16">
      <c r="A157" s="5"/>
      <c r="D157" t="s">
        <v>54</v>
      </c>
      <c r="F157" t="s">
        <v>25</v>
      </c>
      <c r="O157" s="4" t="str">
        <f>IF(A157="","",--(COUNTIF($A$2:A157,A157)=1))</f>
        <v/>
      </c>
      <c r="P157" s="4" t="str">
        <f>IF(A157="","",--(COUNTIFS($A$2:A157,A157,$F$2:F157,F157)=1))</f>
        <v/>
      </c>
    </row>
    <row r="158" spans="1:16">
      <c r="A158" s="5"/>
      <c r="D158" t="s">
        <v>54</v>
      </c>
      <c r="F158" t="s">
        <v>25</v>
      </c>
      <c r="O158" s="4" t="str">
        <f>IF(A158="","",--(COUNTIF($A$2:A158,A158)=1))</f>
        <v/>
      </c>
      <c r="P158" s="4" t="str">
        <f>IF(A158="","",--(COUNTIFS($A$2:A158,A158,$F$2:F158,F158)=1))</f>
        <v/>
      </c>
    </row>
    <row r="159" spans="1:16">
      <c r="A159" s="5"/>
      <c r="D159" t="s">
        <v>54</v>
      </c>
      <c r="F159" t="s">
        <v>25</v>
      </c>
      <c r="O159" s="4" t="str">
        <f>IF(A159="","",--(COUNTIF($A$2:A159,A159)=1))</f>
        <v/>
      </c>
      <c r="P159" s="4" t="str">
        <f>IF(A159="","",--(COUNTIFS($A$2:A159,A159,$F$2:F159,F159)=1))</f>
        <v/>
      </c>
    </row>
    <row r="160" spans="1:16">
      <c r="A160" s="5"/>
      <c r="D160" t="s">
        <v>54</v>
      </c>
      <c r="F160" t="s">
        <v>25</v>
      </c>
      <c r="O160" s="4" t="str">
        <f>IF(A160="","",--(COUNTIF($A$2:A160,A160)=1))</f>
        <v/>
      </c>
      <c r="P160" s="4" t="str">
        <f>IF(A160="","",--(COUNTIFS($A$2:A160,A160,$F$2:F160,F160)=1))</f>
        <v/>
      </c>
    </row>
    <row r="161" spans="1:16">
      <c r="A161" s="5"/>
      <c r="D161" t="s">
        <v>54</v>
      </c>
      <c r="F161" t="s">
        <v>25</v>
      </c>
      <c r="O161" s="4" t="str">
        <f>IF(A161="","",--(COUNTIF($A$2:A161,A161)=1))</f>
        <v/>
      </c>
      <c r="P161" s="4" t="str">
        <f>IF(A161="","",--(COUNTIFS($A$2:A161,A161,$F$2:F161,F161)=1))</f>
        <v/>
      </c>
    </row>
    <row r="162" spans="1:16">
      <c r="A162" s="5"/>
      <c r="D162" t="s">
        <v>54</v>
      </c>
      <c r="F162" t="s">
        <v>25</v>
      </c>
      <c r="O162" s="4" t="str">
        <f>IF(A162="","",--(COUNTIF($A$2:A162,A162)=1))</f>
        <v/>
      </c>
      <c r="P162" s="4" t="str">
        <f>IF(A162="","",--(COUNTIFS($A$2:A162,A162,$F$2:F162,F162)=1))</f>
        <v/>
      </c>
    </row>
    <row r="163" spans="1:16">
      <c r="A163" s="5"/>
      <c r="D163" t="s">
        <v>54</v>
      </c>
      <c r="F163" t="s">
        <v>25</v>
      </c>
      <c r="O163" s="4" t="str">
        <f>IF(A163="","",--(COUNTIF($A$2:A163,A163)=1))</f>
        <v/>
      </c>
      <c r="P163" s="4" t="str">
        <f>IF(A163="","",--(COUNTIFS($A$2:A163,A163,$F$2:F163,F163)=1))</f>
        <v/>
      </c>
    </row>
    <row r="164" spans="1:16">
      <c r="A164" s="5"/>
      <c r="D164" t="s">
        <v>54</v>
      </c>
      <c r="F164" t="s">
        <v>25</v>
      </c>
      <c r="O164" s="4" t="str">
        <f>IF(A164="","",--(COUNTIF($A$2:A164,A164)=1))</f>
        <v/>
      </c>
      <c r="P164" s="4" t="str">
        <f>IF(A164="","",--(COUNTIFS($A$2:A164,A164,$F$2:F164,F164)=1))</f>
        <v/>
      </c>
    </row>
    <row r="165" spans="1:16">
      <c r="A165" s="5"/>
      <c r="D165" t="s">
        <v>54</v>
      </c>
      <c r="F165" t="s">
        <v>25</v>
      </c>
      <c r="O165" s="4" t="str">
        <f>IF(A165="","",--(COUNTIF($A$2:A165,A165)=1))</f>
        <v/>
      </c>
      <c r="P165" s="4" t="str">
        <f>IF(A165="","",--(COUNTIFS($A$2:A165,A165,$F$2:F165,F165)=1))</f>
        <v/>
      </c>
    </row>
    <row r="166" spans="1:16">
      <c r="A166" s="5"/>
      <c r="D166" t="s">
        <v>54</v>
      </c>
      <c r="F166" t="s">
        <v>25</v>
      </c>
      <c r="O166" s="4" t="str">
        <f>IF(A166="","",--(COUNTIF($A$2:A166,A166)=1))</f>
        <v/>
      </c>
      <c r="P166" s="4" t="str">
        <f>IF(A166="","",--(COUNTIFS($A$2:A166,A166,$F$2:F166,F166)=1))</f>
        <v/>
      </c>
    </row>
    <row r="167" spans="1:16">
      <c r="A167" s="5"/>
      <c r="D167" t="s">
        <v>54</v>
      </c>
      <c r="F167" t="s">
        <v>25</v>
      </c>
      <c r="O167" s="4" t="str">
        <f>IF(A167="","",--(COUNTIF($A$2:A167,A167)=1))</f>
        <v/>
      </c>
      <c r="P167" s="4" t="str">
        <f>IF(A167="","",--(COUNTIFS($A$2:A167,A167,$F$2:F167,F167)=1))</f>
        <v/>
      </c>
    </row>
    <row r="168" spans="1:16">
      <c r="A168" s="5"/>
      <c r="D168" t="s">
        <v>54</v>
      </c>
      <c r="F168" t="s">
        <v>25</v>
      </c>
      <c r="O168" s="4" t="str">
        <f>IF(A168="","",--(COUNTIF($A$2:A168,A168)=1))</f>
        <v/>
      </c>
      <c r="P168" s="4" t="str">
        <f>IF(A168="","",--(COUNTIFS($A$2:A168,A168,$F$2:F168,F168)=1))</f>
        <v/>
      </c>
    </row>
    <row r="169" spans="1:16">
      <c r="A169" s="5"/>
      <c r="D169" t="s">
        <v>54</v>
      </c>
      <c r="F169" t="s">
        <v>25</v>
      </c>
      <c r="O169" s="4" t="str">
        <f>IF(A169="","",--(COUNTIF($A$2:A169,A169)=1))</f>
        <v/>
      </c>
      <c r="P169" s="4" t="str">
        <f>IF(A169="","",--(COUNTIFS($A$2:A169,A169,$F$2:F169,F169)=1))</f>
        <v/>
      </c>
    </row>
    <row r="170" spans="1:16">
      <c r="A170" s="5"/>
      <c r="D170" t="s">
        <v>54</v>
      </c>
      <c r="F170" t="s">
        <v>25</v>
      </c>
      <c r="O170" s="4" t="str">
        <f>IF(A170="","",--(COUNTIF($A$2:A170,A170)=1))</f>
        <v/>
      </c>
      <c r="P170" s="4" t="str">
        <f>IF(A170="","",--(COUNTIFS($A$2:A170,A170,$F$2:F170,F170)=1))</f>
        <v/>
      </c>
    </row>
    <row r="171" spans="1:16">
      <c r="A171" s="5"/>
      <c r="D171" t="s">
        <v>54</v>
      </c>
      <c r="F171" t="s">
        <v>25</v>
      </c>
      <c r="O171" s="4" t="str">
        <f>IF(A171="","",--(COUNTIF($A$2:A171,A171)=1))</f>
        <v/>
      </c>
      <c r="P171" s="4" t="str">
        <f>IF(A171="","",--(COUNTIFS($A$2:A171,A171,$F$2:F171,F171)=1))</f>
        <v/>
      </c>
    </row>
    <row r="172" spans="1:16">
      <c r="A172" s="5"/>
      <c r="D172" t="s">
        <v>54</v>
      </c>
      <c r="F172" t="s">
        <v>25</v>
      </c>
      <c r="O172" s="4" t="str">
        <f>IF(A172="","",--(COUNTIF($A$2:A172,A172)=1))</f>
        <v/>
      </c>
      <c r="P172" s="4" t="str">
        <f>IF(A172="","",--(COUNTIFS($A$2:A172,A172,$F$2:F172,F172)=1))</f>
        <v/>
      </c>
    </row>
    <row r="173" spans="1:16">
      <c r="A173" s="5"/>
      <c r="D173" t="s">
        <v>54</v>
      </c>
      <c r="F173" t="s">
        <v>25</v>
      </c>
      <c r="O173" s="4" t="str">
        <f>IF(A173="","",--(COUNTIF($A$2:A173,A173)=1))</f>
        <v/>
      </c>
      <c r="P173" s="4" t="str">
        <f>IF(A173="","",--(COUNTIFS($A$2:A173,A173,$F$2:F173,F173)=1))</f>
        <v/>
      </c>
    </row>
    <row r="174" spans="1:16">
      <c r="A174" s="5"/>
      <c r="D174" t="s">
        <v>54</v>
      </c>
      <c r="F174" t="s">
        <v>25</v>
      </c>
      <c r="O174" s="4" t="str">
        <f>IF(A174="","",--(COUNTIF($A$2:A174,A174)=1))</f>
        <v/>
      </c>
      <c r="P174" s="4" t="str">
        <f>IF(A174="","",--(COUNTIFS($A$2:A174,A174,$F$2:F174,F174)=1))</f>
        <v/>
      </c>
    </row>
    <row r="175" spans="1:16">
      <c r="A175" s="5"/>
      <c r="D175" t="s">
        <v>54</v>
      </c>
      <c r="F175" t="s">
        <v>25</v>
      </c>
      <c r="O175" s="4" t="str">
        <f>IF(A175="","",--(COUNTIF($A$2:A175,A175)=1))</f>
        <v/>
      </c>
      <c r="P175" s="4" t="str">
        <f>IF(A175="","",--(COUNTIFS($A$2:A175,A175,$F$2:F175,F175)=1))</f>
        <v/>
      </c>
    </row>
    <row r="176" spans="1:16">
      <c r="A176" s="5"/>
      <c r="D176" t="s">
        <v>54</v>
      </c>
      <c r="F176" t="s">
        <v>25</v>
      </c>
      <c r="O176" s="4" t="str">
        <f>IF(A176="","",--(COUNTIF($A$2:A176,A176)=1))</f>
        <v/>
      </c>
      <c r="P176" s="4" t="str">
        <f>IF(A176="","",--(COUNTIFS($A$2:A176,A176,$F$2:F176,F176)=1))</f>
        <v/>
      </c>
    </row>
    <row r="177" spans="1:16">
      <c r="A177" s="5"/>
      <c r="D177" t="s">
        <v>54</v>
      </c>
      <c r="F177" t="s">
        <v>25</v>
      </c>
      <c r="O177" s="4" t="str">
        <f>IF(A177="","",--(COUNTIF($A$2:A177,A177)=1))</f>
        <v/>
      </c>
      <c r="P177" s="4" t="str">
        <f>IF(A177="","",--(COUNTIFS($A$2:A177,A177,$F$2:F177,F177)=1))</f>
        <v/>
      </c>
    </row>
    <row r="178" spans="1:16">
      <c r="A178" s="5"/>
      <c r="D178" t="s">
        <v>54</v>
      </c>
      <c r="F178" t="s">
        <v>25</v>
      </c>
      <c r="O178" s="4" t="str">
        <f>IF(A178="","",--(COUNTIF($A$2:A178,A178)=1))</f>
        <v/>
      </c>
      <c r="P178" s="4" t="str">
        <f>IF(A178="","",--(COUNTIFS($A$2:A178,A178,$F$2:F178,F178)=1))</f>
        <v/>
      </c>
    </row>
    <row r="179" spans="1:16">
      <c r="A179" s="5"/>
      <c r="D179" t="s">
        <v>54</v>
      </c>
      <c r="F179" t="s">
        <v>25</v>
      </c>
      <c r="O179" s="4" t="str">
        <f>IF(A179="","",--(COUNTIF($A$2:A179,A179)=1))</f>
        <v/>
      </c>
      <c r="P179" s="4" t="str">
        <f>IF(A179="","",--(COUNTIFS($A$2:A179,A179,$F$2:F179,F179)=1))</f>
        <v/>
      </c>
    </row>
    <row r="180" spans="1:16">
      <c r="A180" s="5"/>
      <c r="D180" t="s">
        <v>54</v>
      </c>
      <c r="F180" t="s">
        <v>25</v>
      </c>
      <c r="O180" s="4" t="str">
        <f>IF(A180="","",--(COUNTIF($A$2:A180,A180)=1))</f>
        <v/>
      </c>
      <c r="P180" s="4" t="str">
        <f>IF(A180="","",--(COUNTIFS($A$2:A180,A180,$F$2:F180,F180)=1))</f>
        <v/>
      </c>
    </row>
    <row r="181" spans="1:16">
      <c r="A181" s="5"/>
      <c r="D181" t="s">
        <v>54</v>
      </c>
      <c r="F181" t="s">
        <v>25</v>
      </c>
      <c r="O181" s="4" t="str">
        <f>IF(A181="","",--(COUNTIF($A$2:A181,A181)=1))</f>
        <v/>
      </c>
      <c r="P181" s="4" t="str">
        <f>IF(A181="","",--(COUNTIFS($A$2:A181,A181,$F$2:F181,F181)=1))</f>
        <v/>
      </c>
    </row>
    <row r="182" spans="1:16">
      <c r="A182" s="5"/>
      <c r="D182" t="s">
        <v>54</v>
      </c>
      <c r="F182" t="s">
        <v>25</v>
      </c>
      <c r="O182" s="4" t="str">
        <f>IF(A182="","",--(COUNTIF($A$2:A182,A182)=1))</f>
        <v/>
      </c>
      <c r="P182" s="4" t="str">
        <f>IF(A182="","",--(COUNTIFS($A$2:A182,A182,$F$2:F182,F182)=1))</f>
        <v/>
      </c>
    </row>
    <row r="183" spans="1:16">
      <c r="A183" s="5"/>
      <c r="D183" t="s">
        <v>54</v>
      </c>
      <c r="F183" t="s">
        <v>25</v>
      </c>
      <c r="O183" s="4" t="str">
        <f>IF(A183="","",--(COUNTIF($A$2:A183,A183)=1))</f>
        <v/>
      </c>
      <c r="P183" s="4" t="str">
        <f>IF(A183="","",--(COUNTIFS($A$2:A183,A183,$F$2:F183,F183)=1))</f>
        <v/>
      </c>
    </row>
    <row r="184" spans="1:16">
      <c r="A184" s="5"/>
      <c r="D184" t="s">
        <v>54</v>
      </c>
      <c r="F184" t="s">
        <v>25</v>
      </c>
      <c r="O184" s="4" t="str">
        <f>IF(A184="","",--(COUNTIF($A$2:A184,A184)=1))</f>
        <v/>
      </c>
      <c r="P184" s="4" t="str">
        <f>IF(A184="","",--(COUNTIFS($A$2:A184,A184,$F$2:F184,F184)=1))</f>
        <v/>
      </c>
    </row>
    <row r="185" spans="1:16">
      <c r="A185" s="5"/>
      <c r="D185" t="s">
        <v>54</v>
      </c>
      <c r="F185" t="s">
        <v>25</v>
      </c>
      <c r="O185" s="4" t="str">
        <f>IF(A185="","",--(COUNTIF($A$2:A185,A185)=1))</f>
        <v/>
      </c>
      <c r="P185" s="4" t="str">
        <f>IF(A185="","",--(COUNTIFS($A$2:A185,A185,$F$2:F185,F185)=1))</f>
        <v/>
      </c>
    </row>
    <row r="186" spans="1:16">
      <c r="A186" s="5"/>
      <c r="D186" t="s">
        <v>54</v>
      </c>
      <c r="F186" t="s">
        <v>25</v>
      </c>
      <c r="O186" s="4" t="str">
        <f>IF(A186="","",--(COUNTIF($A$2:A186,A186)=1))</f>
        <v/>
      </c>
      <c r="P186" s="4" t="str">
        <f>IF(A186="","",--(COUNTIFS($A$2:A186,A186,$F$2:F186,F186)=1))</f>
        <v/>
      </c>
    </row>
    <row r="187" spans="1:16">
      <c r="A187" s="5"/>
      <c r="D187" t="s">
        <v>54</v>
      </c>
      <c r="F187" t="s">
        <v>25</v>
      </c>
      <c r="O187" s="4" t="str">
        <f>IF(A187="","",--(COUNTIF($A$2:A187,A187)=1))</f>
        <v/>
      </c>
      <c r="P187" s="4" t="str">
        <f>IF(A187="","",--(COUNTIFS($A$2:A187,A187,$F$2:F187,F187)=1))</f>
        <v/>
      </c>
    </row>
    <row r="188" spans="1:16">
      <c r="A188" s="5"/>
      <c r="D188" t="s">
        <v>54</v>
      </c>
      <c r="F188" t="s">
        <v>25</v>
      </c>
      <c r="O188" s="4" t="str">
        <f>IF(A188="","",--(COUNTIF($A$2:A188,A188)=1))</f>
        <v/>
      </c>
      <c r="P188" s="4" t="str">
        <f>IF(A188="","",--(COUNTIFS($A$2:A188,A188,$F$2:F188,F188)=1))</f>
        <v/>
      </c>
    </row>
    <row r="189" spans="1:16">
      <c r="A189" s="5"/>
      <c r="D189" t="s">
        <v>54</v>
      </c>
      <c r="F189" t="s">
        <v>25</v>
      </c>
      <c r="O189" s="4" t="str">
        <f>IF(A189="","",--(COUNTIF($A$2:A189,A189)=1))</f>
        <v/>
      </c>
      <c r="P189" s="4" t="str">
        <f>IF(A189="","",--(COUNTIFS($A$2:A189,A189,$F$2:F189,F189)=1))</f>
        <v/>
      </c>
    </row>
    <row r="190" spans="1:16">
      <c r="A190" s="5"/>
      <c r="D190" t="s">
        <v>54</v>
      </c>
      <c r="F190" t="s">
        <v>25</v>
      </c>
      <c r="O190" s="4" t="str">
        <f>IF(A190="","",--(COUNTIF($A$2:A190,A190)=1))</f>
        <v/>
      </c>
      <c r="P190" s="4" t="str">
        <f>IF(A190="","",--(COUNTIFS($A$2:A190,A190,$F$2:F190,F190)=1))</f>
        <v/>
      </c>
    </row>
    <row r="191" spans="1:16">
      <c r="A191" s="5"/>
      <c r="D191" t="s">
        <v>54</v>
      </c>
      <c r="F191" t="s">
        <v>25</v>
      </c>
      <c r="O191" s="4" t="str">
        <f>IF(A191="","",--(COUNTIF($A$2:A191,A191)=1))</f>
        <v/>
      </c>
      <c r="P191" s="4" t="str">
        <f>IF(A191="","",--(COUNTIFS($A$2:A191,A191,$F$2:F191,F191)=1))</f>
        <v/>
      </c>
    </row>
    <row r="192" spans="1:16">
      <c r="A192" s="5"/>
      <c r="D192" t="s">
        <v>54</v>
      </c>
      <c r="F192" t="s">
        <v>25</v>
      </c>
      <c r="O192" s="4" t="str">
        <f>IF(A192="","",--(COUNTIF($A$2:A192,A192)=1))</f>
        <v/>
      </c>
      <c r="P192" s="4" t="str">
        <f>IF(A192="","",--(COUNTIFS($A$2:A192,A192,$F$2:F192,F192)=1))</f>
        <v/>
      </c>
    </row>
    <row r="193" spans="1:16">
      <c r="A193" s="5"/>
      <c r="D193" t="s">
        <v>54</v>
      </c>
      <c r="F193" t="s">
        <v>25</v>
      </c>
      <c r="O193" s="4" t="str">
        <f>IF(A193="","",--(COUNTIF($A$2:A193,A193)=1))</f>
        <v/>
      </c>
      <c r="P193" s="4" t="str">
        <f>IF(A193="","",--(COUNTIFS($A$2:A193,A193,$F$2:F193,F193)=1))</f>
        <v/>
      </c>
    </row>
    <row r="194" spans="1:16">
      <c r="A194" s="5"/>
      <c r="D194" t="s">
        <v>54</v>
      </c>
      <c r="F194" t="s">
        <v>25</v>
      </c>
      <c r="O194" s="4" t="str">
        <f>IF(A194="","",--(COUNTIF($A$2:A194,A194)=1))</f>
        <v/>
      </c>
      <c r="P194" s="4" t="str">
        <f>IF(A194="","",--(COUNTIFS($A$2:A194,A194,$F$2:F194,F194)=1))</f>
        <v/>
      </c>
    </row>
    <row r="195" spans="1:16">
      <c r="A195" s="5"/>
      <c r="D195" t="s">
        <v>54</v>
      </c>
      <c r="F195" t="s">
        <v>25</v>
      </c>
      <c r="O195" s="4" t="str">
        <f>IF(A195="","",--(COUNTIF($A$2:A195,A195)=1))</f>
        <v/>
      </c>
      <c r="P195" s="4" t="str">
        <f>IF(A195="","",--(COUNTIFS($A$2:A195,A195,$F$2:F195,F195)=1))</f>
        <v/>
      </c>
    </row>
    <row r="196" spans="1:16">
      <c r="A196" s="5"/>
      <c r="D196" t="s">
        <v>54</v>
      </c>
      <c r="F196" t="s">
        <v>25</v>
      </c>
      <c r="O196" s="4" t="str">
        <f>IF(A196="","",--(COUNTIF($A$2:A196,A196)=1))</f>
        <v/>
      </c>
      <c r="P196" s="4" t="str">
        <f>IF(A196="","",--(COUNTIFS($A$2:A196,A196,$F$2:F196,F196)=1))</f>
        <v/>
      </c>
    </row>
    <row r="197" spans="1:16">
      <c r="A197" s="5"/>
      <c r="D197" t="s">
        <v>54</v>
      </c>
      <c r="F197" t="s">
        <v>25</v>
      </c>
      <c r="O197" s="4" t="str">
        <f>IF(A197="","",--(COUNTIF($A$2:A197,A197)=1))</f>
        <v/>
      </c>
      <c r="P197" s="4" t="str">
        <f>IF(A197="","",--(COUNTIFS($A$2:A197,A197,$F$2:F197,F197)=1))</f>
        <v/>
      </c>
    </row>
    <row r="198" spans="1:16">
      <c r="A198" s="5"/>
      <c r="D198" t="s">
        <v>54</v>
      </c>
      <c r="F198" t="s">
        <v>25</v>
      </c>
      <c r="O198" s="4" t="str">
        <f>IF(A198="","",--(COUNTIF($A$2:A198,A198)=1))</f>
        <v/>
      </c>
      <c r="P198" s="4" t="str">
        <f>IF(A198="","",--(COUNTIFS($A$2:A198,A198,$F$2:F198,F198)=1))</f>
        <v/>
      </c>
    </row>
    <row r="199" spans="1:16">
      <c r="A199" s="5"/>
      <c r="D199" t="s">
        <v>54</v>
      </c>
      <c r="F199" t="s">
        <v>25</v>
      </c>
      <c r="O199" s="4" t="str">
        <f>IF(A199="","",--(COUNTIF($A$2:A199,A199)=1))</f>
        <v/>
      </c>
      <c r="P199" s="4" t="str">
        <f>IF(A199="","",--(COUNTIFS($A$2:A199,A199,$F$2:F199,F199)=1))</f>
        <v/>
      </c>
    </row>
    <row r="200" spans="1:16">
      <c r="A200" s="5"/>
      <c r="D200" t="s">
        <v>54</v>
      </c>
      <c r="F200" t="s">
        <v>25</v>
      </c>
      <c r="O200" s="4" t="str">
        <f>IF(A200="","",--(COUNTIF($A$2:A200,A200)=1))</f>
        <v/>
      </c>
      <c r="P200" s="4" t="str">
        <f>IF(A200="","",--(COUNTIFS($A$2:A200,A200,$F$2:F200,F200)=1))</f>
        <v/>
      </c>
    </row>
    <row r="201" spans="1:16">
      <c r="A201" s="5"/>
      <c r="D201" t="s">
        <v>54</v>
      </c>
      <c r="F201" t="s">
        <v>25</v>
      </c>
      <c r="O201" s="4" t="str">
        <f>IF(A201="","",--(COUNTIF($A$2:A201,A201)=1))</f>
        <v/>
      </c>
      <c r="P201" s="4" t="str">
        <f>IF(A201="","",--(COUNTIFS($A$2:A201,A201,$F$2:F201,F201)=1))</f>
        <v/>
      </c>
    </row>
    <row r="202" spans="1:16">
      <c r="A202" s="5"/>
      <c r="D202" t="s">
        <v>54</v>
      </c>
      <c r="F202" t="s">
        <v>25</v>
      </c>
      <c r="O202" s="4" t="str">
        <f>IF(A202="","",--(COUNTIF($A$2:A202,A202)=1))</f>
        <v/>
      </c>
      <c r="P202" s="4" t="str">
        <f>IF(A202="","",--(COUNTIFS($A$2:A202,A202,$F$2:F202,F202)=1))</f>
        <v/>
      </c>
    </row>
    <row r="203" spans="1:16">
      <c r="A203" s="5"/>
      <c r="D203" t="s">
        <v>54</v>
      </c>
      <c r="F203" t="s">
        <v>25</v>
      </c>
      <c r="O203" s="4" t="str">
        <f>IF(A203="","",--(COUNTIF($A$2:A203,A203)=1))</f>
        <v/>
      </c>
      <c r="P203" s="4" t="str">
        <f>IF(A203="","",--(COUNTIFS($A$2:A203,A203,$F$2:F203,F203)=1))</f>
        <v/>
      </c>
    </row>
    <row r="204" spans="1:16">
      <c r="A204" s="5"/>
      <c r="D204" t="s">
        <v>54</v>
      </c>
      <c r="F204" t="s">
        <v>25</v>
      </c>
      <c r="O204" s="4" t="str">
        <f>IF(A204="","",--(COUNTIF($A$2:A204,A204)=1))</f>
        <v/>
      </c>
      <c r="P204" s="4" t="str">
        <f>IF(A204="","",--(COUNTIFS($A$2:A204,A204,$F$2:F204,F204)=1))</f>
        <v/>
      </c>
    </row>
    <row r="205" spans="1:16">
      <c r="A205" s="5"/>
      <c r="D205" t="s">
        <v>54</v>
      </c>
      <c r="F205" t="s">
        <v>25</v>
      </c>
      <c r="O205" s="4" t="str">
        <f>IF(A205="","",--(COUNTIF($A$2:A205,A205)=1))</f>
        <v/>
      </c>
      <c r="P205" s="4" t="str">
        <f>IF(A205="","",--(COUNTIFS($A$2:A205,A205,$F$2:F205,F205)=1))</f>
        <v/>
      </c>
    </row>
    <row r="206" spans="1:16">
      <c r="A206" s="5"/>
      <c r="D206" t="s">
        <v>54</v>
      </c>
      <c r="F206" t="s">
        <v>25</v>
      </c>
      <c r="O206" s="4" t="str">
        <f>IF(A206="","",--(COUNTIF($A$2:A206,A206)=1))</f>
        <v/>
      </c>
      <c r="P206" s="4" t="str">
        <f>IF(A206="","",--(COUNTIFS($A$2:A206,A206,$F$2:F206,F206)=1))</f>
        <v/>
      </c>
    </row>
    <row r="207" spans="1:16">
      <c r="A207" s="5"/>
      <c r="D207" t="s">
        <v>54</v>
      </c>
      <c r="F207" t="s">
        <v>25</v>
      </c>
      <c r="O207" s="4" t="str">
        <f>IF(A207="","",--(COUNTIF($A$2:A207,A207)=1))</f>
        <v/>
      </c>
      <c r="P207" s="4" t="str">
        <f>IF(A207="","",--(COUNTIFS($A$2:A207,A207,$F$2:F207,F207)=1))</f>
        <v/>
      </c>
    </row>
    <row r="208" spans="1:16">
      <c r="A208" s="5"/>
      <c r="D208" t="s">
        <v>54</v>
      </c>
      <c r="F208" t="s">
        <v>25</v>
      </c>
      <c r="O208" s="4" t="str">
        <f>IF(A208="","",--(COUNTIF($A$2:A208,A208)=1))</f>
        <v/>
      </c>
      <c r="P208" s="4" t="str">
        <f>IF(A208="","",--(COUNTIFS($A$2:A208,A208,$F$2:F208,F208)=1))</f>
        <v/>
      </c>
    </row>
    <row r="209" spans="1:16">
      <c r="A209" s="5"/>
      <c r="D209" t="s">
        <v>54</v>
      </c>
      <c r="F209" t="s">
        <v>25</v>
      </c>
      <c r="O209" s="4" t="str">
        <f>IF(A209="","",--(COUNTIF($A$2:A209,A209)=1))</f>
        <v/>
      </c>
      <c r="P209" s="4" t="str">
        <f>IF(A209="","",--(COUNTIFS($A$2:A209,A209,$F$2:F209,F209)=1))</f>
        <v/>
      </c>
    </row>
    <row r="210" spans="1:16">
      <c r="A210" s="5"/>
      <c r="D210" t="s">
        <v>54</v>
      </c>
      <c r="F210" t="s">
        <v>25</v>
      </c>
      <c r="O210" s="4" t="str">
        <f>IF(A210="","",--(COUNTIF($A$2:A210,A210)=1))</f>
        <v/>
      </c>
      <c r="P210" s="4" t="str">
        <f>IF(A210="","",--(COUNTIFS($A$2:A210,A210,$F$2:F210,F210)=1))</f>
        <v/>
      </c>
    </row>
    <row r="211" spans="1:16">
      <c r="A211" s="5"/>
      <c r="D211" t="s">
        <v>54</v>
      </c>
      <c r="F211" t="s">
        <v>25</v>
      </c>
      <c r="O211" s="4" t="str">
        <f>IF(A211="","",--(COUNTIF($A$2:A211,A211)=1))</f>
        <v/>
      </c>
      <c r="P211" s="4" t="str">
        <f>IF(A211="","",--(COUNTIFS($A$2:A211,A211,$F$2:F211,F211)=1))</f>
        <v/>
      </c>
    </row>
    <row r="212" spans="1:16">
      <c r="A212" s="5"/>
      <c r="D212" t="s">
        <v>54</v>
      </c>
      <c r="F212" t="s">
        <v>25</v>
      </c>
      <c r="O212" s="4" t="str">
        <f>IF(A212="","",--(COUNTIF($A$2:A212,A212)=1))</f>
        <v/>
      </c>
      <c r="P212" s="4" t="str">
        <f>IF(A212="","",--(COUNTIFS($A$2:A212,A212,$F$2:F212,F212)=1))</f>
        <v/>
      </c>
    </row>
    <row r="213" spans="1:16">
      <c r="A213" s="5"/>
      <c r="D213" t="s">
        <v>54</v>
      </c>
      <c r="F213" t="s">
        <v>25</v>
      </c>
      <c r="O213" s="4" t="str">
        <f>IF(A213="","",--(COUNTIF($A$2:A213,A213)=1))</f>
        <v/>
      </c>
      <c r="P213" s="4" t="str">
        <f>IF(A213="","",--(COUNTIFS($A$2:A213,A213,$F$2:F213,F213)=1))</f>
        <v/>
      </c>
    </row>
    <row r="214" spans="1:16">
      <c r="A214" s="5"/>
      <c r="D214" t="s">
        <v>54</v>
      </c>
      <c r="F214" t="s">
        <v>25</v>
      </c>
      <c r="O214" s="4" t="str">
        <f>IF(A214="","",--(COUNTIF($A$2:A214,A214)=1))</f>
        <v/>
      </c>
      <c r="P214" s="4" t="str">
        <f>IF(A214="","",--(COUNTIFS($A$2:A214,A214,$F$2:F214,F214)=1))</f>
        <v/>
      </c>
    </row>
    <row r="215" spans="1:16">
      <c r="A215" s="5"/>
      <c r="D215" t="s">
        <v>54</v>
      </c>
      <c r="F215" t="s">
        <v>25</v>
      </c>
      <c r="O215" s="4" t="str">
        <f>IF(A215="","",--(COUNTIF($A$2:A215,A215)=1))</f>
        <v/>
      </c>
      <c r="P215" s="4" t="str">
        <f>IF(A215="","",--(COUNTIFS($A$2:A215,A215,$F$2:F215,F215)=1))</f>
        <v/>
      </c>
    </row>
    <row r="216" spans="1:16">
      <c r="A216" s="5"/>
      <c r="D216" t="s">
        <v>54</v>
      </c>
      <c r="F216" t="s">
        <v>25</v>
      </c>
      <c r="O216" s="4" t="str">
        <f>IF(A216="","",--(COUNTIF($A$2:A216,A216)=1))</f>
        <v/>
      </c>
      <c r="P216" s="4" t="str">
        <f>IF(A216="","",--(COUNTIFS($A$2:A216,A216,$F$2:F216,F216)=1))</f>
        <v/>
      </c>
    </row>
    <row r="217" spans="1:16">
      <c r="A217" s="5"/>
      <c r="D217" t="s">
        <v>54</v>
      </c>
      <c r="F217" t="s">
        <v>25</v>
      </c>
      <c r="O217" s="4" t="str">
        <f>IF(A217="","",--(COUNTIF($A$2:A217,A217)=1))</f>
        <v/>
      </c>
      <c r="P217" s="4" t="str">
        <f>IF(A217="","",--(COUNTIFS($A$2:A217,A217,$F$2:F217,F217)=1))</f>
        <v/>
      </c>
    </row>
    <row r="218" spans="1:16">
      <c r="A218" s="5"/>
      <c r="D218" t="s">
        <v>54</v>
      </c>
      <c r="F218" t="s">
        <v>25</v>
      </c>
      <c r="O218" s="4" t="str">
        <f>IF(A218="","",--(COUNTIF($A$2:A218,A218)=1))</f>
        <v/>
      </c>
      <c r="P218" s="4" t="str">
        <f>IF(A218="","",--(COUNTIFS($A$2:A218,A218,$F$2:F218,F218)=1))</f>
        <v/>
      </c>
    </row>
    <row r="219" spans="1:16">
      <c r="A219" s="5"/>
      <c r="D219" t="s">
        <v>54</v>
      </c>
      <c r="F219" t="s">
        <v>25</v>
      </c>
      <c r="O219" s="4" t="str">
        <f>IF(A219="","",--(COUNTIF($A$2:A219,A219)=1))</f>
        <v/>
      </c>
      <c r="P219" s="4" t="str">
        <f>IF(A219="","",--(COUNTIFS($A$2:A219,A219,$F$2:F219,F219)=1))</f>
        <v/>
      </c>
    </row>
    <row r="220" spans="1:16">
      <c r="A220" s="5"/>
      <c r="D220" t="s">
        <v>54</v>
      </c>
      <c r="F220" t="s">
        <v>25</v>
      </c>
      <c r="O220" s="4" t="str">
        <f>IF(A220="","",--(COUNTIF($A$2:A220,A220)=1))</f>
        <v/>
      </c>
      <c r="P220" s="4" t="str">
        <f>IF(A220="","",--(COUNTIFS($A$2:A220,A220,$F$2:F220,F220)=1))</f>
        <v/>
      </c>
    </row>
    <row r="221" spans="1:16">
      <c r="A221" s="5"/>
      <c r="D221" t="s">
        <v>54</v>
      </c>
      <c r="F221" t="s">
        <v>25</v>
      </c>
      <c r="O221" s="4" t="str">
        <f>IF(A221="","",--(COUNTIF($A$2:A221,A221)=1))</f>
        <v/>
      </c>
      <c r="P221" s="4" t="str">
        <f>IF(A221="","",--(COUNTIFS($A$2:A221,A221,$F$2:F221,F221)=1))</f>
        <v/>
      </c>
    </row>
    <row r="222" spans="1:16">
      <c r="A222" s="5"/>
      <c r="D222" t="s">
        <v>54</v>
      </c>
      <c r="F222" t="s">
        <v>25</v>
      </c>
      <c r="O222" s="4" t="str">
        <f>IF(A222="","",--(COUNTIF($A$2:A222,A222)=1))</f>
        <v/>
      </c>
      <c r="P222" s="4" t="str">
        <f>IF(A222="","",--(COUNTIFS($A$2:A222,A222,$F$2:F222,F222)=1))</f>
        <v/>
      </c>
    </row>
    <row r="223" spans="1:16">
      <c r="A223" s="5"/>
      <c r="D223" t="s">
        <v>54</v>
      </c>
      <c r="F223" t="s">
        <v>25</v>
      </c>
      <c r="O223" s="4" t="str">
        <f>IF(A223="","",--(COUNTIF($A$2:A223,A223)=1))</f>
        <v/>
      </c>
      <c r="P223" s="4" t="str">
        <f>IF(A223="","",--(COUNTIFS($A$2:A223,A223,$F$2:F223,F223)=1))</f>
        <v/>
      </c>
    </row>
    <row r="224" spans="1:16">
      <c r="A224" s="5"/>
      <c r="D224" t="s">
        <v>54</v>
      </c>
      <c r="F224" t="s">
        <v>25</v>
      </c>
      <c r="O224" s="4" t="str">
        <f>IF(A224="","",--(COUNTIF($A$2:A224,A224)=1))</f>
        <v/>
      </c>
      <c r="P224" s="4" t="str">
        <f>IF(A224="","",--(COUNTIFS($A$2:A224,A224,$F$2:F224,F224)=1))</f>
        <v/>
      </c>
    </row>
    <row r="225" spans="1:16">
      <c r="A225" s="5"/>
      <c r="D225" t="s">
        <v>54</v>
      </c>
      <c r="F225" t="s">
        <v>25</v>
      </c>
      <c r="O225" s="4" t="str">
        <f>IF(A225="","",--(COUNTIF($A$2:A225,A225)=1))</f>
        <v/>
      </c>
      <c r="P225" s="4" t="str">
        <f>IF(A225="","",--(COUNTIFS($A$2:A225,A225,$F$2:F225,F225)=1))</f>
        <v/>
      </c>
    </row>
    <row r="226" spans="1:16">
      <c r="A226" s="5"/>
      <c r="D226" t="s">
        <v>54</v>
      </c>
      <c r="F226" t="s">
        <v>25</v>
      </c>
      <c r="O226" s="4" t="str">
        <f>IF(A226="","",--(COUNTIF($A$2:A226,A226)=1))</f>
        <v/>
      </c>
      <c r="P226" s="4" t="str">
        <f>IF(A226="","",--(COUNTIFS($A$2:A226,A226,$F$2:F226,F226)=1))</f>
        <v/>
      </c>
    </row>
    <row r="227" spans="1:16">
      <c r="A227" s="5"/>
      <c r="D227" t="s">
        <v>54</v>
      </c>
      <c r="F227" t="s">
        <v>25</v>
      </c>
      <c r="O227" s="4" t="str">
        <f>IF(A227="","",--(COUNTIF($A$2:A227,A227)=1))</f>
        <v/>
      </c>
      <c r="P227" s="4" t="str">
        <f>IF(A227="","",--(COUNTIFS($A$2:A227,A227,$F$2:F227,F227)=1))</f>
        <v/>
      </c>
    </row>
    <row r="228" spans="1:16">
      <c r="A228" s="5"/>
      <c r="D228" t="s">
        <v>54</v>
      </c>
      <c r="F228" t="s">
        <v>25</v>
      </c>
      <c r="O228" s="4" t="str">
        <f>IF(A228="","",--(COUNTIF($A$2:A228,A228)=1))</f>
        <v/>
      </c>
      <c r="P228" s="4" t="str">
        <f>IF(A228="","",--(COUNTIFS($A$2:A228,A228,$F$2:F228,F228)=1))</f>
        <v/>
      </c>
    </row>
    <row r="229" spans="1:16">
      <c r="A229" s="5"/>
      <c r="D229" t="s">
        <v>54</v>
      </c>
      <c r="F229" t="s">
        <v>25</v>
      </c>
      <c r="O229" s="4" t="str">
        <f>IF(A229="","",--(COUNTIF($A$2:A229,A229)=1))</f>
        <v/>
      </c>
      <c r="P229" s="4" t="str">
        <f>IF(A229="","",--(COUNTIFS($A$2:A229,A229,$F$2:F229,F229)=1))</f>
        <v/>
      </c>
    </row>
    <row r="230" spans="1:16">
      <c r="A230" s="5"/>
      <c r="D230" t="s">
        <v>54</v>
      </c>
      <c r="F230" t="s">
        <v>25</v>
      </c>
      <c r="O230" s="4" t="str">
        <f>IF(A230="","",--(COUNTIF($A$2:A230,A230)=1))</f>
        <v/>
      </c>
      <c r="P230" s="4" t="str">
        <f>IF(A230="","",--(COUNTIFS($A$2:A230,A230,$F$2:F230,F230)=1))</f>
        <v/>
      </c>
    </row>
    <row r="231" spans="1:16">
      <c r="A231" s="5"/>
      <c r="D231" t="s">
        <v>54</v>
      </c>
      <c r="F231" t="s">
        <v>25</v>
      </c>
      <c r="O231" s="4" t="str">
        <f>IF(A231="","",--(COUNTIF($A$2:A231,A231)=1))</f>
        <v/>
      </c>
      <c r="P231" s="4" t="str">
        <f>IF(A231="","",--(COUNTIFS($A$2:A231,A231,$F$2:F231,F231)=1))</f>
        <v/>
      </c>
    </row>
    <row r="232" spans="1:16">
      <c r="A232" s="5"/>
      <c r="D232" t="s">
        <v>54</v>
      </c>
      <c r="F232" t="s">
        <v>25</v>
      </c>
      <c r="O232" s="4" t="str">
        <f>IF(A232="","",--(COUNTIF($A$2:A232,A232)=1))</f>
        <v/>
      </c>
      <c r="P232" s="4" t="str">
        <f>IF(A232="","",--(COUNTIFS($A$2:A232,A232,$F$2:F232,F232)=1))</f>
        <v/>
      </c>
    </row>
    <row r="233" spans="1:16">
      <c r="A233" s="5"/>
      <c r="D233" t="s">
        <v>54</v>
      </c>
      <c r="F233" t="s">
        <v>25</v>
      </c>
      <c r="O233" s="4" t="str">
        <f>IF(A233="","",--(COUNTIF($A$2:A233,A233)=1))</f>
        <v/>
      </c>
      <c r="P233" s="4" t="str">
        <f>IF(A233="","",--(COUNTIFS($A$2:A233,A233,$F$2:F233,F233)=1))</f>
        <v/>
      </c>
    </row>
    <row r="234" spans="1:16">
      <c r="A234" s="5"/>
      <c r="D234" t="s">
        <v>54</v>
      </c>
      <c r="F234" t="s">
        <v>25</v>
      </c>
      <c r="O234" s="4" t="str">
        <f>IF(A234="","",--(COUNTIF($A$2:A234,A234)=1))</f>
        <v/>
      </c>
      <c r="P234" s="4" t="str">
        <f>IF(A234="","",--(COUNTIFS($A$2:A234,A234,$F$2:F234,F234)=1))</f>
        <v/>
      </c>
    </row>
    <row r="235" spans="1:16">
      <c r="A235" s="5"/>
      <c r="D235" t="s">
        <v>54</v>
      </c>
      <c r="F235" t="s">
        <v>25</v>
      </c>
      <c r="O235" s="4" t="str">
        <f>IF(A235="","",--(COUNTIF($A$2:A235,A235)=1))</f>
        <v/>
      </c>
      <c r="P235" s="4" t="str">
        <f>IF(A235="","",--(COUNTIFS($A$2:A235,A235,$F$2:F235,F235)=1))</f>
        <v/>
      </c>
    </row>
    <row r="236" spans="1:16">
      <c r="A236" s="5"/>
      <c r="D236" t="s">
        <v>54</v>
      </c>
      <c r="F236" t="s">
        <v>25</v>
      </c>
      <c r="O236" s="4" t="str">
        <f>IF(A236="","",--(COUNTIF($A$2:A236,A236)=1))</f>
        <v/>
      </c>
      <c r="P236" s="4" t="str">
        <f>IF(A236="","",--(COUNTIFS($A$2:A236,A236,$F$2:F236,F236)=1))</f>
        <v/>
      </c>
    </row>
    <row r="237" spans="1:16">
      <c r="A237" s="5"/>
      <c r="D237" t="s">
        <v>54</v>
      </c>
      <c r="F237" t="s">
        <v>25</v>
      </c>
      <c r="O237" s="4" t="str">
        <f>IF(A237="","",--(COUNTIF($A$2:A237,A237)=1))</f>
        <v/>
      </c>
      <c r="P237" s="4" t="str">
        <f>IF(A237="","",--(COUNTIFS($A$2:A237,A237,$F$2:F237,F237)=1))</f>
        <v/>
      </c>
    </row>
    <row r="238" spans="1:16">
      <c r="A238" s="5"/>
      <c r="D238" t="s">
        <v>54</v>
      </c>
      <c r="F238" t="s">
        <v>25</v>
      </c>
      <c r="O238" s="4" t="str">
        <f>IF(A238="","",--(COUNTIF($A$2:A238,A238)=1))</f>
        <v/>
      </c>
      <c r="P238" s="4" t="str">
        <f>IF(A238="","",--(COUNTIFS($A$2:A238,A238,$F$2:F238,F238)=1))</f>
        <v/>
      </c>
    </row>
    <row r="239" spans="1:16">
      <c r="A239" s="5"/>
      <c r="D239" t="s">
        <v>54</v>
      </c>
      <c r="F239" t="s">
        <v>25</v>
      </c>
      <c r="O239" s="4" t="str">
        <f>IF(A239="","",--(COUNTIF($A$2:A239,A239)=1))</f>
        <v/>
      </c>
      <c r="P239" s="4" t="str">
        <f>IF(A239="","",--(COUNTIFS($A$2:A239,A239,$F$2:F239,F239)=1))</f>
        <v/>
      </c>
    </row>
    <row r="240" spans="1:16">
      <c r="A240" s="5"/>
      <c r="D240" t="s">
        <v>54</v>
      </c>
      <c r="F240" t="s">
        <v>25</v>
      </c>
      <c r="O240" s="4" t="str">
        <f>IF(A240="","",--(COUNTIF($A$2:A240,A240)=1))</f>
        <v/>
      </c>
      <c r="P240" s="4" t="str">
        <f>IF(A240="","",--(COUNTIFS($A$2:A240,A240,$F$2:F240,F240)=1))</f>
        <v/>
      </c>
    </row>
    <row r="241" spans="1:16">
      <c r="A241" s="5"/>
      <c r="D241" t="s">
        <v>54</v>
      </c>
      <c r="F241" t="s">
        <v>25</v>
      </c>
      <c r="O241" s="4" t="str">
        <f>IF(A241="","",--(COUNTIF($A$2:A241,A241)=1))</f>
        <v/>
      </c>
      <c r="P241" s="4" t="str">
        <f>IF(A241="","",--(COUNTIFS($A$2:A241,A241,$F$2:F241,F241)=1))</f>
        <v/>
      </c>
    </row>
    <row r="242" spans="1:16">
      <c r="A242" s="5"/>
      <c r="D242" t="s">
        <v>54</v>
      </c>
      <c r="F242" t="s">
        <v>25</v>
      </c>
      <c r="O242" s="4" t="str">
        <f>IF(A242="","",--(COUNTIF($A$2:A242,A242)=1))</f>
        <v/>
      </c>
      <c r="P242" s="4" t="str">
        <f>IF(A242="","",--(COUNTIFS($A$2:A242,A242,$F$2:F242,F242)=1))</f>
        <v/>
      </c>
    </row>
    <row r="243" spans="1:16">
      <c r="A243" s="5"/>
      <c r="D243" t="s">
        <v>54</v>
      </c>
      <c r="F243" t="s">
        <v>25</v>
      </c>
      <c r="O243" s="4" t="str">
        <f>IF(A243="","",--(COUNTIF($A$2:A243,A243)=1))</f>
        <v/>
      </c>
      <c r="P243" s="4" t="str">
        <f>IF(A243="","",--(COUNTIFS($A$2:A243,A243,$F$2:F243,F243)=1))</f>
        <v/>
      </c>
    </row>
    <row r="244" spans="1:16">
      <c r="A244" s="5"/>
      <c r="D244" t="s">
        <v>54</v>
      </c>
      <c r="F244" t="s">
        <v>25</v>
      </c>
      <c r="O244" s="4" t="str">
        <f>IF(A244="","",--(COUNTIF($A$2:A244,A244)=1))</f>
        <v/>
      </c>
      <c r="P244" s="4" t="str">
        <f>IF(A244="","",--(COUNTIFS($A$2:A244,A244,$F$2:F244,F244)=1))</f>
        <v/>
      </c>
    </row>
    <row r="245" spans="1:16">
      <c r="A245" s="5"/>
      <c r="D245" t="s">
        <v>54</v>
      </c>
      <c r="F245" t="s">
        <v>25</v>
      </c>
      <c r="O245" s="4" t="str">
        <f>IF(A245="","",--(COUNTIF($A$2:A245,A245)=1))</f>
        <v/>
      </c>
      <c r="P245" s="4" t="str">
        <f>IF(A245="","",--(COUNTIFS($A$2:A245,A245,$F$2:F245,F245)=1))</f>
        <v/>
      </c>
    </row>
    <row r="246" spans="1:16">
      <c r="A246" s="5"/>
      <c r="D246" t="s">
        <v>54</v>
      </c>
      <c r="F246" t="s">
        <v>25</v>
      </c>
      <c r="O246" s="4" t="str">
        <f>IF(A246="","",--(COUNTIF($A$2:A246,A246)=1))</f>
        <v/>
      </c>
      <c r="P246" s="4" t="str">
        <f>IF(A246="","",--(COUNTIFS($A$2:A246,A246,$F$2:F246,F246)=1))</f>
        <v/>
      </c>
    </row>
    <row r="247" spans="1:16">
      <c r="A247" s="5"/>
      <c r="D247" t="s">
        <v>54</v>
      </c>
      <c r="F247" t="s">
        <v>25</v>
      </c>
      <c r="O247" s="4" t="str">
        <f>IF(A247="","",--(COUNTIF($A$2:A247,A247)=1))</f>
        <v/>
      </c>
      <c r="P247" s="4" t="str">
        <f>IF(A247="","",--(COUNTIFS($A$2:A247,A247,$F$2:F247,F247)=1))</f>
        <v/>
      </c>
    </row>
    <row r="248" spans="1:16">
      <c r="A248" s="5"/>
      <c r="D248" t="s">
        <v>54</v>
      </c>
      <c r="F248" t="s">
        <v>25</v>
      </c>
      <c r="O248" s="4" t="str">
        <f>IF(A248="","",--(COUNTIF($A$2:A248,A248)=1))</f>
        <v/>
      </c>
      <c r="P248" s="4" t="str">
        <f>IF(A248="","",--(COUNTIFS($A$2:A248,A248,$F$2:F248,F248)=1))</f>
        <v/>
      </c>
    </row>
    <row r="249" spans="1:16">
      <c r="A249" s="5"/>
      <c r="D249" t="s">
        <v>54</v>
      </c>
      <c r="F249" t="s">
        <v>25</v>
      </c>
      <c r="O249" s="4" t="str">
        <f>IF(A249="","",--(COUNTIF($A$2:A249,A249)=1))</f>
        <v/>
      </c>
      <c r="P249" s="4" t="str">
        <f>IF(A249="","",--(COUNTIFS($A$2:A249,A249,$F$2:F249,F249)=1))</f>
        <v/>
      </c>
    </row>
    <row r="250" spans="1:16">
      <c r="A250" s="5"/>
      <c r="D250" t="s">
        <v>54</v>
      </c>
      <c r="F250" t="s">
        <v>25</v>
      </c>
      <c r="O250" s="4" t="str">
        <f>IF(A250="","",--(COUNTIF($A$2:A250,A250)=1))</f>
        <v/>
      </c>
      <c r="P250" s="4" t="str">
        <f>IF(A250="","",--(COUNTIFS($A$2:A250,A250,$F$2:F250,F250)=1))</f>
        <v/>
      </c>
    </row>
    <row r="251" spans="1:16">
      <c r="A251" s="5"/>
      <c r="D251" t="s">
        <v>54</v>
      </c>
      <c r="F251" t="s">
        <v>25</v>
      </c>
      <c r="O251" s="4" t="str">
        <f>IF(A251="","",--(COUNTIF($A$2:A251,A251)=1))</f>
        <v/>
      </c>
      <c r="P251" s="4" t="str">
        <f>IF(A251="","",--(COUNTIFS($A$2:A251,A251,$F$2:F251,F251)=1))</f>
        <v/>
      </c>
    </row>
    <row r="252" spans="1:16">
      <c r="A252" s="5"/>
      <c r="D252" t="s">
        <v>54</v>
      </c>
      <c r="F252" t="s">
        <v>25</v>
      </c>
      <c r="O252" s="4" t="str">
        <f>IF(A252="","",--(COUNTIF($A$2:A252,A252)=1))</f>
        <v/>
      </c>
      <c r="P252" s="4" t="str">
        <f>IF(A252="","",--(COUNTIFS($A$2:A252,A252,$F$2:F252,F252)=1))</f>
        <v/>
      </c>
    </row>
    <row r="253" spans="1:16">
      <c r="A253" s="5"/>
      <c r="D253" t="s">
        <v>54</v>
      </c>
      <c r="F253" t="s">
        <v>25</v>
      </c>
      <c r="O253" s="4" t="str">
        <f>IF(A253="","",--(COUNTIF($A$2:A253,A253)=1))</f>
        <v/>
      </c>
      <c r="P253" s="4" t="str">
        <f>IF(A253="","",--(COUNTIFS($A$2:A253,A253,$F$2:F253,F253)=1))</f>
        <v/>
      </c>
    </row>
    <row r="254" spans="1:16">
      <c r="A254" s="5"/>
      <c r="D254" t="s">
        <v>54</v>
      </c>
      <c r="F254" t="s">
        <v>25</v>
      </c>
      <c r="O254" s="4" t="str">
        <f>IF(A254="","",--(COUNTIF($A$2:A254,A254)=1))</f>
        <v/>
      </c>
      <c r="P254" s="4" t="str">
        <f>IF(A254="","",--(COUNTIFS($A$2:A254,A254,$F$2:F254,F254)=1))</f>
        <v/>
      </c>
    </row>
    <row r="255" spans="1:16">
      <c r="A255" s="5"/>
      <c r="D255" t="s">
        <v>54</v>
      </c>
      <c r="F255" t="s">
        <v>25</v>
      </c>
      <c r="O255" s="4" t="str">
        <f>IF(A255="","",--(COUNTIF($A$2:A255,A255)=1))</f>
        <v/>
      </c>
      <c r="P255" s="4" t="str">
        <f>IF(A255="","",--(COUNTIFS($A$2:A255,A255,$F$2:F255,F255)=1))</f>
        <v/>
      </c>
    </row>
    <row r="256" spans="1:16">
      <c r="A256" s="5"/>
      <c r="D256" t="s">
        <v>54</v>
      </c>
      <c r="F256" t="s">
        <v>25</v>
      </c>
      <c r="O256" s="4" t="str">
        <f>IF(A256="","",--(COUNTIF($A$2:A256,A256)=1))</f>
        <v/>
      </c>
      <c r="P256" s="4" t="str">
        <f>IF(A256="","",--(COUNTIFS($A$2:A256,A256,$F$2:F256,F256)=1))</f>
        <v/>
      </c>
    </row>
    <row r="257" spans="1:16">
      <c r="A257" s="5"/>
      <c r="D257" t="s">
        <v>54</v>
      </c>
      <c r="F257" t="s">
        <v>25</v>
      </c>
      <c r="O257" s="4" t="str">
        <f>IF(A257="","",--(COUNTIF($A$2:A257,A257)=1))</f>
        <v/>
      </c>
      <c r="P257" s="4" t="str">
        <f>IF(A257="","",--(COUNTIFS($A$2:A257,A257,$F$2:F257,F257)=1))</f>
        <v/>
      </c>
    </row>
    <row r="258" spans="1:16">
      <c r="A258" s="5"/>
      <c r="D258" t="s">
        <v>54</v>
      </c>
      <c r="F258" t="s">
        <v>25</v>
      </c>
      <c r="O258" s="4" t="str">
        <f>IF(A258="","",--(COUNTIF($A$2:A258,A258)=1))</f>
        <v/>
      </c>
      <c r="P258" s="4" t="str">
        <f>IF(A258="","",--(COUNTIFS($A$2:A258,A258,$F$2:F258,F258)=1))</f>
        <v/>
      </c>
    </row>
    <row r="259" spans="1:16">
      <c r="A259" s="5"/>
      <c r="D259" t="s">
        <v>54</v>
      </c>
      <c r="F259" t="s">
        <v>25</v>
      </c>
      <c r="O259" s="4" t="str">
        <f>IF(A259="","",--(COUNTIF($A$2:A259,A259)=1))</f>
        <v/>
      </c>
      <c r="P259" s="4" t="str">
        <f>IF(A259="","",--(COUNTIFS($A$2:A259,A259,$F$2:F259,F259)=1))</f>
        <v/>
      </c>
    </row>
    <row r="260" spans="1:16">
      <c r="A260" s="5"/>
      <c r="D260" t="s">
        <v>54</v>
      </c>
      <c r="F260" t="s">
        <v>25</v>
      </c>
      <c r="O260" s="4" t="str">
        <f>IF(A260="","",--(COUNTIF($A$2:A260,A260)=1))</f>
        <v/>
      </c>
      <c r="P260" s="4" t="str">
        <f>IF(A260="","",--(COUNTIFS($A$2:A260,A260,$F$2:F260,F260)=1))</f>
        <v/>
      </c>
    </row>
    <row r="261" spans="1:16">
      <c r="A261" s="5"/>
      <c r="D261" t="s">
        <v>54</v>
      </c>
      <c r="F261" t="s">
        <v>25</v>
      </c>
      <c r="O261" s="4" t="str">
        <f>IF(A261="","",--(COUNTIF($A$2:A261,A261)=1))</f>
        <v/>
      </c>
      <c r="P261" s="4" t="str">
        <f>IF(A261="","",--(COUNTIFS($A$2:A261,A261,$F$2:F261,F261)=1))</f>
        <v/>
      </c>
    </row>
    <row r="262" spans="1:16">
      <c r="A262" s="5"/>
      <c r="D262" t="s">
        <v>54</v>
      </c>
      <c r="F262" t="s">
        <v>25</v>
      </c>
      <c r="O262" s="4" t="str">
        <f>IF(A262="","",--(COUNTIF($A$2:A262,A262)=1))</f>
        <v/>
      </c>
      <c r="P262" s="4" t="str">
        <f>IF(A262="","",--(COUNTIFS($A$2:A262,A262,$F$2:F262,F262)=1))</f>
        <v/>
      </c>
    </row>
    <row r="263" spans="1:16">
      <c r="A263" s="5"/>
      <c r="D263" t="s">
        <v>54</v>
      </c>
      <c r="F263" t="s">
        <v>25</v>
      </c>
      <c r="O263" s="4" t="str">
        <f>IF(A263="","",--(COUNTIF($A$2:A263,A263)=1))</f>
        <v/>
      </c>
      <c r="P263" s="4" t="str">
        <f>IF(A263="","",--(COUNTIFS($A$2:A263,A263,$F$2:F263,F263)=1))</f>
        <v/>
      </c>
    </row>
    <row r="264" spans="1:16">
      <c r="A264" s="5"/>
      <c r="D264" t="s">
        <v>54</v>
      </c>
      <c r="F264" t="s">
        <v>25</v>
      </c>
      <c r="O264" s="4" t="str">
        <f>IF(A264="","",--(COUNTIF($A$2:A264,A264)=1))</f>
        <v/>
      </c>
      <c r="P264" s="4" t="str">
        <f>IF(A264="","",--(COUNTIFS($A$2:A264,A264,$F$2:F264,F264)=1))</f>
        <v/>
      </c>
    </row>
    <row r="265" spans="1:16">
      <c r="A265" s="5"/>
      <c r="D265" t="s">
        <v>54</v>
      </c>
      <c r="F265" t="s">
        <v>25</v>
      </c>
      <c r="O265" s="4" t="str">
        <f>IF(A265="","",--(COUNTIF($A$2:A265,A265)=1))</f>
        <v/>
      </c>
      <c r="P265" s="4" t="str">
        <f>IF(A265="","",--(COUNTIFS($A$2:A265,A265,$F$2:F265,F265)=1))</f>
        <v/>
      </c>
    </row>
    <row r="266" spans="1:16">
      <c r="A266" s="5"/>
      <c r="D266" t="s">
        <v>54</v>
      </c>
      <c r="F266" t="s">
        <v>25</v>
      </c>
      <c r="O266" s="4" t="str">
        <f>IF(A266="","",--(COUNTIF($A$2:A266,A266)=1))</f>
        <v/>
      </c>
      <c r="P266" s="4" t="str">
        <f>IF(A266="","",--(COUNTIFS($A$2:A266,A266,$F$2:F266,F266)=1))</f>
        <v/>
      </c>
    </row>
    <row r="267" spans="1:16">
      <c r="A267" s="5"/>
      <c r="D267" t="s">
        <v>54</v>
      </c>
      <c r="F267" t="s">
        <v>25</v>
      </c>
      <c r="O267" s="4" t="str">
        <f>IF(A267="","",--(COUNTIF($A$2:A267,A267)=1))</f>
        <v/>
      </c>
      <c r="P267" s="4" t="str">
        <f>IF(A267="","",--(COUNTIFS($A$2:A267,A267,$F$2:F267,F267)=1))</f>
        <v/>
      </c>
    </row>
    <row r="268" spans="1:16">
      <c r="A268" s="5"/>
      <c r="D268" t="s">
        <v>54</v>
      </c>
      <c r="F268" t="s">
        <v>25</v>
      </c>
      <c r="O268" s="4" t="str">
        <f>IF(A268="","",--(COUNTIF($A$2:A268,A268)=1))</f>
        <v/>
      </c>
      <c r="P268" s="4" t="str">
        <f>IF(A268="","",--(COUNTIFS($A$2:A268,A268,$F$2:F268,F268)=1))</f>
        <v/>
      </c>
    </row>
    <row r="269" spans="1:16">
      <c r="A269" s="5"/>
      <c r="D269" t="s">
        <v>54</v>
      </c>
      <c r="F269" t="s">
        <v>25</v>
      </c>
      <c r="O269" s="4" t="str">
        <f>IF(A269="","",--(COUNTIF($A$2:A269,A269)=1))</f>
        <v/>
      </c>
      <c r="P269" s="4" t="str">
        <f>IF(A269="","",--(COUNTIFS($A$2:A269,A269,$F$2:F269,F269)=1))</f>
        <v/>
      </c>
    </row>
    <row r="270" spans="1:16">
      <c r="A270" s="5"/>
      <c r="D270" t="s">
        <v>54</v>
      </c>
      <c r="F270" t="s">
        <v>25</v>
      </c>
      <c r="O270" s="4" t="str">
        <f>IF(A270="","",--(COUNTIF($A$2:A270,A270)=1))</f>
        <v/>
      </c>
      <c r="P270" s="4" t="str">
        <f>IF(A270="","",--(COUNTIFS($A$2:A270,A270,$F$2:F270,F270)=1))</f>
        <v/>
      </c>
    </row>
    <row r="271" spans="1:16">
      <c r="A271" s="5"/>
      <c r="D271" t="s">
        <v>54</v>
      </c>
      <c r="F271" t="s">
        <v>25</v>
      </c>
      <c r="O271" s="4" t="str">
        <f>IF(A271="","",--(COUNTIF($A$2:A271,A271)=1))</f>
        <v/>
      </c>
      <c r="P271" s="4" t="str">
        <f>IF(A271="","",--(COUNTIFS($A$2:A271,A271,$F$2:F271,F271)=1))</f>
        <v/>
      </c>
    </row>
    <row r="272" spans="1:16">
      <c r="A272" s="5"/>
      <c r="D272" t="s">
        <v>54</v>
      </c>
      <c r="F272" t="s">
        <v>25</v>
      </c>
      <c r="O272" s="4" t="str">
        <f>IF(A272="","",--(COUNTIF($A$2:A272,A272)=1))</f>
        <v/>
      </c>
      <c r="P272" s="4" t="str">
        <f>IF(A272="","",--(COUNTIFS($A$2:A272,A272,$F$2:F272,F272)=1))</f>
        <v/>
      </c>
    </row>
    <row r="273" spans="1:16">
      <c r="A273" s="5"/>
      <c r="D273" t="s">
        <v>54</v>
      </c>
      <c r="F273" t="s">
        <v>25</v>
      </c>
      <c r="O273" s="4" t="str">
        <f>IF(A273="","",--(COUNTIF($A$2:A273,A273)=1))</f>
        <v/>
      </c>
      <c r="P273" s="4" t="str">
        <f>IF(A273="","",--(COUNTIFS($A$2:A273,A273,$F$2:F273,F273)=1))</f>
        <v/>
      </c>
    </row>
    <row r="274" spans="1:16">
      <c r="A274" s="5"/>
      <c r="D274" t="s">
        <v>54</v>
      </c>
      <c r="F274" t="s">
        <v>25</v>
      </c>
      <c r="O274" s="4" t="str">
        <f>IF(A274="","",--(COUNTIF($A$2:A274,A274)=1))</f>
        <v/>
      </c>
      <c r="P274" s="4" t="str">
        <f>IF(A274="","",--(COUNTIFS($A$2:A274,A274,$F$2:F274,F274)=1))</f>
        <v/>
      </c>
    </row>
    <row r="275" spans="1:16">
      <c r="A275" s="5"/>
      <c r="D275" t="s">
        <v>54</v>
      </c>
      <c r="F275" t="s">
        <v>25</v>
      </c>
      <c r="O275" s="4" t="str">
        <f>IF(A275="","",--(COUNTIF($A$2:A275,A275)=1))</f>
        <v/>
      </c>
      <c r="P275" s="4" t="str">
        <f>IF(A275="","",--(COUNTIFS($A$2:A275,A275,$F$2:F275,F275)=1))</f>
        <v/>
      </c>
    </row>
    <row r="276" spans="1:16">
      <c r="A276" s="5"/>
      <c r="D276" t="s">
        <v>54</v>
      </c>
      <c r="F276" t="s">
        <v>25</v>
      </c>
      <c r="O276" s="4" t="str">
        <f>IF(A276="","",--(COUNTIF($A$2:A276,A276)=1))</f>
        <v/>
      </c>
      <c r="P276" s="4" t="str">
        <f>IF(A276="","",--(COUNTIFS($A$2:A276,A276,$F$2:F276,F276)=1))</f>
        <v/>
      </c>
    </row>
    <row r="277" spans="1:16">
      <c r="A277" s="5"/>
      <c r="D277" t="s">
        <v>54</v>
      </c>
      <c r="F277" t="s">
        <v>25</v>
      </c>
      <c r="O277" s="4" t="str">
        <f>IF(A277="","",--(COUNTIF($A$2:A277,A277)=1))</f>
        <v/>
      </c>
      <c r="P277" s="4" t="str">
        <f>IF(A277="","",--(COUNTIFS($A$2:A277,A277,$F$2:F277,F277)=1))</f>
        <v/>
      </c>
    </row>
    <row r="278" spans="1:16">
      <c r="A278" s="5"/>
      <c r="D278" t="s">
        <v>54</v>
      </c>
      <c r="F278" t="s">
        <v>25</v>
      </c>
      <c r="O278" s="4" t="str">
        <f>IF(A278="","",--(COUNTIF($A$2:A278,A278)=1))</f>
        <v/>
      </c>
      <c r="P278" s="4" t="str">
        <f>IF(A278="","",--(COUNTIFS($A$2:A278,A278,$F$2:F278,F278)=1))</f>
        <v/>
      </c>
    </row>
    <row r="279" spans="1:16">
      <c r="A279" s="5"/>
      <c r="D279" t="s">
        <v>54</v>
      </c>
      <c r="F279" t="s">
        <v>25</v>
      </c>
      <c r="O279" s="4" t="str">
        <f>IF(A279="","",--(COUNTIF($A$2:A279,A279)=1))</f>
        <v/>
      </c>
      <c r="P279" s="4" t="str">
        <f>IF(A279="","",--(COUNTIFS($A$2:A279,A279,$F$2:F279,F279)=1))</f>
        <v/>
      </c>
    </row>
    <row r="280" spans="1:16">
      <c r="A280" s="5"/>
      <c r="D280" t="s">
        <v>54</v>
      </c>
      <c r="F280" t="s">
        <v>25</v>
      </c>
      <c r="O280" s="4" t="str">
        <f>IF(A280="","",--(COUNTIF($A$2:A280,A280)=1))</f>
        <v/>
      </c>
      <c r="P280" s="4" t="str">
        <f>IF(A280="","",--(COUNTIFS($A$2:A280,A280,$F$2:F280,F280)=1))</f>
        <v/>
      </c>
    </row>
    <row r="281" spans="1:16">
      <c r="A281" s="5"/>
      <c r="D281" t="s">
        <v>54</v>
      </c>
      <c r="F281" t="s">
        <v>25</v>
      </c>
      <c r="O281" s="4" t="str">
        <f>IF(A281="","",--(COUNTIF($A$2:A281,A281)=1))</f>
        <v/>
      </c>
      <c r="P281" s="4" t="str">
        <f>IF(A281="","",--(COUNTIFS($A$2:A281,A281,$F$2:F281,F281)=1))</f>
        <v/>
      </c>
    </row>
    <row r="282" spans="1:16">
      <c r="A282" s="5"/>
      <c r="D282" t="s">
        <v>54</v>
      </c>
      <c r="F282" t="s">
        <v>25</v>
      </c>
      <c r="O282" s="4" t="str">
        <f>IF(A282="","",--(COUNTIF($A$2:A282,A282)=1))</f>
        <v/>
      </c>
      <c r="P282" s="4" t="str">
        <f>IF(A282="","",--(COUNTIFS($A$2:A282,A282,$F$2:F282,F282)=1))</f>
        <v/>
      </c>
    </row>
    <row r="283" spans="1:16">
      <c r="A283" s="5"/>
      <c r="D283" t="s">
        <v>54</v>
      </c>
      <c r="F283" t="s">
        <v>25</v>
      </c>
      <c r="O283" s="4" t="str">
        <f>IF(A283="","",--(COUNTIF($A$2:A283,A283)=1))</f>
        <v/>
      </c>
      <c r="P283" s="4" t="str">
        <f>IF(A283="","",--(COUNTIFS($A$2:A283,A283,$F$2:F283,F283)=1))</f>
        <v/>
      </c>
    </row>
    <row r="284" spans="1:16">
      <c r="A284" s="5"/>
      <c r="D284" t="s">
        <v>54</v>
      </c>
      <c r="F284" t="s">
        <v>25</v>
      </c>
      <c r="O284" s="4" t="str">
        <f>IF(A284="","",--(COUNTIF($A$2:A284,A284)=1))</f>
        <v/>
      </c>
      <c r="P284" s="4" t="str">
        <f>IF(A284="","",--(COUNTIFS($A$2:A284,A284,$F$2:F284,F284)=1))</f>
        <v/>
      </c>
    </row>
    <row r="285" spans="1:16">
      <c r="A285" s="5"/>
      <c r="D285" t="s">
        <v>54</v>
      </c>
      <c r="F285" t="s">
        <v>25</v>
      </c>
      <c r="O285" s="4" t="str">
        <f>IF(A285="","",--(COUNTIF($A$2:A285,A285)=1))</f>
        <v/>
      </c>
      <c r="P285" s="4" t="str">
        <f>IF(A285="","",--(COUNTIFS($A$2:A285,A285,$F$2:F285,F285)=1))</f>
        <v/>
      </c>
    </row>
    <row r="286" spans="1:16">
      <c r="A286" s="5"/>
      <c r="D286" t="s">
        <v>54</v>
      </c>
      <c r="F286" t="s">
        <v>25</v>
      </c>
      <c r="O286" s="4" t="str">
        <f>IF(A286="","",--(COUNTIF($A$2:A286,A286)=1))</f>
        <v/>
      </c>
      <c r="P286" s="4" t="str">
        <f>IF(A286="","",--(COUNTIFS($A$2:A286,A286,$F$2:F286,F286)=1))</f>
        <v/>
      </c>
    </row>
    <row r="287" spans="1:16">
      <c r="A287" s="5"/>
      <c r="D287" t="s">
        <v>54</v>
      </c>
      <c r="F287" t="s">
        <v>25</v>
      </c>
      <c r="O287" s="4" t="str">
        <f>IF(A287="","",--(COUNTIF($A$2:A287,A287)=1))</f>
        <v/>
      </c>
      <c r="P287" s="4" t="str">
        <f>IF(A287="","",--(COUNTIFS($A$2:A287,A287,$F$2:F287,F287)=1))</f>
        <v/>
      </c>
    </row>
    <row r="288" spans="1:16">
      <c r="A288" s="5"/>
      <c r="D288" t="s">
        <v>54</v>
      </c>
      <c r="F288" t="s">
        <v>25</v>
      </c>
      <c r="O288" s="4" t="str">
        <f>IF(A288="","",--(COUNTIF($A$2:A288,A288)=1))</f>
        <v/>
      </c>
      <c r="P288" s="4" t="str">
        <f>IF(A288="","",--(COUNTIFS($A$2:A288,A288,$F$2:F288,F288)=1))</f>
        <v/>
      </c>
    </row>
    <row r="289" spans="1:16">
      <c r="A289" s="5"/>
      <c r="D289" t="s">
        <v>54</v>
      </c>
      <c r="F289" t="s">
        <v>25</v>
      </c>
      <c r="O289" s="4" t="str">
        <f>IF(A289="","",--(COUNTIF($A$2:A289,A289)=1))</f>
        <v/>
      </c>
      <c r="P289" s="4" t="str">
        <f>IF(A289="","",--(COUNTIFS($A$2:A289,A289,$F$2:F289,F289)=1))</f>
        <v/>
      </c>
    </row>
    <row r="290" spans="1:16">
      <c r="A290" s="5"/>
      <c r="D290" t="s">
        <v>54</v>
      </c>
      <c r="F290" t="s">
        <v>25</v>
      </c>
      <c r="O290" s="4" t="str">
        <f>IF(A290="","",--(COUNTIF($A$2:A290,A290)=1))</f>
        <v/>
      </c>
      <c r="P290" s="4" t="str">
        <f>IF(A290="","",--(COUNTIFS($A$2:A290,A290,$F$2:F290,F290)=1))</f>
        <v/>
      </c>
    </row>
    <row r="291" spans="1:16">
      <c r="A291" s="5"/>
      <c r="D291" t="s">
        <v>54</v>
      </c>
      <c r="F291" t="s">
        <v>25</v>
      </c>
      <c r="O291" s="4" t="str">
        <f>IF(A291="","",--(COUNTIF($A$2:A291,A291)=1))</f>
        <v/>
      </c>
      <c r="P291" s="4" t="str">
        <f>IF(A291="","",--(COUNTIFS($A$2:A291,A291,$F$2:F291,F291)=1))</f>
        <v/>
      </c>
    </row>
    <row r="292" spans="1:16">
      <c r="A292" s="5"/>
      <c r="D292" t="s">
        <v>54</v>
      </c>
      <c r="F292" t="s">
        <v>25</v>
      </c>
      <c r="O292" s="4" t="str">
        <f>IF(A292="","",--(COUNTIF($A$2:A292,A292)=1))</f>
        <v/>
      </c>
      <c r="P292" s="4" t="str">
        <f>IF(A292="","",--(COUNTIFS($A$2:A292,A292,$F$2:F292,F292)=1))</f>
        <v/>
      </c>
    </row>
    <row r="293" spans="1:16">
      <c r="A293" s="5"/>
      <c r="D293" t="s">
        <v>54</v>
      </c>
      <c r="F293" t="s">
        <v>25</v>
      </c>
      <c r="O293" s="4" t="str">
        <f>IF(A293="","",--(COUNTIF($A$2:A293,A293)=1))</f>
        <v/>
      </c>
      <c r="P293" s="4" t="str">
        <f>IF(A293="","",--(COUNTIFS($A$2:A293,A293,$F$2:F293,F293)=1))</f>
        <v/>
      </c>
    </row>
    <row r="294" spans="1:16">
      <c r="A294" s="5"/>
      <c r="D294" t="s">
        <v>54</v>
      </c>
      <c r="F294" t="s">
        <v>25</v>
      </c>
      <c r="O294" s="4" t="str">
        <f>IF(A294="","",--(COUNTIF($A$2:A294,A294)=1))</f>
        <v/>
      </c>
      <c r="P294" s="4" t="str">
        <f>IF(A294="","",--(COUNTIFS($A$2:A294,A294,$F$2:F294,F294)=1))</f>
        <v/>
      </c>
    </row>
    <row r="295" spans="1:16">
      <c r="A295" s="5"/>
      <c r="D295" t="s">
        <v>54</v>
      </c>
      <c r="F295" t="s">
        <v>25</v>
      </c>
      <c r="O295" s="4" t="str">
        <f>IF(A295="","",--(COUNTIF($A$2:A295,A295)=1))</f>
        <v/>
      </c>
      <c r="P295" s="4" t="str">
        <f>IF(A295="","",--(COUNTIFS($A$2:A295,A295,$F$2:F295,F295)=1))</f>
        <v/>
      </c>
    </row>
    <row r="296" spans="1:16">
      <c r="A296" s="5"/>
      <c r="D296" t="s">
        <v>54</v>
      </c>
      <c r="F296" t="s">
        <v>25</v>
      </c>
      <c r="O296" s="4" t="str">
        <f>IF(A296="","",--(COUNTIF($A$2:A296,A296)=1))</f>
        <v/>
      </c>
      <c r="P296" s="4" t="str">
        <f>IF(A296="","",--(COUNTIFS($A$2:A296,A296,$F$2:F296,F296)=1))</f>
        <v/>
      </c>
    </row>
    <row r="297" spans="1:16">
      <c r="A297" s="5"/>
      <c r="D297" t="s">
        <v>54</v>
      </c>
      <c r="F297" t="s">
        <v>25</v>
      </c>
      <c r="O297" s="4" t="str">
        <f>IF(A297="","",--(COUNTIF($A$2:A297,A297)=1))</f>
        <v/>
      </c>
      <c r="P297" s="4" t="str">
        <f>IF(A297="","",--(COUNTIFS($A$2:A297,A297,$F$2:F297,F297)=1))</f>
        <v/>
      </c>
    </row>
    <row r="298" spans="1:16">
      <c r="A298" s="5"/>
      <c r="D298" t="s">
        <v>54</v>
      </c>
      <c r="F298" t="s">
        <v>25</v>
      </c>
      <c r="O298" s="4" t="str">
        <f>IF(A298="","",--(COUNTIF($A$2:A298,A298)=1))</f>
        <v/>
      </c>
      <c r="P298" s="4" t="str">
        <f>IF(A298="","",--(COUNTIFS($A$2:A298,A298,$F$2:F298,F298)=1))</f>
        <v/>
      </c>
    </row>
    <row r="299" spans="1:16">
      <c r="A299" s="5"/>
      <c r="D299" t="s">
        <v>54</v>
      </c>
      <c r="F299" t="s">
        <v>25</v>
      </c>
      <c r="O299" s="4" t="str">
        <f>IF(A299="","",--(COUNTIF($A$2:A299,A299)=1))</f>
        <v/>
      </c>
      <c r="P299" s="4" t="str">
        <f>IF(A299="","",--(COUNTIFS($A$2:A299,A299,$F$2:F299,F299)=1))</f>
        <v/>
      </c>
    </row>
    <row r="300" spans="1:16">
      <c r="A300" s="5"/>
      <c r="D300" t="s">
        <v>54</v>
      </c>
      <c r="F300" t="s">
        <v>25</v>
      </c>
      <c r="O300" s="4" t="str">
        <f>IF(A300="","",--(COUNTIF($A$2:A300,A300)=1))</f>
        <v/>
      </c>
      <c r="P300" s="4" t="str">
        <f>IF(A300="","",--(COUNTIFS($A$2:A300,A300,$F$2:F300,F300)=1))</f>
        <v/>
      </c>
    </row>
    <row r="301" spans="1:16">
      <c r="A301" s="5"/>
      <c r="D301" t="s">
        <v>54</v>
      </c>
      <c r="F301" t="s">
        <v>25</v>
      </c>
      <c r="O301" s="4" t="str">
        <f>IF(A301="","",--(COUNTIF($A$2:A301,A301)=1))</f>
        <v/>
      </c>
      <c r="P301" s="4" t="str">
        <f>IF(A301="","",--(COUNTIFS($A$2:A301,A301,$F$2:F301,F301)=1))</f>
        <v/>
      </c>
    </row>
    <row r="302" spans="1:16">
      <c r="A302" s="5"/>
      <c r="D302" t="s">
        <v>54</v>
      </c>
      <c r="F302" t="s">
        <v>25</v>
      </c>
      <c r="O302" s="4" t="str">
        <f>IF(A302="","",--(COUNTIF($A$2:A302,A302)=1))</f>
        <v/>
      </c>
      <c r="P302" s="4" t="str">
        <f>IF(A302="","",--(COUNTIFS($A$2:A302,A302,$F$2:F302,F302)=1))</f>
        <v/>
      </c>
    </row>
    <row r="303" spans="1:16">
      <c r="A303" s="5"/>
      <c r="D303" t="s">
        <v>54</v>
      </c>
      <c r="F303" t="s">
        <v>25</v>
      </c>
      <c r="O303" s="4" t="str">
        <f>IF(A303="","",--(COUNTIF($A$2:A303,A303)=1))</f>
        <v/>
      </c>
      <c r="P303" s="4" t="str">
        <f>IF(A303="","",--(COUNTIFS($A$2:A303,A303,$F$2:F303,F303)=1))</f>
        <v/>
      </c>
    </row>
    <row r="304" spans="1:16">
      <c r="A304" s="5"/>
      <c r="D304" t="s">
        <v>54</v>
      </c>
      <c r="F304" t="s">
        <v>25</v>
      </c>
      <c r="O304" s="4" t="str">
        <f>IF(A304="","",--(COUNTIF($A$2:A304,A304)=1))</f>
        <v/>
      </c>
      <c r="P304" s="4" t="str">
        <f>IF(A304="","",--(COUNTIFS($A$2:A304,A304,$F$2:F304,F304)=1))</f>
        <v/>
      </c>
    </row>
    <row r="305" spans="1:16">
      <c r="A305" s="5"/>
      <c r="D305" t="s">
        <v>54</v>
      </c>
      <c r="F305" t="s">
        <v>25</v>
      </c>
      <c r="O305" s="4" t="str">
        <f>IF(A305="","",--(COUNTIF($A$2:A305,A305)=1))</f>
        <v/>
      </c>
      <c r="P305" s="4" t="str">
        <f>IF(A305="","",--(COUNTIFS($A$2:A305,A305,$F$2:F305,F305)=1))</f>
        <v/>
      </c>
    </row>
    <row r="306" spans="1:16">
      <c r="A306" s="5"/>
      <c r="D306" t="s">
        <v>54</v>
      </c>
      <c r="F306" t="s">
        <v>25</v>
      </c>
      <c r="O306" s="4" t="str">
        <f>IF(A306="","",--(COUNTIF($A$2:A306,A306)=1))</f>
        <v/>
      </c>
      <c r="P306" s="4" t="str">
        <f>IF(A306="","",--(COUNTIFS($A$2:A306,A306,$F$2:F306,F306)=1))</f>
        <v/>
      </c>
    </row>
    <row r="307" spans="1:16">
      <c r="A307" s="5"/>
      <c r="D307" t="s">
        <v>54</v>
      </c>
      <c r="F307" t="s">
        <v>25</v>
      </c>
      <c r="O307" s="4" t="str">
        <f>IF(A307="","",--(COUNTIF($A$2:A307,A307)=1))</f>
        <v/>
      </c>
      <c r="P307" s="4" t="str">
        <f>IF(A307="","",--(COUNTIFS($A$2:A307,A307,$F$2:F307,F307)=1))</f>
        <v/>
      </c>
    </row>
    <row r="308" spans="1:16">
      <c r="A308" s="5"/>
      <c r="D308" t="s">
        <v>54</v>
      </c>
      <c r="F308" t="s">
        <v>25</v>
      </c>
      <c r="O308" s="4" t="str">
        <f>IF(A308="","",--(COUNTIF($A$2:A308,A308)=1))</f>
        <v/>
      </c>
      <c r="P308" s="4" t="str">
        <f>IF(A308="","",--(COUNTIFS($A$2:A308,A308,$F$2:F308,F308)=1))</f>
        <v/>
      </c>
    </row>
    <row r="309" spans="1:16">
      <c r="A309" s="5"/>
      <c r="D309" t="s">
        <v>54</v>
      </c>
      <c r="F309" t="s">
        <v>25</v>
      </c>
      <c r="O309" s="4" t="str">
        <f>IF(A309="","",--(COUNTIF($A$2:A309,A309)=1))</f>
        <v/>
      </c>
      <c r="P309" s="4" t="str">
        <f>IF(A309="","",--(COUNTIFS($A$2:A309,A309,$F$2:F309,F309)=1))</f>
        <v/>
      </c>
    </row>
    <row r="310" spans="1:16">
      <c r="A310" s="5"/>
      <c r="D310" t="s">
        <v>54</v>
      </c>
      <c r="F310" t="s">
        <v>25</v>
      </c>
      <c r="O310" s="4" t="str">
        <f>IF(A310="","",--(COUNTIF($A$2:A310,A310)=1))</f>
        <v/>
      </c>
      <c r="P310" s="4" t="str">
        <f>IF(A310="","",--(COUNTIFS($A$2:A310,A310,$F$2:F310,F310)=1))</f>
        <v/>
      </c>
    </row>
    <row r="311" spans="1:16">
      <c r="A311" s="5"/>
      <c r="D311" t="s">
        <v>54</v>
      </c>
      <c r="F311" t="s">
        <v>25</v>
      </c>
      <c r="O311" s="4" t="str">
        <f>IF(A311="","",--(COUNTIF($A$2:A311,A311)=1))</f>
        <v/>
      </c>
      <c r="P311" s="4" t="str">
        <f>IF(A311="","",--(COUNTIFS($A$2:A311,A311,$F$2:F311,F311)=1))</f>
        <v/>
      </c>
    </row>
    <row r="312" spans="1:16">
      <c r="A312" s="5"/>
      <c r="D312" t="s">
        <v>54</v>
      </c>
      <c r="F312" t="s">
        <v>25</v>
      </c>
      <c r="O312" s="4" t="str">
        <f>IF(A312="","",--(COUNTIF($A$2:A312,A312)=1))</f>
        <v/>
      </c>
      <c r="P312" s="4" t="str">
        <f>IF(A312="","",--(COUNTIFS($A$2:A312,A312,$F$2:F312,F312)=1))</f>
        <v/>
      </c>
    </row>
    <row r="313" spans="1:16">
      <c r="A313" s="5"/>
      <c r="D313" t="s">
        <v>54</v>
      </c>
      <c r="F313" t="s">
        <v>25</v>
      </c>
      <c r="O313" s="4" t="str">
        <f>IF(A313="","",--(COUNTIF($A$2:A313,A313)=1))</f>
        <v/>
      </c>
      <c r="P313" s="4" t="str">
        <f>IF(A313="","",--(COUNTIFS($A$2:A313,A313,$F$2:F313,F313)=1))</f>
        <v/>
      </c>
    </row>
    <row r="314" spans="1:16">
      <c r="A314" s="5"/>
      <c r="D314" t="s">
        <v>54</v>
      </c>
      <c r="F314" t="s">
        <v>25</v>
      </c>
      <c r="O314" s="4" t="str">
        <f>IF(A314="","",--(COUNTIF($A$2:A314,A314)=1))</f>
        <v/>
      </c>
      <c r="P314" s="4" t="str">
        <f>IF(A314="","",--(COUNTIFS($A$2:A314,A314,$F$2:F314,F314)=1))</f>
        <v/>
      </c>
    </row>
    <row r="315" spans="1:16">
      <c r="A315" s="5"/>
      <c r="D315" t="s">
        <v>54</v>
      </c>
      <c r="F315" t="s">
        <v>25</v>
      </c>
      <c r="O315" s="4" t="str">
        <f>IF(A315="","",--(COUNTIF($A$2:A315,A315)=1))</f>
        <v/>
      </c>
      <c r="P315" s="4" t="str">
        <f>IF(A315="","",--(COUNTIFS($A$2:A315,A315,$F$2:F315,F315)=1))</f>
        <v/>
      </c>
    </row>
    <row r="316" spans="1:16">
      <c r="A316" s="5"/>
      <c r="D316" t="s">
        <v>54</v>
      </c>
      <c r="F316" t="s">
        <v>25</v>
      </c>
      <c r="O316" s="4" t="str">
        <f>IF(A316="","",--(COUNTIF($A$2:A316,A316)=1))</f>
        <v/>
      </c>
      <c r="P316" s="4" t="str">
        <f>IF(A316="","",--(COUNTIFS($A$2:A316,A316,$F$2:F316,F316)=1))</f>
        <v/>
      </c>
    </row>
    <row r="317" spans="1:16">
      <c r="A317" s="5"/>
      <c r="D317" t="s">
        <v>54</v>
      </c>
      <c r="F317" t="s">
        <v>25</v>
      </c>
      <c r="O317" s="4" t="str">
        <f>IF(A317="","",--(COUNTIF($A$2:A317,A317)=1))</f>
        <v/>
      </c>
      <c r="P317" s="4" t="str">
        <f>IF(A317="","",--(COUNTIFS($A$2:A317,A317,$F$2:F317,F317)=1))</f>
        <v/>
      </c>
    </row>
    <row r="318" spans="1:16">
      <c r="A318" s="5"/>
      <c r="D318" t="s">
        <v>54</v>
      </c>
      <c r="F318" t="s">
        <v>25</v>
      </c>
      <c r="O318" s="4" t="str">
        <f>IF(A318="","",--(COUNTIF($A$2:A318,A318)=1))</f>
        <v/>
      </c>
      <c r="P318" s="4" t="str">
        <f>IF(A318="","",--(COUNTIFS($A$2:A318,A318,$F$2:F318,F318)=1))</f>
        <v/>
      </c>
    </row>
    <row r="319" spans="1:16">
      <c r="A319" s="5"/>
      <c r="D319" t="s">
        <v>54</v>
      </c>
      <c r="F319" t="s">
        <v>25</v>
      </c>
      <c r="O319" s="4" t="str">
        <f>IF(A319="","",--(COUNTIF($A$2:A319,A319)=1))</f>
        <v/>
      </c>
      <c r="P319" s="4" t="str">
        <f>IF(A319="","",--(COUNTIFS($A$2:A319,A319,$F$2:F319,F319)=1))</f>
        <v/>
      </c>
    </row>
    <row r="320" spans="1:16">
      <c r="A320" s="5"/>
      <c r="D320" t="s">
        <v>54</v>
      </c>
      <c r="F320" t="s">
        <v>25</v>
      </c>
      <c r="O320" s="4" t="str">
        <f>IF(A320="","",--(COUNTIF($A$2:A320,A320)=1))</f>
        <v/>
      </c>
      <c r="P320" s="4" t="str">
        <f>IF(A320="","",--(COUNTIFS($A$2:A320,A320,$F$2:F320,F320)=1))</f>
        <v/>
      </c>
    </row>
    <row r="321" spans="1:16">
      <c r="A321" s="5"/>
      <c r="D321" t="s">
        <v>54</v>
      </c>
      <c r="F321" t="s">
        <v>25</v>
      </c>
      <c r="O321" s="4" t="str">
        <f>IF(A321="","",--(COUNTIF($A$2:A321,A321)=1))</f>
        <v/>
      </c>
      <c r="P321" s="4" t="str">
        <f>IF(A321="","",--(COUNTIFS($A$2:A321,A321,$F$2:F321,F321)=1))</f>
        <v/>
      </c>
    </row>
    <row r="322" spans="1:16">
      <c r="A322" s="5"/>
      <c r="D322" t="s">
        <v>54</v>
      </c>
      <c r="F322" t="s">
        <v>25</v>
      </c>
      <c r="O322" s="4" t="str">
        <f>IF(A322="","",--(COUNTIF($A$2:A322,A322)=1))</f>
        <v/>
      </c>
      <c r="P322" s="4" t="str">
        <f>IF(A322="","",--(COUNTIFS($A$2:A322,A322,$F$2:F322,F322)=1))</f>
        <v/>
      </c>
    </row>
    <row r="323" spans="1:16">
      <c r="A323" s="5"/>
      <c r="D323" t="s">
        <v>54</v>
      </c>
      <c r="F323" t="s">
        <v>25</v>
      </c>
      <c r="O323" s="4" t="str">
        <f>IF(A323="","",--(COUNTIF($A$2:A323,A323)=1))</f>
        <v/>
      </c>
      <c r="P323" s="4" t="str">
        <f>IF(A323="","",--(COUNTIFS($A$2:A323,A323,$F$2:F323,F323)=1))</f>
        <v/>
      </c>
    </row>
    <row r="324" spans="1:16">
      <c r="A324" s="5"/>
      <c r="D324" t="s">
        <v>54</v>
      </c>
      <c r="F324" t="s">
        <v>25</v>
      </c>
      <c r="O324" s="4" t="str">
        <f>IF(A324="","",--(COUNTIF($A$2:A324,A324)=1))</f>
        <v/>
      </c>
      <c r="P324" s="4" t="str">
        <f>IF(A324="","",--(COUNTIFS($A$2:A324,A324,$F$2:F324,F324)=1))</f>
        <v/>
      </c>
    </row>
    <row r="325" spans="1:16">
      <c r="A325" s="5"/>
      <c r="D325" t="s">
        <v>54</v>
      </c>
      <c r="F325" t="s">
        <v>25</v>
      </c>
      <c r="O325" s="4" t="str">
        <f>IF(A325="","",--(COUNTIF($A$2:A325,A325)=1))</f>
        <v/>
      </c>
      <c r="P325" s="4" t="str">
        <f>IF(A325="","",--(COUNTIFS($A$2:A325,A325,$F$2:F325,F325)=1))</f>
        <v/>
      </c>
    </row>
    <row r="326" spans="1:16">
      <c r="A326" s="5"/>
      <c r="D326" t="s">
        <v>54</v>
      </c>
      <c r="F326" t="s">
        <v>25</v>
      </c>
      <c r="O326" s="4" t="str">
        <f>IF(A326="","",--(COUNTIF($A$2:A326,A326)=1))</f>
        <v/>
      </c>
      <c r="P326" s="4" t="str">
        <f>IF(A326="","",--(COUNTIFS($A$2:A326,A326,$F$2:F326,F326)=1))</f>
        <v/>
      </c>
    </row>
    <row r="327" spans="1:16">
      <c r="A327" s="5"/>
      <c r="D327" t="s">
        <v>54</v>
      </c>
      <c r="F327" t="s">
        <v>25</v>
      </c>
      <c r="O327" s="4" t="str">
        <f>IF(A327="","",--(COUNTIF($A$2:A327,A327)=1))</f>
        <v/>
      </c>
      <c r="P327" s="4" t="str">
        <f>IF(A327="","",--(COUNTIFS($A$2:A327,A327,$F$2:F327,F327)=1))</f>
        <v/>
      </c>
    </row>
    <row r="328" spans="1:16">
      <c r="A328" s="5"/>
      <c r="D328" t="s">
        <v>54</v>
      </c>
      <c r="F328" t="s">
        <v>25</v>
      </c>
      <c r="O328" s="4" t="str">
        <f>IF(A328="","",--(COUNTIF($A$2:A328,A328)=1))</f>
        <v/>
      </c>
      <c r="P328" s="4" t="str">
        <f>IF(A328="","",--(COUNTIFS($A$2:A328,A328,$F$2:F328,F328)=1))</f>
        <v/>
      </c>
    </row>
    <row r="329" spans="1:16">
      <c r="A329" s="5"/>
      <c r="D329" t="s">
        <v>54</v>
      </c>
      <c r="F329" t="s">
        <v>25</v>
      </c>
      <c r="O329" s="4" t="str">
        <f>IF(A329="","",--(COUNTIF($A$2:A329,A329)=1))</f>
        <v/>
      </c>
      <c r="P329" s="4" t="str">
        <f>IF(A329="","",--(COUNTIFS($A$2:A329,A329,$F$2:F329,F329)=1))</f>
        <v/>
      </c>
    </row>
    <row r="330" spans="1:16">
      <c r="A330" s="5"/>
      <c r="D330" t="s">
        <v>54</v>
      </c>
      <c r="F330" t="s">
        <v>25</v>
      </c>
      <c r="O330" s="4" t="str">
        <f>IF(A330="","",--(COUNTIF($A$2:A330,A330)=1))</f>
        <v/>
      </c>
      <c r="P330" s="4" t="str">
        <f>IF(A330="","",--(COUNTIFS($A$2:A330,A330,$F$2:F330,F330)=1))</f>
        <v/>
      </c>
    </row>
    <row r="331" spans="1:16">
      <c r="A331" s="5"/>
      <c r="D331" t="s">
        <v>54</v>
      </c>
      <c r="F331" t="s">
        <v>25</v>
      </c>
      <c r="O331" s="4" t="str">
        <f>IF(A331="","",--(COUNTIF($A$2:A331,A331)=1))</f>
        <v/>
      </c>
      <c r="P331" s="4" t="str">
        <f>IF(A331="","",--(COUNTIFS($A$2:A331,A331,$F$2:F331,F331)=1))</f>
        <v/>
      </c>
    </row>
    <row r="332" spans="1:16">
      <c r="A332" s="5"/>
      <c r="D332" t="s">
        <v>54</v>
      </c>
      <c r="F332" t="s">
        <v>25</v>
      </c>
      <c r="O332" s="4" t="str">
        <f>IF(A332="","",--(COUNTIF($A$2:A332,A332)=1))</f>
        <v/>
      </c>
      <c r="P332" s="4" t="str">
        <f>IF(A332="","",--(COUNTIFS($A$2:A332,A332,$F$2:F332,F332)=1))</f>
        <v/>
      </c>
    </row>
    <row r="333" spans="1:16">
      <c r="A333" s="5"/>
      <c r="D333" t="s">
        <v>54</v>
      </c>
      <c r="F333" t="s">
        <v>25</v>
      </c>
      <c r="O333" s="4" t="str">
        <f>IF(A333="","",--(COUNTIF($A$2:A333,A333)=1))</f>
        <v/>
      </c>
      <c r="P333" s="4" t="str">
        <f>IF(A333="","",--(COUNTIFS($A$2:A333,A333,$F$2:F333,F333)=1))</f>
        <v/>
      </c>
    </row>
    <row r="334" spans="1:16">
      <c r="A334" s="5"/>
      <c r="D334" t="s">
        <v>54</v>
      </c>
      <c r="F334" t="s">
        <v>25</v>
      </c>
      <c r="O334" s="4" t="str">
        <f>IF(A334="","",--(COUNTIF($A$2:A334,A334)=1))</f>
        <v/>
      </c>
      <c r="P334" s="4" t="str">
        <f>IF(A334="","",--(COUNTIFS($A$2:A334,A334,$F$2:F334,F334)=1))</f>
        <v/>
      </c>
    </row>
    <row r="335" spans="1:16">
      <c r="A335" s="5"/>
      <c r="D335" t="s">
        <v>54</v>
      </c>
      <c r="F335" t="s">
        <v>25</v>
      </c>
      <c r="O335" s="4" t="str">
        <f>IF(A335="","",--(COUNTIF($A$2:A335,A335)=1))</f>
        <v/>
      </c>
      <c r="P335" s="4" t="str">
        <f>IF(A335="","",--(COUNTIFS($A$2:A335,A335,$F$2:F335,F335)=1))</f>
        <v/>
      </c>
    </row>
    <row r="336" spans="1:16">
      <c r="A336" s="5"/>
      <c r="D336" t="s">
        <v>54</v>
      </c>
      <c r="F336" t="s">
        <v>25</v>
      </c>
      <c r="O336" s="4" t="str">
        <f>IF(A336="","",--(COUNTIF($A$2:A336,A336)=1))</f>
        <v/>
      </c>
      <c r="P336" s="4" t="str">
        <f>IF(A336="","",--(COUNTIFS($A$2:A336,A336,$F$2:F336,F336)=1))</f>
        <v/>
      </c>
    </row>
    <row r="337" spans="1:16">
      <c r="A337" s="5"/>
      <c r="D337" t="s">
        <v>54</v>
      </c>
      <c r="F337" t="s">
        <v>25</v>
      </c>
      <c r="O337" s="4" t="str">
        <f>IF(A337="","",--(COUNTIF($A$2:A337,A337)=1))</f>
        <v/>
      </c>
      <c r="P337" s="4" t="str">
        <f>IF(A337="","",--(COUNTIFS($A$2:A337,A337,$F$2:F337,F337)=1))</f>
        <v/>
      </c>
    </row>
    <row r="338" spans="1:16">
      <c r="A338" s="5"/>
      <c r="D338" t="s">
        <v>54</v>
      </c>
      <c r="F338" t="s">
        <v>25</v>
      </c>
      <c r="O338" s="4" t="str">
        <f>IF(A338="","",--(COUNTIF($A$2:A338,A338)=1))</f>
        <v/>
      </c>
      <c r="P338" s="4" t="str">
        <f>IF(A338="","",--(COUNTIFS($A$2:A338,A338,$F$2:F338,F338)=1))</f>
        <v/>
      </c>
    </row>
    <row r="339" spans="1:16">
      <c r="A339" s="5"/>
      <c r="D339" t="s">
        <v>54</v>
      </c>
      <c r="F339" t="s">
        <v>25</v>
      </c>
      <c r="O339" s="4" t="str">
        <f>IF(A339="","",--(COUNTIF($A$2:A339,A339)=1))</f>
        <v/>
      </c>
      <c r="P339" s="4" t="str">
        <f>IF(A339="","",--(COUNTIFS($A$2:A339,A339,$F$2:F339,F339)=1))</f>
        <v/>
      </c>
    </row>
    <row r="340" spans="1:16">
      <c r="A340" s="5"/>
      <c r="D340" t="s">
        <v>54</v>
      </c>
      <c r="F340" t="s">
        <v>25</v>
      </c>
      <c r="O340" s="4" t="str">
        <f>IF(A340="","",--(COUNTIF($A$2:A340,A340)=1))</f>
        <v/>
      </c>
      <c r="P340" s="4" t="str">
        <f>IF(A340="","",--(COUNTIFS($A$2:A340,A340,$F$2:F340,F340)=1))</f>
        <v/>
      </c>
    </row>
    <row r="341" spans="1:16">
      <c r="A341" s="5"/>
      <c r="D341" t="s">
        <v>54</v>
      </c>
      <c r="F341" t="s">
        <v>25</v>
      </c>
      <c r="O341" s="4" t="str">
        <f>IF(A341="","",--(COUNTIF($A$2:A341,A341)=1))</f>
        <v/>
      </c>
      <c r="P341" s="4" t="str">
        <f>IF(A341="","",--(COUNTIFS($A$2:A341,A341,$F$2:F341,F341)=1))</f>
        <v/>
      </c>
    </row>
    <row r="342" spans="1:16">
      <c r="A342" s="5"/>
      <c r="D342" t="s">
        <v>54</v>
      </c>
      <c r="F342" t="s">
        <v>25</v>
      </c>
      <c r="O342" s="4" t="str">
        <f>IF(A342="","",--(COUNTIF($A$2:A342,A342)=1))</f>
        <v/>
      </c>
      <c r="P342" s="4" t="str">
        <f>IF(A342="","",--(COUNTIFS($A$2:A342,A342,$F$2:F342,F342)=1))</f>
        <v/>
      </c>
    </row>
    <row r="343" spans="1:16">
      <c r="A343" s="5"/>
      <c r="D343" t="s">
        <v>54</v>
      </c>
      <c r="F343" t="s">
        <v>25</v>
      </c>
      <c r="O343" s="4" t="str">
        <f>IF(A343="","",--(COUNTIF($A$2:A343,A343)=1))</f>
        <v/>
      </c>
      <c r="P343" s="4" t="str">
        <f>IF(A343="","",--(COUNTIFS($A$2:A343,A343,$F$2:F343,F343)=1))</f>
        <v/>
      </c>
    </row>
    <row r="344" spans="1:16">
      <c r="A344" s="5"/>
      <c r="D344" t="s">
        <v>54</v>
      </c>
      <c r="F344" t="s">
        <v>25</v>
      </c>
      <c r="O344" s="4" t="str">
        <f>IF(A344="","",--(COUNTIF($A$2:A344,A344)=1))</f>
        <v/>
      </c>
      <c r="P344" s="4" t="str">
        <f>IF(A344="","",--(COUNTIFS($A$2:A344,A344,$F$2:F344,F344)=1))</f>
        <v/>
      </c>
    </row>
    <row r="345" spans="1:16">
      <c r="A345" s="5"/>
      <c r="D345" t="s">
        <v>54</v>
      </c>
      <c r="F345" t="s">
        <v>25</v>
      </c>
      <c r="O345" s="4" t="str">
        <f>IF(A345="","",--(COUNTIF($A$2:A345,A345)=1))</f>
        <v/>
      </c>
      <c r="P345" s="4" t="str">
        <f>IF(A345="","",--(COUNTIFS($A$2:A345,A345,$F$2:F345,F345)=1))</f>
        <v/>
      </c>
    </row>
    <row r="346" spans="1:16">
      <c r="A346" s="5"/>
      <c r="D346" t="s">
        <v>54</v>
      </c>
      <c r="F346" t="s">
        <v>25</v>
      </c>
      <c r="O346" s="4" t="str">
        <f>IF(A346="","",--(COUNTIF($A$2:A346,A346)=1))</f>
        <v/>
      </c>
      <c r="P346" s="4" t="str">
        <f>IF(A346="","",--(COUNTIFS($A$2:A346,A346,$F$2:F346,F346)=1))</f>
        <v/>
      </c>
    </row>
    <row r="347" spans="1:16">
      <c r="A347" s="5"/>
      <c r="D347" t="s">
        <v>54</v>
      </c>
      <c r="F347" t="s">
        <v>25</v>
      </c>
      <c r="O347" s="4" t="str">
        <f>IF(A347="","",--(COUNTIF($A$2:A347,A347)=1))</f>
        <v/>
      </c>
      <c r="P347" s="4" t="str">
        <f>IF(A347="","",--(COUNTIFS($A$2:A347,A347,$F$2:F347,F347)=1))</f>
        <v/>
      </c>
    </row>
    <row r="348" spans="1:16">
      <c r="A348" s="5"/>
      <c r="D348" t="s">
        <v>54</v>
      </c>
      <c r="F348" t="s">
        <v>25</v>
      </c>
      <c r="O348" s="4" t="str">
        <f>IF(A348="","",--(COUNTIF($A$2:A348,A348)=1))</f>
        <v/>
      </c>
      <c r="P348" s="4" t="str">
        <f>IF(A348="","",--(COUNTIFS($A$2:A348,A348,$F$2:F348,F348)=1))</f>
        <v/>
      </c>
    </row>
    <row r="349" spans="1:16">
      <c r="A349" s="5"/>
      <c r="D349" t="s">
        <v>54</v>
      </c>
      <c r="F349" t="s">
        <v>25</v>
      </c>
      <c r="O349" s="4" t="str">
        <f>IF(A349="","",--(COUNTIF($A$2:A349,A349)=1))</f>
        <v/>
      </c>
      <c r="P349" s="4" t="str">
        <f>IF(A349="","",--(COUNTIFS($A$2:A349,A349,$F$2:F349,F349)=1))</f>
        <v/>
      </c>
    </row>
    <row r="350" spans="1:16">
      <c r="A350" s="5"/>
      <c r="D350" t="s">
        <v>54</v>
      </c>
      <c r="F350" t="s">
        <v>25</v>
      </c>
      <c r="O350" s="4" t="str">
        <f>IF(A350="","",--(COUNTIF($A$2:A350,A350)=1))</f>
        <v/>
      </c>
      <c r="P350" s="4" t="str">
        <f>IF(A350="","",--(COUNTIFS($A$2:A350,A350,$F$2:F350,F350)=1))</f>
        <v/>
      </c>
    </row>
    <row r="351" spans="1:16">
      <c r="A351" s="5"/>
      <c r="D351" t="s">
        <v>54</v>
      </c>
      <c r="F351" t="s">
        <v>25</v>
      </c>
      <c r="O351" s="4" t="str">
        <f>IF(A351="","",--(COUNTIF($A$2:A351,A351)=1))</f>
        <v/>
      </c>
      <c r="P351" s="4" t="str">
        <f>IF(A351="","",--(COUNTIFS($A$2:A351,A351,$F$2:F351,F351)=1))</f>
        <v/>
      </c>
    </row>
    <row r="352" spans="1:16">
      <c r="A352" s="5"/>
      <c r="D352" t="s">
        <v>54</v>
      </c>
      <c r="F352" t="s">
        <v>25</v>
      </c>
      <c r="O352" s="4" t="str">
        <f>IF(A352="","",--(COUNTIF($A$2:A352,A352)=1))</f>
        <v/>
      </c>
      <c r="P352" s="4" t="str">
        <f>IF(A352="","",--(COUNTIFS($A$2:A352,A352,$F$2:F352,F352)=1))</f>
        <v/>
      </c>
    </row>
    <row r="353" spans="1:16">
      <c r="A353" s="5"/>
      <c r="D353" t="s">
        <v>54</v>
      </c>
      <c r="F353" t="s">
        <v>25</v>
      </c>
      <c r="O353" s="4" t="str">
        <f>IF(A353="","",--(COUNTIF($A$2:A353,A353)=1))</f>
        <v/>
      </c>
      <c r="P353" s="4" t="str">
        <f>IF(A353="","",--(COUNTIFS($A$2:A353,A353,$F$2:F353,F353)=1))</f>
        <v/>
      </c>
    </row>
    <row r="354" spans="1:16">
      <c r="A354" s="5"/>
      <c r="D354" t="s">
        <v>54</v>
      </c>
      <c r="F354" t="s">
        <v>25</v>
      </c>
      <c r="O354" s="4" t="str">
        <f>IF(A354="","",--(COUNTIF($A$2:A354,A354)=1))</f>
        <v/>
      </c>
      <c r="P354" s="4" t="str">
        <f>IF(A354="","",--(COUNTIFS($A$2:A354,A354,$F$2:F354,F354)=1))</f>
        <v/>
      </c>
    </row>
    <row r="355" spans="1:16">
      <c r="A355" s="5"/>
      <c r="D355" t="s">
        <v>54</v>
      </c>
      <c r="F355" t="s">
        <v>25</v>
      </c>
      <c r="O355" s="4" t="str">
        <f>IF(A355="","",--(COUNTIF($A$2:A355,A355)=1))</f>
        <v/>
      </c>
      <c r="P355" s="4" t="str">
        <f>IF(A355="","",--(COUNTIFS($A$2:A355,A355,$F$2:F355,F355)=1))</f>
        <v/>
      </c>
    </row>
    <row r="356" spans="1:16">
      <c r="A356" s="5"/>
      <c r="D356" t="s">
        <v>54</v>
      </c>
      <c r="F356" t="s">
        <v>25</v>
      </c>
      <c r="O356" s="4" t="str">
        <f>IF(A356="","",--(COUNTIF($A$2:A356,A356)=1))</f>
        <v/>
      </c>
      <c r="P356" s="4" t="str">
        <f>IF(A356="","",--(COUNTIFS($A$2:A356,A356,$F$2:F356,F356)=1))</f>
        <v/>
      </c>
    </row>
    <row r="357" spans="1:16">
      <c r="A357" s="5"/>
      <c r="D357" t="s">
        <v>54</v>
      </c>
      <c r="F357" t="s">
        <v>25</v>
      </c>
      <c r="O357" s="4" t="str">
        <f>IF(A357="","",--(COUNTIF($A$2:A357,A357)=1))</f>
        <v/>
      </c>
      <c r="P357" s="4" t="str">
        <f>IF(A357="","",--(COUNTIFS($A$2:A357,A357,$F$2:F357,F357)=1))</f>
        <v/>
      </c>
    </row>
    <row r="358" spans="1:16">
      <c r="A358" s="5"/>
      <c r="D358" t="s">
        <v>54</v>
      </c>
      <c r="F358" t="s">
        <v>25</v>
      </c>
      <c r="O358" s="4" t="str">
        <f>IF(A358="","",--(COUNTIF($A$2:A358,A358)=1))</f>
        <v/>
      </c>
      <c r="P358" s="4" t="str">
        <f>IF(A358="","",--(COUNTIFS($A$2:A358,A358,$F$2:F358,F358)=1))</f>
        <v/>
      </c>
    </row>
    <row r="359" spans="1:16">
      <c r="A359" s="5"/>
      <c r="D359" t="s">
        <v>54</v>
      </c>
      <c r="F359" t="s">
        <v>25</v>
      </c>
      <c r="O359" s="4" t="str">
        <f>IF(A359="","",--(COUNTIF($A$2:A359,A359)=1))</f>
        <v/>
      </c>
      <c r="P359" s="4" t="str">
        <f>IF(A359="","",--(COUNTIFS($A$2:A359,A359,$F$2:F359,F359)=1))</f>
        <v/>
      </c>
    </row>
    <row r="360" spans="1:16">
      <c r="A360" s="5"/>
      <c r="D360" t="s">
        <v>54</v>
      </c>
      <c r="F360" t="s">
        <v>25</v>
      </c>
      <c r="O360" s="4" t="str">
        <f>IF(A360="","",--(COUNTIF($A$2:A360,A360)=1))</f>
        <v/>
      </c>
      <c r="P360" s="4" t="str">
        <f>IF(A360="","",--(COUNTIFS($A$2:A360,A360,$F$2:F360,F360)=1))</f>
        <v/>
      </c>
    </row>
    <row r="361" spans="1:16">
      <c r="A361" s="5"/>
      <c r="D361" t="s">
        <v>54</v>
      </c>
      <c r="F361" t="s">
        <v>25</v>
      </c>
      <c r="O361" s="4" t="str">
        <f>IF(A361="","",--(COUNTIF($A$2:A361,A361)=1))</f>
        <v/>
      </c>
      <c r="P361" s="4" t="str">
        <f>IF(A361="","",--(COUNTIFS($A$2:A361,A361,$F$2:F361,F361)=1))</f>
        <v/>
      </c>
    </row>
    <row r="362" spans="1:16">
      <c r="A362" s="5"/>
      <c r="D362" t="s">
        <v>54</v>
      </c>
      <c r="F362" t="s">
        <v>25</v>
      </c>
      <c r="O362" s="4" t="str">
        <f>IF(A362="","",--(COUNTIF($A$2:A362,A362)=1))</f>
        <v/>
      </c>
      <c r="P362" s="4" t="str">
        <f>IF(A362="","",--(COUNTIFS($A$2:A362,A362,$F$2:F362,F362)=1))</f>
        <v/>
      </c>
    </row>
    <row r="363" spans="1:16">
      <c r="A363" s="5"/>
      <c r="D363" t="s">
        <v>54</v>
      </c>
      <c r="F363" t="s">
        <v>25</v>
      </c>
      <c r="O363" s="4" t="str">
        <f>IF(A363="","",--(COUNTIF($A$2:A363,A363)=1))</f>
        <v/>
      </c>
      <c r="P363" s="4" t="str">
        <f>IF(A363="","",--(COUNTIFS($A$2:A363,A363,$F$2:F363,F363)=1))</f>
        <v/>
      </c>
    </row>
    <row r="364" spans="1:16">
      <c r="A364" s="5"/>
      <c r="D364" t="s">
        <v>54</v>
      </c>
      <c r="F364" t="s">
        <v>25</v>
      </c>
      <c r="O364" s="4" t="str">
        <f>IF(A364="","",--(COUNTIF($A$2:A364,A364)=1))</f>
        <v/>
      </c>
      <c r="P364" s="4" t="str">
        <f>IF(A364="","",--(COUNTIFS($A$2:A364,A364,$F$2:F364,F364)=1))</f>
        <v/>
      </c>
    </row>
    <row r="365" spans="1:16">
      <c r="A365" s="5"/>
      <c r="D365" t="s">
        <v>54</v>
      </c>
      <c r="F365" t="s">
        <v>25</v>
      </c>
      <c r="O365" s="4" t="str">
        <f>IF(A365="","",--(COUNTIF($A$2:A365,A365)=1))</f>
        <v/>
      </c>
      <c r="P365" s="4" t="str">
        <f>IF(A365="","",--(COUNTIFS($A$2:A365,A365,$F$2:F365,F365)=1))</f>
        <v/>
      </c>
    </row>
    <row r="366" spans="1:16">
      <c r="A366" s="5"/>
      <c r="D366" t="s">
        <v>54</v>
      </c>
      <c r="F366" t="s">
        <v>25</v>
      </c>
      <c r="O366" s="4" t="str">
        <f>IF(A366="","",--(COUNTIF($A$2:A366,A366)=1))</f>
        <v/>
      </c>
      <c r="P366" s="4" t="str">
        <f>IF(A366="","",--(COUNTIFS($A$2:A366,A366,$F$2:F366,F366)=1))</f>
        <v/>
      </c>
    </row>
    <row r="367" spans="1:16">
      <c r="A367" s="5"/>
      <c r="D367" t="s">
        <v>54</v>
      </c>
      <c r="F367" t="s">
        <v>25</v>
      </c>
      <c r="O367" s="4" t="str">
        <f>IF(A367="","",--(COUNTIF($A$2:A367,A367)=1))</f>
        <v/>
      </c>
      <c r="P367" s="4" t="str">
        <f>IF(A367="","",--(COUNTIFS($A$2:A367,A367,$F$2:F367,F367)=1))</f>
        <v/>
      </c>
    </row>
    <row r="368" spans="1:16">
      <c r="A368" s="5"/>
      <c r="D368" t="s">
        <v>54</v>
      </c>
      <c r="F368" t="s">
        <v>25</v>
      </c>
      <c r="O368" s="4" t="str">
        <f>IF(A368="","",--(COUNTIF($A$2:A368,A368)=1))</f>
        <v/>
      </c>
      <c r="P368" s="4" t="str">
        <f>IF(A368="","",--(COUNTIFS($A$2:A368,A368,$F$2:F368,F368)=1))</f>
        <v/>
      </c>
    </row>
    <row r="369" spans="1:16">
      <c r="A369" s="5"/>
      <c r="D369" t="s">
        <v>54</v>
      </c>
      <c r="F369" t="s">
        <v>25</v>
      </c>
      <c r="O369" s="4" t="str">
        <f>IF(A369="","",--(COUNTIF($A$2:A369,A369)=1))</f>
        <v/>
      </c>
      <c r="P369" s="4" t="str">
        <f>IF(A369="","",--(COUNTIFS($A$2:A369,A369,$F$2:F369,F369)=1))</f>
        <v/>
      </c>
    </row>
    <row r="370" spans="1:16">
      <c r="A370" s="5"/>
      <c r="D370" t="s">
        <v>54</v>
      </c>
      <c r="F370" t="s">
        <v>25</v>
      </c>
      <c r="O370" s="4" t="str">
        <f>IF(A370="","",--(COUNTIF($A$2:A370,A370)=1))</f>
        <v/>
      </c>
      <c r="P370" s="4" t="str">
        <f>IF(A370="","",--(COUNTIFS($A$2:A370,A370,$F$2:F370,F370)=1))</f>
        <v/>
      </c>
    </row>
    <row r="371" spans="1:16">
      <c r="A371" s="5"/>
      <c r="D371" t="s">
        <v>54</v>
      </c>
      <c r="F371" t="s">
        <v>25</v>
      </c>
      <c r="O371" s="4" t="str">
        <f>IF(A371="","",--(COUNTIF($A$2:A371,A371)=1))</f>
        <v/>
      </c>
      <c r="P371" s="4" t="str">
        <f>IF(A371="","",--(COUNTIFS($A$2:A371,A371,$F$2:F371,F371)=1))</f>
        <v/>
      </c>
    </row>
    <row r="372" spans="1:16">
      <c r="A372" s="5"/>
      <c r="D372" t="s">
        <v>54</v>
      </c>
      <c r="F372" t="s">
        <v>25</v>
      </c>
      <c r="O372" s="4" t="str">
        <f>IF(A372="","",--(COUNTIF($A$2:A372,A372)=1))</f>
        <v/>
      </c>
      <c r="P372" s="4" t="str">
        <f>IF(A372="","",--(COUNTIFS($A$2:A372,A372,$F$2:F372,F372)=1))</f>
        <v/>
      </c>
    </row>
    <row r="373" spans="1:16">
      <c r="A373" s="5"/>
      <c r="D373" t="s">
        <v>54</v>
      </c>
      <c r="F373" t="s">
        <v>25</v>
      </c>
      <c r="O373" s="4" t="str">
        <f>IF(A373="","",--(COUNTIF($A$2:A373,A373)=1))</f>
        <v/>
      </c>
      <c r="P373" s="4" t="str">
        <f>IF(A373="","",--(COUNTIFS($A$2:A373,A373,$F$2:F373,F373)=1))</f>
        <v/>
      </c>
    </row>
    <row r="374" spans="1:16">
      <c r="A374" s="5"/>
      <c r="D374" t="s">
        <v>54</v>
      </c>
      <c r="F374" t="s">
        <v>25</v>
      </c>
      <c r="O374" s="4" t="str">
        <f>IF(A374="","",--(COUNTIF($A$2:A374,A374)=1))</f>
        <v/>
      </c>
      <c r="P374" s="4" t="str">
        <f>IF(A374="","",--(COUNTIFS($A$2:A374,A374,$F$2:F374,F374)=1))</f>
        <v/>
      </c>
    </row>
    <row r="375" spans="1:16">
      <c r="A375" s="5"/>
      <c r="D375" t="s">
        <v>54</v>
      </c>
      <c r="F375" t="s">
        <v>25</v>
      </c>
      <c r="O375" s="4" t="str">
        <f>IF(A375="","",--(COUNTIF($A$2:A375,A375)=1))</f>
        <v/>
      </c>
      <c r="P375" s="4" t="str">
        <f>IF(A375="","",--(COUNTIFS($A$2:A375,A375,$F$2:F375,F375)=1))</f>
        <v/>
      </c>
    </row>
    <row r="376" spans="1:16">
      <c r="A376" s="5"/>
      <c r="D376" t="s">
        <v>54</v>
      </c>
      <c r="F376" t="s">
        <v>25</v>
      </c>
      <c r="O376" s="4" t="str">
        <f>IF(A376="","",--(COUNTIF($A$2:A376,A376)=1))</f>
        <v/>
      </c>
      <c r="P376" s="4" t="str">
        <f>IF(A376="","",--(COUNTIFS($A$2:A376,A376,$F$2:F376,F376)=1))</f>
        <v/>
      </c>
    </row>
    <row r="377" spans="1:16">
      <c r="A377" s="5"/>
      <c r="D377" t="s">
        <v>54</v>
      </c>
      <c r="F377" t="s">
        <v>25</v>
      </c>
      <c r="O377" s="4" t="str">
        <f>IF(A377="","",--(COUNTIF($A$2:A377,A377)=1))</f>
        <v/>
      </c>
      <c r="P377" s="4" t="str">
        <f>IF(A377="","",--(COUNTIFS($A$2:A377,A377,$F$2:F377,F377)=1))</f>
        <v/>
      </c>
    </row>
    <row r="378" spans="1:16">
      <c r="A378" s="5"/>
      <c r="D378" t="s">
        <v>54</v>
      </c>
      <c r="F378" t="s">
        <v>25</v>
      </c>
      <c r="O378" s="4" t="str">
        <f>IF(A378="","",--(COUNTIF($A$2:A378,A378)=1))</f>
        <v/>
      </c>
      <c r="P378" s="4" t="str">
        <f>IF(A378="","",--(COUNTIFS($A$2:A378,A378,$F$2:F378,F378)=1))</f>
        <v/>
      </c>
    </row>
    <row r="379" spans="1:16">
      <c r="A379" s="5"/>
      <c r="D379" t="s">
        <v>54</v>
      </c>
      <c r="F379" t="s">
        <v>25</v>
      </c>
      <c r="O379" s="4" t="str">
        <f>IF(A379="","",--(COUNTIF($A$2:A379,A379)=1))</f>
        <v/>
      </c>
      <c r="P379" s="4" t="str">
        <f>IF(A379="","",--(COUNTIFS($A$2:A379,A379,$F$2:F379,F379)=1))</f>
        <v/>
      </c>
    </row>
    <row r="380" spans="1:16">
      <c r="A380" s="5"/>
      <c r="D380" t="s">
        <v>54</v>
      </c>
      <c r="F380" t="s">
        <v>25</v>
      </c>
      <c r="O380" s="4" t="str">
        <f>IF(A380="","",--(COUNTIF($A$2:A380,A380)=1))</f>
        <v/>
      </c>
      <c r="P380" s="4" t="str">
        <f>IF(A380="","",--(COUNTIFS($A$2:A380,A380,$F$2:F380,F380)=1))</f>
        <v/>
      </c>
    </row>
    <row r="381" spans="1:16">
      <c r="A381" s="5"/>
      <c r="D381" t="s">
        <v>54</v>
      </c>
      <c r="F381" t="s">
        <v>25</v>
      </c>
      <c r="O381" s="4" t="str">
        <f>IF(A381="","",--(COUNTIF($A$2:A381,A381)=1))</f>
        <v/>
      </c>
      <c r="P381" s="4" t="str">
        <f>IF(A381="","",--(COUNTIFS($A$2:A381,A381,$F$2:F381,F381)=1))</f>
        <v/>
      </c>
    </row>
    <row r="382" spans="1:16">
      <c r="A382" s="5"/>
      <c r="D382" t="s">
        <v>54</v>
      </c>
      <c r="F382" t="s">
        <v>25</v>
      </c>
      <c r="O382" s="4" t="str">
        <f>IF(A382="","",--(COUNTIF($A$2:A382,A382)=1))</f>
        <v/>
      </c>
      <c r="P382" s="4" t="str">
        <f>IF(A382="","",--(COUNTIFS($A$2:A382,A382,$F$2:F382,F382)=1))</f>
        <v/>
      </c>
    </row>
    <row r="383" spans="1:16">
      <c r="A383" s="5"/>
      <c r="D383" t="s">
        <v>54</v>
      </c>
      <c r="F383" t="s">
        <v>25</v>
      </c>
      <c r="O383" s="4" t="str">
        <f>IF(A383="","",--(COUNTIF($A$2:A383,A383)=1))</f>
        <v/>
      </c>
      <c r="P383" s="4" t="str">
        <f>IF(A383="","",--(COUNTIFS($A$2:A383,A383,$F$2:F383,F383)=1))</f>
        <v/>
      </c>
    </row>
    <row r="384" spans="1:16">
      <c r="A384" s="5"/>
      <c r="D384" t="s">
        <v>54</v>
      </c>
      <c r="F384" t="s">
        <v>25</v>
      </c>
      <c r="O384" s="4" t="str">
        <f>IF(A384="","",--(COUNTIF($A$2:A384,A384)=1))</f>
        <v/>
      </c>
      <c r="P384" s="4" t="str">
        <f>IF(A384="","",--(COUNTIFS($A$2:A384,A384,$F$2:F384,F384)=1))</f>
        <v/>
      </c>
    </row>
    <row r="385" spans="1:16">
      <c r="A385" s="5"/>
      <c r="D385" t="s">
        <v>54</v>
      </c>
      <c r="F385" t="s">
        <v>25</v>
      </c>
      <c r="O385" s="4" t="str">
        <f>IF(A385="","",--(COUNTIF($A$2:A385,A385)=1))</f>
        <v/>
      </c>
      <c r="P385" s="4" t="str">
        <f>IF(A385="","",--(COUNTIFS($A$2:A385,A385,$F$2:F385,F385)=1))</f>
        <v/>
      </c>
    </row>
    <row r="386" spans="1:16">
      <c r="A386" s="5"/>
      <c r="D386" t="s">
        <v>54</v>
      </c>
      <c r="F386" t="s">
        <v>25</v>
      </c>
      <c r="O386" s="4" t="str">
        <f>IF(A386="","",--(COUNTIF($A$2:A386,A386)=1))</f>
        <v/>
      </c>
      <c r="P386" s="4" t="str">
        <f>IF(A386="","",--(COUNTIFS($A$2:A386,A386,$F$2:F386,F386)=1))</f>
        <v/>
      </c>
    </row>
    <row r="387" spans="1:16">
      <c r="A387" s="5"/>
      <c r="D387" t="s">
        <v>54</v>
      </c>
      <c r="F387" t="s">
        <v>25</v>
      </c>
      <c r="O387" s="4" t="str">
        <f>IF(A387="","",--(COUNTIF($A$2:A387,A387)=1))</f>
        <v/>
      </c>
      <c r="P387" s="4" t="str">
        <f>IF(A387="","",--(COUNTIFS($A$2:A387,A387,$F$2:F387,F387)=1))</f>
        <v/>
      </c>
    </row>
    <row r="388" spans="1:16">
      <c r="A388" s="5"/>
      <c r="D388" t="s">
        <v>54</v>
      </c>
      <c r="F388" t="s">
        <v>25</v>
      </c>
      <c r="O388" s="4" t="str">
        <f>IF(A388="","",--(COUNTIF($A$2:A388,A388)=1))</f>
        <v/>
      </c>
      <c r="P388" s="4" t="str">
        <f>IF(A388="","",--(COUNTIFS($A$2:A388,A388,$F$2:F388,F388)=1))</f>
        <v/>
      </c>
    </row>
    <row r="389" spans="1:16">
      <c r="A389" s="5"/>
      <c r="D389" t="s">
        <v>54</v>
      </c>
      <c r="F389" t="s">
        <v>25</v>
      </c>
      <c r="O389" s="4" t="str">
        <f>IF(A389="","",--(COUNTIF($A$2:A389,A389)=1))</f>
        <v/>
      </c>
      <c r="P389" s="4" t="str">
        <f>IF(A389="","",--(COUNTIFS($A$2:A389,A389,$F$2:F389,F389)=1))</f>
        <v/>
      </c>
    </row>
    <row r="390" spans="1:16">
      <c r="A390" s="5"/>
      <c r="D390" t="s">
        <v>54</v>
      </c>
      <c r="F390" t="s">
        <v>25</v>
      </c>
      <c r="O390" s="4" t="str">
        <f>IF(A390="","",--(COUNTIF($A$2:A390,A390)=1))</f>
        <v/>
      </c>
      <c r="P390" s="4" t="str">
        <f>IF(A390="","",--(COUNTIFS($A$2:A390,A390,$F$2:F390,F390)=1))</f>
        <v/>
      </c>
    </row>
    <row r="391" spans="1:16">
      <c r="A391" s="5"/>
      <c r="D391" t="s">
        <v>54</v>
      </c>
      <c r="F391" t="s">
        <v>25</v>
      </c>
      <c r="O391" s="4" t="str">
        <f>IF(A391="","",--(COUNTIF($A$2:A391,A391)=1))</f>
        <v/>
      </c>
      <c r="P391" s="4" t="str">
        <f>IF(A391="","",--(COUNTIFS($A$2:A391,A391,$F$2:F391,F391)=1))</f>
        <v/>
      </c>
    </row>
    <row r="392" spans="1:16">
      <c r="A392" s="5"/>
      <c r="D392" t="s">
        <v>54</v>
      </c>
      <c r="F392" t="s">
        <v>25</v>
      </c>
      <c r="O392" s="4" t="str">
        <f>IF(A392="","",--(COUNTIF($A$2:A392,A392)=1))</f>
        <v/>
      </c>
      <c r="P392" s="4" t="str">
        <f>IF(A392="","",--(COUNTIFS($A$2:A392,A392,$F$2:F392,F392)=1))</f>
        <v/>
      </c>
    </row>
    <row r="393" spans="1:16">
      <c r="A393" s="5"/>
      <c r="D393" t="s">
        <v>54</v>
      </c>
      <c r="F393" t="s">
        <v>25</v>
      </c>
      <c r="O393" s="4" t="str">
        <f>IF(A393="","",--(COUNTIF($A$2:A393,A393)=1))</f>
        <v/>
      </c>
      <c r="P393" s="4" t="str">
        <f>IF(A393="","",--(COUNTIFS($A$2:A393,A393,$F$2:F393,F393)=1))</f>
        <v/>
      </c>
    </row>
    <row r="394" spans="1:16">
      <c r="A394" s="5"/>
      <c r="D394" t="s">
        <v>54</v>
      </c>
      <c r="F394" t="s">
        <v>25</v>
      </c>
      <c r="O394" s="4" t="str">
        <f>IF(A394="","",--(COUNTIF($A$2:A394,A394)=1))</f>
        <v/>
      </c>
      <c r="P394" s="4" t="str">
        <f>IF(A394="","",--(COUNTIFS($A$2:A394,A394,$F$2:F394,F394)=1))</f>
        <v/>
      </c>
    </row>
    <row r="395" spans="1:16">
      <c r="A395" s="5"/>
      <c r="D395" t="s">
        <v>54</v>
      </c>
      <c r="F395" t="s">
        <v>25</v>
      </c>
      <c r="O395" s="4" t="str">
        <f>IF(A395="","",--(COUNTIF($A$2:A395,A395)=1))</f>
        <v/>
      </c>
      <c r="P395" s="4" t="str">
        <f>IF(A395="","",--(COUNTIFS($A$2:A395,A395,$F$2:F395,F395)=1))</f>
        <v/>
      </c>
    </row>
    <row r="396" spans="1:16">
      <c r="A396" s="5"/>
      <c r="D396" t="s">
        <v>54</v>
      </c>
      <c r="F396" t="s">
        <v>25</v>
      </c>
      <c r="O396" s="4" t="str">
        <f>IF(A396="","",--(COUNTIF($A$2:A396,A396)=1))</f>
        <v/>
      </c>
      <c r="P396" s="4" t="str">
        <f>IF(A396="","",--(COUNTIFS($A$2:A396,A396,$F$2:F396,F396)=1))</f>
        <v/>
      </c>
    </row>
    <row r="397" spans="1:16">
      <c r="A397" s="5"/>
      <c r="D397" t="s">
        <v>54</v>
      </c>
      <c r="F397" t="s">
        <v>25</v>
      </c>
      <c r="O397" s="4" t="str">
        <f>IF(A397="","",--(COUNTIF($A$2:A397,A397)=1))</f>
        <v/>
      </c>
      <c r="P397" s="4" t="str">
        <f>IF(A397="","",--(COUNTIFS($A$2:A397,A397,$F$2:F397,F397)=1))</f>
        <v/>
      </c>
    </row>
    <row r="398" spans="1:16">
      <c r="A398" s="5"/>
      <c r="D398" t="s">
        <v>54</v>
      </c>
      <c r="F398" t="s">
        <v>25</v>
      </c>
      <c r="O398" s="4" t="str">
        <f>IF(A398="","",--(COUNTIF($A$2:A398,A398)=1))</f>
        <v/>
      </c>
      <c r="P398" s="4" t="str">
        <f>IF(A398="","",--(COUNTIFS($A$2:A398,A398,$F$2:F398,F398)=1))</f>
        <v/>
      </c>
    </row>
    <row r="399" spans="1:16">
      <c r="A399" s="5"/>
      <c r="D399" t="s">
        <v>54</v>
      </c>
      <c r="F399" t="s">
        <v>25</v>
      </c>
      <c r="O399" s="4" t="str">
        <f>IF(A399="","",--(COUNTIF($A$2:A399,A399)=1))</f>
        <v/>
      </c>
      <c r="P399" s="4" t="str">
        <f>IF(A399="","",--(COUNTIFS($A$2:A399,A399,$F$2:F399,F399)=1))</f>
        <v/>
      </c>
    </row>
    <row r="400" spans="1:16">
      <c r="A400" s="5"/>
      <c r="D400" t="s">
        <v>54</v>
      </c>
      <c r="F400" t="s">
        <v>25</v>
      </c>
      <c r="O400" s="4" t="str">
        <f>IF(A400="","",--(COUNTIF($A$2:A400,A400)=1))</f>
        <v/>
      </c>
      <c r="P400" s="4" t="str">
        <f>IF(A400="","",--(COUNTIFS($A$2:A400,A400,$F$2:F400,F400)=1))</f>
        <v/>
      </c>
    </row>
    <row r="401" spans="1:16">
      <c r="A401" s="5"/>
      <c r="D401" t="s">
        <v>54</v>
      </c>
      <c r="F401" t="s">
        <v>25</v>
      </c>
      <c r="O401" s="4" t="str">
        <f>IF(A401="","",--(COUNTIF($A$2:A401,A401)=1))</f>
        <v/>
      </c>
      <c r="P401" s="4" t="str">
        <f>IF(A401="","",--(COUNTIFS($A$2:A401,A401,$F$2:F401,F401)=1))</f>
        <v/>
      </c>
    </row>
    <row r="402" spans="1:16">
      <c r="A402" s="5"/>
      <c r="D402" t="s">
        <v>54</v>
      </c>
      <c r="F402" t="s">
        <v>25</v>
      </c>
      <c r="O402" s="4" t="str">
        <f>IF(A402="","",--(COUNTIF($A$2:A402,A402)=1))</f>
        <v/>
      </c>
      <c r="P402" s="4" t="str">
        <f>IF(A402="","",--(COUNTIFS($A$2:A402,A402,$F$2:F402,F402)=1))</f>
        <v/>
      </c>
    </row>
    <row r="403" spans="1:16">
      <c r="A403" s="5"/>
      <c r="D403" t="s">
        <v>54</v>
      </c>
      <c r="F403" t="s">
        <v>25</v>
      </c>
      <c r="O403" s="4" t="str">
        <f>IF(A403="","",--(COUNTIF($A$2:A403,A403)=1))</f>
        <v/>
      </c>
      <c r="P403" s="4" t="str">
        <f>IF(A403="","",--(COUNTIFS($A$2:A403,A403,$F$2:F403,F403)=1))</f>
        <v/>
      </c>
    </row>
    <row r="404" spans="1:16">
      <c r="A404" s="5"/>
      <c r="D404" t="s">
        <v>54</v>
      </c>
      <c r="F404" t="s">
        <v>25</v>
      </c>
      <c r="O404" s="4" t="str">
        <f>IF(A404="","",--(COUNTIF($A$2:A404,A404)=1))</f>
        <v/>
      </c>
      <c r="P404" s="4" t="str">
        <f>IF(A404="","",--(COUNTIFS($A$2:A404,A404,$F$2:F404,F404)=1))</f>
        <v/>
      </c>
    </row>
    <row r="405" spans="1:16">
      <c r="A405" s="5"/>
      <c r="D405" t="s">
        <v>54</v>
      </c>
      <c r="F405" t="s">
        <v>25</v>
      </c>
      <c r="O405" s="4" t="str">
        <f>IF(A405="","",--(COUNTIF($A$2:A405,A405)=1))</f>
        <v/>
      </c>
      <c r="P405" s="4" t="str">
        <f>IF(A405="","",--(COUNTIFS($A$2:A405,A405,$F$2:F405,F405)=1))</f>
        <v/>
      </c>
    </row>
    <row r="406" spans="1:16">
      <c r="A406" s="5"/>
      <c r="D406" t="s">
        <v>54</v>
      </c>
      <c r="F406" t="s">
        <v>25</v>
      </c>
      <c r="O406" s="4" t="str">
        <f>IF(A406="","",--(COUNTIF($A$2:A406,A406)=1))</f>
        <v/>
      </c>
      <c r="P406" s="4" t="str">
        <f>IF(A406="","",--(COUNTIFS($A$2:A406,A406,$F$2:F406,F406)=1))</f>
        <v/>
      </c>
    </row>
    <row r="407" spans="1:16">
      <c r="A407" s="5"/>
      <c r="D407" t="s">
        <v>54</v>
      </c>
      <c r="F407" t="s">
        <v>25</v>
      </c>
      <c r="O407" s="4" t="str">
        <f>IF(A407="","",--(COUNTIF($A$2:A407,A407)=1))</f>
        <v/>
      </c>
      <c r="P407" s="4" t="str">
        <f>IF(A407="","",--(COUNTIFS($A$2:A407,A407,$F$2:F407,F407)=1))</f>
        <v/>
      </c>
    </row>
    <row r="408" spans="1:16">
      <c r="A408" s="5"/>
      <c r="D408" t="s">
        <v>54</v>
      </c>
      <c r="F408" t="s">
        <v>25</v>
      </c>
      <c r="O408" s="4" t="str">
        <f>IF(A408="","",--(COUNTIF($A$2:A408,A408)=1))</f>
        <v/>
      </c>
      <c r="P408" s="4" t="str">
        <f>IF(A408="","",--(COUNTIFS($A$2:A408,A408,$F$2:F408,F408)=1))</f>
        <v/>
      </c>
    </row>
    <row r="409" spans="1:16">
      <c r="A409" s="5"/>
      <c r="D409" t="s">
        <v>54</v>
      </c>
      <c r="F409" t="s">
        <v>25</v>
      </c>
      <c r="O409" s="4" t="str">
        <f>IF(A409="","",--(COUNTIF($A$2:A409,A409)=1))</f>
        <v/>
      </c>
      <c r="P409" s="4" t="str">
        <f>IF(A409="","",--(COUNTIFS($A$2:A409,A409,$F$2:F409,F409)=1))</f>
        <v/>
      </c>
    </row>
    <row r="410" spans="1:16">
      <c r="A410" s="5"/>
      <c r="D410" t="s">
        <v>54</v>
      </c>
      <c r="F410" t="s">
        <v>25</v>
      </c>
      <c r="O410" s="4" t="str">
        <f>IF(A410="","",--(COUNTIF($A$2:A410,A410)=1))</f>
        <v/>
      </c>
      <c r="P410" s="4" t="str">
        <f>IF(A410="","",--(COUNTIFS($A$2:A410,A410,$F$2:F410,F410)=1))</f>
        <v/>
      </c>
    </row>
    <row r="411" spans="1:16">
      <c r="A411" s="5"/>
      <c r="D411" t="s">
        <v>54</v>
      </c>
      <c r="F411" t="s">
        <v>25</v>
      </c>
      <c r="O411" s="4" t="str">
        <f>IF(A411="","",--(COUNTIF($A$2:A411,A411)=1))</f>
        <v/>
      </c>
      <c r="P411" s="4" t="str">
        <f>IF(A411="","",--(COUNTIFS($A$2:A411,A411,$F$2:F411,F411)=1))</f>
        <v/>
      </c>
    </row>
    <row r="412" spans="1:16">
      <c r="A412" s="5"/>
      <c r="D412" t="s">
        <v>54</v>
      </c>
      <c r="F412" t="s">
        <v>25</v>
      </c>
      <c r="O412" s="4" t="str">
        <f>IF(A412="","",--(COUNTIF($A$2:A412,A412)=1))</f>
        <v/>
      </c>
      <c r="P412" s="4" t="str">
        <f>IF(A412="","",--(COUNTIFS($A$2:A412,A412,$F$2:F412,F412)=1))</f>
        <v/>
      </c>
    </row>
    <row r="413" spans="1:16">
      <c r="A413" s="5"/>
      <c r="D413" t="s">
        <v>54</v>
      </c>
      <c r="F413" t="s">
        <v>25</v>
      </c>
      <c r="O413" s="4" t="str">
        <f>IF(A413="","",--(COUNTIF($A$2:A413,A413)=1))</f>
        <v/>
      </c>
      <c r="P413" s="4" t="str">
        <f>IF(A413="","",--(COUNTIFS($A$2:A413,A413,$F$2:F413,F413)=1))</f>
        <v/>
      </c>
    </row>
    <row r="414" spans="1:16">
      <c r="A414" s="5"/>
      <c r="D414" t="s">
        <v>54</v>
      </c>
      <c r="F414" t="s">
        <v>25</v>
      </c>
      <c r="O414" s="4" t="str">
        <f>IF(A414="","",--(COUNTIF($A$2:A414,A414)=1))</f>
        <v/>
      </c>
      <c r="P414" s="4" t="str">
        <f>IF(A414="","",--(COUNTIFS($A$2:A414,A414,$F$2:F414,F414)=1))</f>
        <v/>
      </c>
    </row>
    <row r="415" spans="1:16">
      <c r="A415" s="5"/>
      <c r="D415" t="s">
        <v>54</v>
      </c>
      <c r="F415" t="s">
        <v>25</v>
      </c>
      <c r="O415" s="4" t="str">
        <f>IF(A415="","",--(COUNTIF($A$2:A415,A415)=1))</f>
        <v/>
      </c>
      <c r="P415" s="4" t="str">
        <f>IF(A415="","",--(COUNTIFS($A$2:A415,A415,$F$2:F415,F415)=1))</f>
        <v/>
      </c>
    </row>
    <row r="416" spans="1:16">
      <c r="A416" s="5"/>
      <c r="D416" t="s">
        <v>54</v>
      </c>
      <c r="F416" t="s">
        <v>25</v>
      </c>
      <c r="O416" s="4" t="str">
        <f>IF(A416="","",--(COUNTIF($A$2:A416,A416)=1))</f>
        <v/>
      </c>
      <c r="P416" s="4" t="str">
        <f>IF(A416="","",--(COUNTIFS($A$2:A416,A416,$F$2:F416,F416)=1))</f>
        <v/>
      </c>
    </row>
    <row r="417" spans="1:16">
      <c r="A417" s="5"/>
      <c r="D417" t="s">
        <v>54</v>
      </c>
      <c r="F417" t="s">
        <v>25</v>
      </c>
      <c r="O417" s="4" t="str">
        <f>IF(A417="","",--(COUNTIF($A$2:A417,A417)=1))</f>
        <v/>
      </c>
      <c r="P417" s="4" t="str">
        <f>IF(A417="","",--(COUNTIFS($A$2:A417,A417,$F$2:F417,F417)=1))</f>
        <v/>
      </c>
    </row>
    <row r="418" spans="1:16">
      <c r="A418" s="5"/>
      <c r="D418" t="s">
        <v>54</v>
      </c>
      <c r="F418" t="s">
        <v>25</v>
      </c>
      <c r="O418" s="4" t="str">
        <f>IF(A418="","",--(COUNTIF($A$2:A418,A418)=1))</f>
        <v/>
      </c>
      <c r="P418" s="4" t="str">
        <f>IF(A418="","",--(COUNTIFS($A$2:A418,A418,$F$2:F418,F418)=1))</f>
        <v/>
      </c>
    </row>
    <row r="419" spans="1:16">
      <c r="A419" s="5"/>
      <c r="D419" t="s">
        <v>54</v>
      </c>
      <c r="F419" t="s">
        <v>25</v>
      </c>
      <c r="O419" s="4" t="str">
        <f>IF(A419="","",--(COUNTIF($A$2:A419,A419)=1))</f>
        <v/>
      </c>
      <c r="P419" s="4" t="str">
        <f>IF(A419="","",--(COUNTIFS($A$2:A419,A419,$F$2:F419,F419)=1))</f>
        <v/>
      </c>
    </row>
    <row r="420" spans="1:16">
      <c r="A420" s="5"/>
      <c r="D420" t="s">
        <v>54</v>
      </c>
      <c r="F420" t="s">
        <v>25</v>
      </c>
      <c r="O420" s="4" t="str">
        <f>IF(A420="","",--(COUNTIF($A$2:A420,A420)=1))</f>
        <v/>
      </c>
      <c r="P420" s="4" t="str">
        <f>IF(A420="","",--(COUNTIFS($A$2:A420,A420,$F$2:F420,F420)=1))</f>
        <v/>
      </c>
    </row>
    <row r="421" spans="1:16">
      <c r="A421" s="5"/>
      <c r="D421" t="s">
        <v>54</v>
      </c>
      <c r="F421" t="s">
        <v>25</v>
      </c>
      <c r="O421" s="4" t="str">
        <f>IF(A421="","",--(COUNTIF($A$2:A421,A421)=1))</f>
        <v/>
      </c>
      <c r="P421" s="4" t="str">
        <f>IF(A421="","",--(COUNTIFS($A$2:A421,A421,$F$2:F421,F421)=1))</f>
        <v/>
      </c>
    </row>
    <row r="422" spans="1:16">
      <c r="A422" s="5"/>
      <c r="D422" t="s">
        <v>54</v>
      </c>
      <c r="F422" t="s">
        <v>25</v>
      </c>
      <c r="O422" s="4" t="str">
        <f>IF(A422="","",--(COUNTIF($A$2:A422,A422)=1))</f>
        <v/>
      </c>
      <c r="P422" s="4" t="str">
        <f>IF(A422="","",--(COUNTIFS($A$2:A422,A422,$F$2:F422,F422)=1))</f>
        <v/>
      </c>
    </row>
    <row r="423" spans="1:16">
      <c r="A423" s="5"/>
      <c r="D423" t="s">
        <v>54</v>
      </c>
      <c r="F423" t="s">
        <v>25</v>
      </c>
      <c r="O423" s="4" t="str">
        <f>IF(A423="","",--(COUNTIF($A$2:A423,A423)=1))</f>
        <v/>
      </c>
      <c r="P423" s="4" t="str">
        <f>IF(A423="","",--(COUNTIFS($A$2:A423,A423,$F$2:F423,F423)=1))</f>
        <v/>
      </c>
    </row>
    <row r="424" spans="1:16">
      <c r="A424" s="5"/>
      <c r="D424" t="s">
        <v>54</v>
      </c>
      <c r="F424" t="s">
        <v>25</v>
      </c>
      <c r="O424" s="4" t="str">
        <f>IF(A424="","",--(COUNTIF($A$2:A424,A424)=1))</f>
        <v/>
      </c>
      <c r="P424" s="4" t="str">
        <f>IF(A424="","",--(COUNTIFS($A$2:A424,A424,$F$2:F424,F424)=1))</f>
        <v/>
      </c>
    </row>
    <row r="425" spans="1:16">
      <c r="A425" s="5"/>
      <c r="D425" t="s">
        <v>54</v>
      </c>
      <c r="F425" t="s">
        <v>25</v>
      </c>
      <c r="O425" s="4" t="str">
        <f>IF(A425="","",--(COUNTIF($A$2:A425,A425)=1))</f>
        <v/>
      </c>
      <c r="P425" s="4" t="str">
        <f>IF(A425="","",--(COUNTIFS($A$2:A425,A425,$F$2:F425,F425)=1))</f>
        <v/>
      </c>
    </row>
    <row r="426" spans="1:16">
      <c r="A426" s="5"/>
      <c r="D426" t="s">
        <v>54</v>
      </c>
      <c r="F426" t="s">
        <v>25</v>
      </c>
      <c r="O426" s="4" t="str">
        <f>IF(A426="","",--(COUNTIF($A$2:A426,A426)=1))</f>
        <v/>
      </c>
      <c r="P426" s="4" t="str">
        <f>IF(A426="","",--(COUNTIFS($A$2:A426,A426,$F$2:F426,F426)=1))</f>
        <v/>
      </c>
    </row>
    <row r="427" spans="1:16">
      <c r="A427" s="5"/>
      <c r="D427" t="s">
        <v>54</v>
      </c>
      <c r="F427" t="s">
        <v>25</v>
      </c>
      <c r="O427" s="4" t="str">
        <f>IF(A427="","",--(COUNTIF($A$2:A427,A427)=1))</f>
        <v/>
      </c>
      <c r="P427" s="4" t="str">
        <f>IF(A427="","",--(COUNTIFS($A$2:A427,A427,$F$2:F427,F427)=1))</f>
        <v/>
      </c>
    </row>
    <row r="428" spans="1:16">
      <c r="A428" s="5"/>
      <c r="D428" t="s">
        <v>54</v>
      </c>
      <c r="F428" t="s">
        <v>25</v>
      </c>
      <c r="O428" s="4" t="str">
        <f>IF(A428="","",--(COUNTIF($A$2:A428,A428)=1))</f>
        <v/>
      </c>
      <c r="P428" s="4" t="str">
        <f>IF(A428="","",--(COUNTIFS($A$2:A428,A428,$F$2:F428,F428)=1))</f>
        <v/>
      </c>
    </row>
    <row r="429" spans="1:16">
      <c r="A429" s="5"/>
      <c r="D429" t="s">
        <v>54</v>
      </c>
      <c r="F429" t="s">
        <v>25</v>
      </c>
      <c r="O429" s="4" t="str">
        <f>IF(A429="","",--(COUNTIF($A$2:A429,A429)=1))</f>
        <v/>
      </c>
      <c r="P429" s="4" t="str">
        <f>IF(A429="","",--(COUNTIFS($A$2:A429,A429,$F$2:F429,F429)=1))</f>
        <v/>
      </c>
    </row>
    <row r="430" spans="1:16">
      <c r="A430" s="5"/>
      <c r="D430" t="s">
        <v>54</v>
      </c>
      <c r="F430" t="s">
        <v>25</v>
      </c>
      <c r="O430" s="4" t="str">
        <f>IF(A430="","",--(COUNTIF($A$2:A430,A430)=1))</f>
        <v/>
      </c>
      <c r="P430" s="4" t="str">
        <f>IF(A430="","",--(COUNTIFS($A$2:A430,A430,$F$2:F430,F430)=1))</f>
        <v/>
      </c>
    </row>
    <row r="431" spans="1:16">
      <c r="A431" s="5"/>
      <c r="D431" t="s">
        <v>54</v>
      </c>
      <c r="F431" t="s">
        <v>25</v>
      </c>
      <c r="O431" s="4" t="str">
        <f>IF(A431="","",--(COUNTIF($A$2:A431,A431)=1))</f>
        <v/>
      </c>
      <c r="P431" s="4" t="str">
        <f>IF(A431="","",--(COUNTIFS($A$2:A431,A431,$F$2:F431,F431)=1))</f>
        <v/>
      </c>
    </row>
    <row r="432" spans="1:16">
      <c r="A432" s="5"/>
      <c r="D432" t="s">
        <v>54</v>
      </c>
      <c r="F432" t="s">
        <v>25</v>
      </c>
      <c r="O432" s="4" t="str">
        <f>IF(A432="","",--(COUNTIF($A$2:A432,A432)=1))</f>
        <v/>
      </c>
      <c r="P432" s="4" t="str">
        <f>IF(A432="","",--(COUNTIFS($A$2:A432,A432,$F$2:F432,F432)=1))</f>
        <v/>
      </c>
    </row>
    <row r="433" spans="1:16">
      <c r="A433" s="5"/>
      <c r="D433" t="s">
        <v>54</v>
      </c>
      <c r="F433" t="s">
        <v>25</v>
      </c>
      <c r="O433" s="4" t="str">
        <f>IF(A433="","",--(COUNTIF($A$2:A433,A433)=1))</f>
        <v/>
      </c>
      <c r="P433" s="4" t="str">
        <f>IF(A433="","",--(COUNTIFS($A$2:A433,A433,$F$2:F433,F433)=1))</f>
        <v/>
      </c>
    </row>
    <row r="434" spans="1:16">
      <c r="A434" s="5"/>
      <c r="D434" t="s">
        <v>54</v>
      </c>
      <c r="F434" t="s">
        <v>25</v>
      </c>
      <c r="O434" s="4" t="str">
        <f>IF(A434="","",--(COUNTIF($A$2:A434,A434)=1))</f>
        <v/>
      </c>
      <c r="P434" s="4" t="str">
        <f>IF(A434="","",--(COUNTIFS($A$2:A434,A434,$F$2:F434,F434)=1))</f>
        <v/>
      </c>
    </row>
    <row r="435" spans="1:16">
      <c r="A435" s="5"/>
      <c r="D435" t="s">
        <v>54</v>
      </c>
      <c r="F435" t="s">
        <v>25</v>
      </c>
      <c r="O435" s="4" t="str">
        <f>IF(A435="","",--(COUNTIF($A$2:A435,A435)=1))</f>
        <v/>
      </c>
      <c r="P435" s="4" t="str">
        <f>IF(A435="","",--(COUNTIFS($A$2:A435,A435,$F$2:F435,F435)=1))</f>
        <v/>
      </c>
    </row>
    <row r="436" spans="1:16">
      <c r="A436" s="5"/>
      <c r="D436" t="s">
        <v>54</v>
      </c>
      <c r="F436" t="s">
        <v>25</v>
      </c>
      <c r="O436" s="4" t="str">
        <f>IF(A436="","",--(COUNTIF($A$2:A436,A436)=1))</f>
        <v/>
      </c>
      <c r="P436" s="4" t="str">
        <f>IF(A436="","",--(COUNTIFS($A$2:A436,A436,$F$2:F436,F436)=1))</f>
        <v/>
      </c>
    </row>
    <row r="437" spans="1:16">
      <c r="A437" s="5"/>
      <c r="D437" t="s">
        <v>54</v>
      </c>
      <c r="F437" t="s">
        <v>25</v>
      </c>
      <c r="O437" s="4" t="str">
        <f>IF(A437="","",--(COUNTIF($A$2:A437,A437)=1))</f>
        <v/>
      </c>
      <c r="P437" s="4" t="str">
        <f>IF(A437="","",--(COUNTIFS($A$2:A437,A437,$F$2:F437,F437)=1))</f>
        <v/>
      </c>
    </row>
    <row r="438" spans="1:16">
      <c r="A438" s="5"/>
      <c r="D438" t="s">
        <v>54</v>
      </c>
      <c r="F438" t="s">
        <v>25</v>
      </c>
      <c r="O438" s="4" t="str">
        <f>IF(A438="","",--(COUNTIF($A$2:A438,A438)=1))</f>
        <v/>
      </c>
      <c r="P438" s="4" t="str">
        <f>IF(A438="","",--(COUNTIFS($A$2:A438,A438,$F$2:F438,F438)=1))</f>
        <v/>
      </c>
    </row>
    <row r="439" spans="1:16">
      <c r="A439" s="5"/>
      <c r="D439" t="s">
        <v>54</v>
      </c>
      <c r="F439" t="s">
        <v>25</v>
      </c>
      <c r="O439" s="4" t="str">
        <f>IF(A439="","",--(COUNTIF($A$2:A439,A439)=1))</f>
        <v/>
      </c>
      <c r="P439" s="4" t="str">
        <f>IF(A439="","",--(COUNTIFS($A$2:A439,A439,$F$2:F439,F439)=1))</f>
        <v/>
      </c>
    </row>
    <row r="440" spans="1:16">
      <c r="A440" s="5"/>
      <c r="D440" t="s">
        <v>54</v>
      </c>
      <c r="F440" t="s">
        <v>25</v>
      </c>
      <c r="O440" s="4" t="str">
        <f>IF(A440="","",--(COUNTIF($A$2:A440,A440)=1))</f>
        <v/>
      </c>
      <c r="P440" s="4" t="str">
        <f>IF(A440="","",--(COUNTIFS($A$2:A440,A440,$F$2:F440,F440)=1))</f>
        <v/>
      </c>
    </row>
    <row r="441" spans="1:16">
      <c r="A441" s="5"/>
      <c r="D441" t="s">
        <v>54</v>
      </c>
      <c r="F441" t="s">
        <v>25</v>
      </c>
      <c r="O441" s="4" t="str">
        <f>IF(A441="","",--(COUNTIF($A$2:A441,A441)=1))</f>
        <v/>
      </c>
      <c r="P441" s="4" t="str">
        <f>IF(A441="","",--(COUNTIFS($A$2:A441,A441,$F$2:F441,F441)=1))</f>
        <v/>
      </c>
    </row>
    <row r="442" spans="1:16">
      <c r="A442" s="5"/>
      <c r="D442" t="s">
        <v>54</v>
      </c>
      <c r="F442" t="s">
        <v>25</v>
      </c>
      <c r="O442" s="4" t="str">
        <f>IF(A442="","",--(COUNTIF($A$2:A442,A442)=1))</f>
        <v/>
      </c>
      <c r="P442" s="4" t="str">
        <f>IF(A442="","",--(COUNTIFS($A$2:A442,A442,$F$2:F442,F442)=1))</f>
        <v/>
      </c>
    </row>
    <row r="443" spans="1:16">
      <c r="A443" s="5"/>
      <c r="D443" t="s">
        <v>54</v>
      </c>
      <c r="F443" t="s">
        <v>25</v>
      </c>
      <c r="O443" s="4" t="str">
        <f>IF(A443="","",--(COUNTIF($A$2:A443,A443)=1))</f>
        <v/>
      </c>
      <c r="P443" s="4" t="str">
        <f>IF(A443="","",--(COUNTIFS($A$2:A443,A443,$F$2:F443,F443)=1))</f>
        <v/>
      </c>
    </row>
    <row r="444" spans="1:16">
      <c r="A444" s="5"/>
      <c r="D444" t="s">
        <v>54</v>
      </c>
      <c r="F444" t="s">
        <v>25</v>
      </c>
      <c r="O444" s="4" t="str">
        <f>IF(A444="","",--(COUNTIF($A$2:A444,A444)=1))</f>
        <v/>
      </c>
      <c r="P444" s="4" t="str">
        <f>IF(A444="","",--(COUNTIFS($A$2:A444,A444,$F$2:F444,F444)=1))</f>
        <v/>
      </c>
    </row>
    <row r="445" spans="1:16">
      <c r="A445" s="5"/>
      <c r="D445" t="s">
        <v>54</v>
      </c>
      <c r="F445" t="s">
        <v>25</v>
      </c>
      <c r="O445" s="4" t="str">
        <f>IF(A445="","",--(COUNTIF($A$2:A445,A445)=1))</f>
        <v/>
      </c>
      <c r="P445" s="4" t="str">
        <f>IF(A445="","",--(COUNTIFS($A$2:A445,A445,$F$2:F445,F445)=1))</f>
        <v/>
      </c>
    </row>
    <row r="446" spans="1:16">
      <c r="A446" s="5"/>
      <c r="D446" t="s">
        <v>54</v>
      </c>
      <c r="F446" t="s">
        <v>25</v>
      </c>
      <c r="O446" s="4" t="str">
        <f>IF(A446="","",--(COUNTIF($A$2:A446,A446)=1))</f>
        <v/>
      </c>
      <c r="P446" s="4" t="str">
        <f>IF(A446="","",--(COUNTIFS($A$2:A446,A446,$F$2:F446,F446)=1))</f>
        <v/>
      </c>
    </row>
    <row r="447" spans="1:16">
      <c r="A447" s="5"/>
      <c r="D447" t="s">
        <v>54</v>
      </c>
      <c r="F447" t="s">
        <v>25</v>
      </c>
      <c r="O447" s="4" t="str">
        <f>IF(A447="","",--(COUNTIF($A$2:A447,A447)=1))</f>
        <v/>
      </c>
      <c r="P447" s="4" t="str">
        <f>IF(A447="","",--(COUNTIFS($A$2:A447,A447,$F$2:F447,F447)=1))</f>
        <v/>
      </c>
    </row>
    <row r="448" spans="1:16">
      <c r="A448" s="5"/>
      <c r="D448" t="s">
        <v>54</v>
      </c>
      <c r="F448" t="s">
        <v>25</v>
      </c>
      <c r="O448" s="4" t="str">
        <f>IF(A448="","",--(COUNTIF($A$2:A448,A448)=1))</f>
        <v/>
      </c>
      <c r="P448" s="4" t="str">
        <f>IF(A448="","",--(COUNTIFS($A$2:A448,A448,$F$2:F448,F448)=1))</f>
        <v/>
      </c>
    </row>
    <row r="449" spans="1:16">
      <c r="A449" s="5"/>
      <c r="D449" t="s">
        <v>54</v>
      </c>
      <c r="F449" t="s">
        <v>25</v>
      </c>
      <c r="O449" s="4" t="str">
        <f>IF(A449="","",--(COUNTIF($A$2:A449,A449)=1))</f>
        <v/>
      </c>
      <c r="P449" s="4" t="str">
        <f>IF(A449="","",--(COUNTIFS($A$2:A449,A449,$F$2:F449,F449)=1))</f>
        <v/>
      </c>
    </row>
    <row r="450" spans="1:16">
      <c r="A450" s="5"/>
      <c r="D450" t="s">
        <v>54</v>
      </c>
      <c r="F450" t="s">
        <v>25</v>
      </c>
      <c r="O450" s="4" t="str">
        <f>IF(A450="","",--(COUNTIF($A$2:A450,A450)=1))</f>
        <v/>
      </c>
      <c r="P450" s="4" t="str">
        <f>IF(A450="","",--(COUNTIFS($A$2:A450,A450,$F$2:F450,F450)=1))</f>
        <v/>
      </c>
    </row>
    <row r="451" spans="1:16">
      <c r="A451" s="5"/>
      <c r="D451" t="s">
        <v>54</v>
      </c>
      <c r="F451" t="s">
        <v>25</v>
      </c>
      <c r="O451" s="4" t="str">
        <f>IF(A451="","",--(COUNTIF($A$2:A451,A451)=1))</f>
        <v/>
      </c>
      <c r="P451" s="4" t="str">
        <f>IF(A451="","",--(COUNTIFS($A$2:A451,A451,$F$2:F451,F451)=1))</f>
        <v/>
      </c>
    </row>
    <row r="452" spans="1:16">
      <c r="A452" s="5"/>
      <c r="D452" t="s">
        <v>54</v>
      </c>
      <c r="F452" t="s">
        <v>25</v>
      </c>
      <c r="O452" s="4" t="str">
        <f>IF(A452="","",--(COUNTIF($A$2:A452,A452)=1))</f>
        <v/>
      </c>
      <c r="P452" s="4" t="str">
        <f>IF(A452="","",--(COUNTIFS($A$2:A452,A452,$F$2:F452,F452)=1))</f>
        <v/>
      </c>
    </row>
    <row r="453" spans="1:16">
      <c r="A453" s="5"/>
      <c r="D453" t="s">
        <v>54</v>
      </c>
      <c r="F453" t="s">
        <v>25</v>
      </c>
      <c r="O453" s="4" t="str">
        <f>IF(A453="","",--(COUNTIF($A$2:A453,A453)=1))</f>
        <v/>
      </c>
      <c r="P453" s="4" t="str">
        <f>IF(A453="","",--(COUNTIFS($A$2:A453,A453,$F$2:F453,F453)=1))</f>
        <v/>
      </c>
    </row>
    <row r="454" spans="1:16">
      <c r="A454" s="5"/>
      <c r="D454" t="s">
        <v>54</v>
      </c>
      <c r="F454" t="s">
        <v>25</v>
      </c>
      <c r="O454" s="4" t="str">
        <f>IF(A454="","",--(COUNTIF($A$2:A454,A454)=1))</f>
        <v/>
      </c>
      <c r="P454" s="4" t="str">
        <f>IF(A454="","",--(COUNTIFS($A$2:A454,A454,$F$2:F454,F454)=1))</f>
        <v/>
      </c>
    </row>
    <row r="455" spans="1:16">
      <c r="A455" s="5"/>
      <c r="D455" t="s">
        <v>54</v>
      </c>
      <c r="F455" t="s">
        <v>25</v>
      </c>
      <c r="O455" s="4" t="str">
        <f>IF(A455="","",--(COUNTIF($A$2:A455,A455)=1))</f>
        <v/>
      </c>
      <c r="P455" s="4" t="str">
        <f>IF(A455="","",--(COUNTIFS($A$2:A455,A455,$F$2:F455,F455)=1))</f>
        <v/>
      </c>
    </row>
    <row r="456" spans="1:16">
      <c r="A456" s="5"/>
      <c r="D456" t="s">
        <v>54</v>
      </c>
      <c r="F456" t="s">
        <v>25</v>
      </c>
      <c r="O456" s="4" t="str">
        <f>IF(A456="","",--(COUNTIF($A$2:A456,A456)=1))</f>
        <v/>
      </c>
      <c r="P456" s="4" t="str">
        <f>IF(A456="","",--(COUNTIFS($A$2:A456,A456,$F$2:F456,F456)=1))</f>
        <v/>
      </c>
    </row>
    <row r="457" spans="1:16">
      <c r="A457" s="5"/>
      <c r="D457" t="s">
        <v>54</v>
      </c>
      <c r="F457" t="s">
        <v>25</v>
      </c>
      <c r="O457" s="4" t="str">
        <f>IF(A457="","",--(COUNTIF($A$2:A457,A457)=1))</f>
        <v/>
      </c>
      <c r="P457" s="4" t="str">
        <f>IF(A457="","",--(COUNTIFS($A$2:A457,A457,$F$2:F457,F457)=1))</f>
        <v/>
      </c>
    </row>
    <row r="458" spans="1:16">
      <c r="A458" s="5"/>
      <c r="D458" t="s">
        <v>54</v>
      </c>
      <c r="F458" t="s">
        <v>25</v>
      </c>
      <c r="O458" s="4" t="str">
        <f>IF(A458="","",--(COUNTIF($A$2:A458,A458)=1))</f>
        <v/>
      </c>
      <c r="P458" s="4" t="str">
        <f>IF(A458="","",--(COUNTIFS($A$2:A458,A458,$F$2:F458,F458)=1))</f>
        <v/>
      </c>
    </row>
    <row r="459" spans="1:16">
      <c r="A459" s="5"/>
      <c r="D459" t="s">
        <v>54</v>
      </c>
      <c r="F459" t="s">
        <v>25</v>
      </c>
      <c r="O459" s="4" t="str">
        <f>IF(A459="","",--(COUNTIF($A$2:A459,A459)=1))</f>
        <v/>
      </c>
      <c r="P459" s="4" t="str">
        <f>IF(A459="","",--(COUNTIFS($A$2:A459,A459,$F$2:F459,F459)=1))</f>
        <v/>
      </c>
    </row>
    <row r="460" spans="1:16">
      <c r="A460" s="5"/>
      <c r="D460" t="s">
        <v>54</v>
      </c>
      <c r="F460" t="s">
        <v>25</v>
      </c>
      <c r="O460" s="4" t="str">
        <f>IF(A460="","",--(COUNTIF($A$2:A460,A460)=1))</f>
        <v/>
      </c>
      <c r="P460" s="4" t="str">
        <f>IF(A460="","",--(COUNTIFS($A$2:A460,A460,$F$2:F460,F460)=1))</f>
        <v/>
      </c>
    </row>
    <row r="461" spans="1:16">
      <c r="A461" s="5"/>
      <c r="D461" t="s">
        <v>54</v>
      </c>
      <c r="F461" t="s">
        <v>25</v>
      </c>
      <c r="O461" s="4" t="str">
        <f>IF(A461="","",--(COUNTIF($A$2:A461,A461)=1))</f>
        <v/>
      </c>
      <c r="P461" s="4" t="str">
        <f>IF(A461="","",--(COUNTIFS($A$2:A461,A461,$F$2:F461,F461)=1))</f>
        <v/>
      </c>
    </row>
    <row r="462" spans="1:16">
      <c r="A462" s="5"/>
      <c r="D462" t="s">
        <v>54</v>
      </c>
      <c r="F462" t="s">
        <v>25</v>
      </c>
      <c r="O462" s="4" t="str">
        <f>IF(A462="","",--(COUNTIF($A$2:A462,A462)=1))</f>
        <v/>
      </c>
      <c r="P462" s="4" t="str">
        <f>IF(A462="","",--(COUNTIFS($A$2:A462,A462,$F$2:F462,F462)=1))</f>
        <v/>
      </c>
    </row>
    <row r="463" spans="1:16">
      <c r="A463" s="5"/>
      <c r="D463" t="s">
        <v>54</v>
      </c>
      <c r="F463" t="s">
        <v>25</v>
      </c>
      <c r="O463" s="4" t="str">
        <f>IF(A463="","",--(COUNTIF($A$2:A463,A463)=1))</f>
        <v/>
      </c>
      <c r="P463" s="4" t="str">
        <f>IF(A463="","",--(COUNTIFS($A$2:A463,A463,$F$2:F463,F463)=1))</f>
        <v/>
      </c>
    </row>
    <row r="464" spans="1:16">
      <c r="A464" s="5"/>
      <c r="D464" t="s">
        <v>54</v>
      </c>
      <c r="F464" t="s">
        <v>25</v>
      </c>
      <c r="O464" s="4" t="str">
        <f>IF(A464="","",--(COUNTIF($A$2:A464,A464)=1))</f>
        <v/>
      </c>
      <c r="P464" s="4" t="str">
        <f>IF(A464="","",--(COUNTIFS($A$2:A464,A464,$F$2:F464,F464)=1))</f>
        <v/>
      </c>
    </row>
    <row r="465" spans="1:16">
      <c r="A465" s="5"/>
      <c r="D465" t="s">
        <v>54</v>
      </c>
      <c r="F465" t="s">
        <v>25</v>
      </c>
      <c r="O465" s="4" t="str">
        <f>IF(A465="","",--(COUNTIF($A$2:A465,A465)=1))</f>
        <v/>
      </c>
      <c r="P465" s="4" t="str">
        <f>IF(A465="","",--(COUNTIFS($A$2:A465,A465,$F$2:F465,F465)=1))</f>
        <v/>
      </c>
    </row>
    <row r="466" spans="1:16">
      <c r="A466" s="5"/>
      <c r="D466" t="s">
        <v>54</v>
      </c>
      <c r="F466" t="s">
        <v>25</v>
      </c>
      <c r="O466" s="4" t="str">
        <f>IF(A466="","",--(COUNTIF($A$2:A466,A466)=1))</f>
        <v/>
      </c>
      <c r="P466" s="4" t="str">
        <f>IF(A466="","",--(COUNTIFS($A$2:A466,A466,$F$2:F466,F466)=1))</f>
        <v/>
      </c>
    </row>
    <row r="467" spans="1:16">
      <c r="A467" s="5"/>
      <c r="D467" t="s">
        <v>54</v>
      </c>
      <c r="F467" t="s">
        <v>25</v>
      </c>
      <c r="O467" s="4" t="str">
        <f>IF(A467="","",--(COUNTIF($A$2:A467,A467)=1))</f>
        <v/>
      </c>
      <c r="P467" s="4" t="str">
        <f>IF(A467="","",--(COUNTIFS($A$2:A467,A467,$F$2:F467,F467)=1))</f>
        <v/>
      </c>
    </row>
    <row r="468" spans="1:16">
      <c r="A468" s="5"/>
      <c r="D468" t="s">
        <v>54</v>
      </c>
      <c r="F468" t="s">
        <v>25</v>
      </c>
      <c r="O468" s="4" t="str">
        <f>IF(A468="","",--(COUNTIF($A$2:A468,A468)=1))</f>
        <v/>
      </c>
      <c r="P468" s="4" t="str">
        <f>IF(A468="","",--(COUNTIFS($A$2:A468,A468,$F$2:F468,F468)=1))</f>
        <v/>
      </c>
    </row>
    <row r="469" spans="1:16">
      <c r="A469" s="5"/>
      <c r="D469" t="s">
        <v>54</v>
      </c>
      <c r="F469" t="s">
        <v>25</v>
      </c>
      <c r="O469" s="4" t="str">
        <f>IF(A469="","",--(COUNTIF($A$2:A469,A469)=1))</f>
        <v/>
      </c>
      <c r="P469" s="4" t="str">
        <f>IF(A469="","",--(COUNTIFS($A$2:A469,A469,$F$2:F469,F469)=1))</f>
        <v/>
      </c>
    </row>
    <row r="470" spans="1:16">
      <c r="A470" s="5"/>
      <c r="D470" t="s">
        <v>54</v>
      </c>
      <c r="F470" t="s">
        <v>25</v>
      </c>
      <c r="O470" s="4" t="str">
        <f>IF(A470="","",--(COUNTIF($A$2:A470,A470)=1))</f>
        <v/>
      </c>
      <c r="P470" s="4" t="str">
        <f>IF(A470="","",--(COUNTIFS($A$2:A470,A470,$F$2:F470,F470)=1))</f>
        <v/>
      </c>
    </row>
    <row r="471" spans="1:16">
      <c r="A471" s="5"/>
      <c r="D471" t="s">
        <v>54</v>
      </c>
      <c r="F471" t="s">
        <v>25</v>
      </c>
      <c r="O471" s="4" t="str">
        <f>IF(A471="","",--(COUNTIF($A$2:A471,A471)=1))</f>
        <v/>
      </c>
      <c r="P471" s="4" t="str">
        <f>IF(A471="","",--(COUNTIFS($A$2:A471,A471,$F$2:F471,F471)=1))</f>
        <v/>
      </c>
    </row>
    <row r="472" spans="1:16">
      <c r="A472" s="5"/>
      <c r="D472" t="s">
        <v>54</v>
      </c>
      <c r="F472" t="s">
        <v>25</v>
      </c>
      <c r="O472" s="4" t="str">
        <f>IF(A472="","",--(COUNTIF($A$2:A472,A472)=1))</f>
        <v/>
      </c>
      <c r="P472" s="4" t="str">
        <f>IF(A472="","",--(COUNTIFS($A$2:A472,A472,$F$2:F472,F472)=1))</f>
        <v/>
      </c>
    </row>
    <row r="473" spans="1:16">
      <c r="A473" s="5"/>
      <c r="D473" t="s">
        <v>54</v>
      </c>
      <c r="F473" t="s">
        <v>25</v>
      </c>
      <c r="O473" s="4" t="str">
        <f>IF(A473="","",--(COUNTIF($A$2:A473,A473)=1))</f>
        <v/>
      </c>
      <c r="P473" s="4" t="str">
        <f>IF(A473="","",--(COUNTIFS($A$2:A473,A473,$F$2:F473,F473)=1))</f>
        <v/>
      </c>
    </row>
    <row r="474" spans="1:16">
      <c r="A474" s="5"/>
      <c r="D474" t="s">
        <v>54</v>
      </c>
      <c r="F474" t="s">
        <v>25</v>
      </c>
      <c r="O474" s="4" t="str">
        <f>IF(A474="","",--(COUNTIF($A$2:A474,A474)=1))</f>
        <v/>
      </c>
      <c r="P474" s="4" t="str">
        <f>IF(A474="","",--(COUNTIFS($A$2:A474,A474,$F$2:F474,F474)=1))</f>
        <v/>
      </c>
    </row>
    <row r="475" spans="1:16">
      <c r="A475" s="5"/>
      <c r="D475" t="s">
        <v>54</v>
      </c>
      <c r="F475" t="s">
        <v>25</v>
      </c>
      <c r="O475" s="4" t="str">
        <f>IF(A475="","",--(COUNTIF($A$2:A475,A475)=1))</f>
        <v/>
      </c>
      <c r="P475" s="4" t="str">
        <f>IF(A475="","",--(COUNTIFS($A$2:A475,A475,$F$2:F475,F475)=1))</f>
        <v/>
      </c>
    </row>
    <row r="476" spans="1:16">
      <c r="A476" s="5"/>
      <c r="D476" t="s">
        <v>54</v>
      </c>
      <c r="F476" t="s">
        <v>25</v>
      </c>
      <c r="O476" s="4" t="str">
        <f>IF(A476="","",--(COUNTIF($A$2:A476,A476)=1))</f>
        <v/>
      </c>
      <c r="P476" s="4" t="str">
        <f>IF(A476="","",--(COUNTIFS($A$2:A476,A476,$F$2:F476,F476)=1))</f>
        <v/>
      </c>
    </row>
    <row r="477" spans="1:16">
      <c r="A477" s="5"/>
      <c r="D477" t="s">
        <v>54</v>
      </c>
      <c r="F477" t="s">
        <v>25</v>
      </c>
      <c r="O477" s="4" t="str">
        <f>IF(A477="","",--(COUNTIF($A$2:A477,A477)=1))</f>
        <v/>
      </c>
      <c r="P477" s="4" t="str">
        <f>IF(A477="","",--(COUNTIFS($A$2:A477,A477,$F$2:F477,F477)=1))</f>
        <v/>
      </c>
    </row>
    <row r="478" spans="1:16">
      <c r="A478" s="5"/>
      <c r="D478" t="s">
        <v>54</v>
      </c>
      <c r="F478" t="s">
        <v>25</v>
      </c>
      <c r="O478" s="4" t="str">
        <f>IF(A478="","",--(COUNTIF($A$2:A478,A478)=1))</f>
        <v/>
      </c>
      <c r="P478" s="4" t="str">
        <f>IF(A478="","",--(COUNTIFS($A$2:A478,A478,$F$2:F478,F478)=1))</f>
        <v/>
      </c>
    </row>
    <row r="479" spans="1:16">
      <c r="A479" s="5"/>
      <c r="D479" t="s">
        <v>54</v>
      </c>
      <c r="F479" t="s">
        <v>25</v>
      </c>
      <c r="O479" s="4" t="str">
        <f>IF(A479="","",--(COUNTIF($A$2:A479,A479)=1))</f>
        <v/>
      </c>
      <c r="P479" s="4" t="str">
        <f>IF(A479="","",--(COUNTIFS($A$2:A479,A479,$F$2:F479,F479)=1))</f>
        <v/>
      </c>
    </row>
    <row r="480" spans="1:16">
      <c r="A480" s="5"/>
      <c r="D480" t="s">
        <v>54</v>
      </c>
      <c r="F480" t="s">
        <v>25</v>
      </c>
      <c r="O480" s="4" t="str">
        <f>IF(A480="","",--(COUNTIF($A$2:A480,A480)=1))</f>
        <v/>
      </c>
      <c r="P480" s="4" t="str">
        <f>IF(A480="","",--(COUNTIFS($A$2:A480,A480,$F$2:F480,F480)=1))</f>
        <v/>
      </c>
    </row>
    <row r="481" spans="1:16">
      <c r="A481" s="5"/>
      <c r="D481" t="s">
        <v>54</v>
      </c>
      <c r="F481" t="s">
        <v>25</v>
      </c>
      <c r="O481" s="4" t="str">
        <f>IF(A481="","",--(COUNTIF($A$2:A481,A481)=1))</f>
        <v/>
      </c>
      <c r="P481" s="4" t="str">
        <f>IF(A481="","",--(COUNTIFS($A$2:A481,A481,$F$2:F481,F481)=1))</f>
        <v/>
      </c>
    </row>
    <row r="482" spans="1:16">
      <c r="A482" s="5"/>
      <c r="D482" t="s">
        <v>54</v>
      </c>
      <c r="F482" t="s">
        <v>25</v>
      </c>
      <c r="O482" s="4" t="str">
        <f>IF(A482="","",--(COUNTIF($A$2:A482,A482)=1))</f>
        <v/>
      </c>
      <c r="P482" s="4" t="str">
        <f>IF(A482="","",--(COUNTIFS($A$2:A482,A482,$F$2:F482,F482)=1))</f>
        <v/>
      </c>
    </row>
    <row r="483" spans="1:16">
      <c r="A483" s="5"/>
      <c r="D483" t="s">
        <v>54</v>
      </c>
      <c r="F483" t="s">
        <v>25</v>
      </c>
      <c r="O483" s="4" t="str">
        <f>IF(A483="","",--(COUNTIF($A$2:A483,A483)=1))</f>
        <v/>
      </c>
      <c r="P483" s="4" t="str">
        <f>IF(A483="","",--(COUNTIFS($A$2:A483,A483,$F$2:F483,F483)=1))</f>
        <v/>
      </c>
    </row>
    <row r="484" spans="1:16">
      <c r="A484" s="5"/>
      <c r="D484" t="s">
        <v>54</v>
      </c>
      <c r="F484" t="s">
        <v>25</v>
      </c>
      <c r="O484" s="4" t="str">
        <f>IF(A484="","",--(COUNTIF($A$2:A484,A484)=1))</f>
        <v/>
      </c>
      <c r="P484" s="4" t="str">
        <f>IF(A484="","",--(COUNTIFS($A$2:A484,A484,$F$2:F484,F484)=1))</f>
        <v/>
      </c>
    </row>
    <row r="485" spans="1:16">
      <c r="A485" s="5"/>
      <c r="D485" t="s">
        <v>54</v>
      </c>
      <c r="F485" t="s">
        <v>25</v>
      </c>
      <c r="O485" s="4" t="str">
        <f>IF(A485="","",--(COUNTIF($A$2:A485,A485)=1))</f>
        <v/>
      </c>
      <c r="P485" s="4" t="str">
        <f>IF(A485="","",--(COUNTIFS($A$2:A485,A485,$F$2:F485,F485)=1))</f>
        <v/>
      </c>
    </row>
    <row r="486" spans="1:16">
      <c r="A486" s="5"/>
      <c r="D486" t="s">
        <v>54</v>
      </c>
      <c r="F486" t="s">
        <v>25</v>
      </c>
      <c r="O486" s="4" t="str">
        <f>IF(A486="","",--(COUNTIF($A$2:A486,A486)=1))</f>
        <v/>
      </c>
      <c r="P486" s="4" t="str">
        <f>IF(A486="","",--(COUNTIFS($A$2:A486,A486,$F$2:F486,F486)=1))</f>
        <v/>
      </c>
    </row>
    <row r="487" spans="1:16">
      <c r="A487" s="5"/>
      <c r="D487" t="s">
        <v>54</v>
      </c>
      <c r="F487" t="s">
        <v>25</v>
      </c>
      <c r="O487" s="4" t="str">
        <f>IF(A487="","",--(COUNTIF($A$2:A487,A487)=1))</f>
        <v/>
      </c>
      <c r="P487" s="4" t="str">
        <f>IF(A487="","",--(COUNTIFS($A$2:A487,A487,$F$2:F487,F487)=1))</f>
        <v/>
      </c>
    </row>
    <row r="488" spans="1:16">
      <c r="A488" s="5"/>
      <c r="D488" t="s">
        <v>54</v>
      </c>
      <c r="F488" t="s">
        <v>25</v>
      </c>
      <c r="O488" s="4" t="str">
        <f>IF(A488="","",--(COUNTIF($A$2:A488,A488)=1))</f>
        <v/>
      </c>
      <c r="P488" s="4" t="str">
        <f>IF(A488="","",--(COUNTIFS($A$2:A488,A488,$F$2:F488,F488)=1))</f>
        <v/>
      </c>
    </row>
    <row r="489" spans="1:16">
      <c r="A489" s="5"/>
      <c r="D489" t="s">
        <v>54</v>
      </c>
      <c r="F489" t="s">
        <v>25</v>
      </c>
      <c r="O489" s="4" t="str">
        <f>IF(A489="","",--(COUNTIF($A$2:A489,A489)=1))</f>
        <v/>
      </c>
      <c r="P489" s="4" t="str">
        <f>IF(A489="","",--(COUNTIFS($A$2:A489,A489,$F$2:F489,F489)=1))</f>
        <v/>
      </c>
    </row>
    <row r="490" spans="1:16">
      <c r="A490" s="5"/>
      <c r="D490" t="s">
        <v>54</v>
      </c>
      <c r="F490" t="s">
        <v>25</v>
      </c>
      <c r="O490" s="4" t="str">
        <f>IF(A490="","",--(COUNTIF($A$2:A490,A490)=1))</f>
        <v/>
      </c>
      <c r="P490" s="4" t="str">
        <f>IF(A490="","",--(COUNTIFS($A$2:A490,A490,$F$2:F490,F490)=1))</f>
        <v/>
      </c>
    </row>
    <row r="491" spans="1:16">
      <c r="A491" s="5"/>
      <c r="D491" t="s">
        <v>54</v>
      </c>
      <c r="F491" t="s">
        <v>25</v>
      </c>
      <c r="O491" s="4" t="str">
        <f>IF(A491="","",--(COUNTIF($A$2:A491,A491)=1))</f>
        <v/>
      </c>
      <c r="P491" s="4" t="str">
        <f>IF(A491="","",--(COUNTIFS($A$2:A491,A491,$F$2:F491,F491)=1))</f>
        <v/>
      </c>
    </row>
    <row r="492" spans="1:16">
      <c r="A492" s="5"/>
      <c r="D492" t="s">
        <v>54</v>
      </c>
      <c r="F492" t="s">
        <v>25</v>
      </c>
      <c r="O492" s="4" t="str">
        <f>IF(A492="","",--(COUNTIF($A$2:A492,A492)=1))</f>
        <v/>
      </c>
      <c r="P492" s="4" t="str">
        <f>IF(A492="","",--(COUNTIFS($A$2:A492,A492,$F$2:F492,F492)=1))</f>
        <v/>
      </c>
    </row>
    <row r="493" spans="1:16">
      <c r="A493" s="5"/>
      <c r="D493" t="s">
        <v>54</v>
      </c>
      <c r="F493" t="s">
        <v>25</v>
      </c>
      <c r="O493" s="4" t="str">
        <f>IF(A493="","",--(COUNTIF($A$2:A493,A493)=1))</f>
        <v/>
      </c>
      <c r="P493" s="4" t="str">
        <f>IF(A493="","",--(COUNTIFS($A$2:A493,A493,$F$2:F493,F493)=1))</f>
        <v/>
      </c>
    </row>
    <row r="494" spans="1:16">
      <c r="A494" s="5"/>
      <c r="D494" t="s">
        <v>54</v>
      </c>
      <c r="F494" t="s">
        <v>25</v>
      </c>
      <c r="O494" s="4" t="str">
        <f>IF(A494="","",--(COUNTIF($A$2:A494,A494)=1))</f>
        <v/>
      </c>
      <c r="P494" s="4" t="str">
        <f>IF(A494="","",--(COUNTIFS($A$2:A494,A494,$F$2:F494,F494)=1))</f>
        <v/>
      </c>
    </row>
    <row r="495" spans="1:16">
      <c r="A495" s="5"/>
      <c r="D495" t="s">
        <v>54</v>
      </c>
      <c r="F495" t="s">
        <v>25</v>
      </c>
      <c r="O495" s="4" t="str">
        <f>IF(A495="","",--(COUNTIF($A$2:A495,A495)=1))</f>
        <v/>
      </c>
      <c r="P495" s="4" t="str">
        <f>IF(A495="","",--(COUNTIFS($A$2:A495,A495,$F$2:F495,F495)=1))</f>
        <v/>
      </c>
    </row>
    <row r="496" spans="1:16">
      <c r="A496" s="5"/>
      <c r="D496" t="s">
        <v>54</v>
      </c>
      <c r="F496" t="s">
        <v>25</v>
      </c>
      <c r="O496" s="4" t="str">
        <f>IF(A496="","",--(COUNTIF($A$2:A496,A496)=1))</f>
        <v/>
      </c>
      <c r="P496" s="4" t="str">
        <f>IF(A496="","",--(COUNTIFS($A$2:A496,A496,$F$2:F496,F496)=1))</f>
        <v/>
      </c>
    </row>
    <row r="497" spans="1:16">
      <c r="A497" s="5"/>
      <c r="D497" t="s">
        <v>54</v>
      </c>
      <c r="F497" t="s">
        <v>25</v>
      </c>
      <c r="O497" s="4" t="str">
        <f>IF(A497="","",--(COUNTIF($A$2:A497,A497)=1))</f>
        <v/>
      </c>
      <c r="P497" s="4" t="str">
        <f>IF(A497="","",--(COUNTIFS($A$2:A497,A497,$F$2:F497,F497)=1))</f>
        <v/>
      </c>
    </row>
    <row r="498" spans="1:16">
      <c r="A498" s="5"/>
      <c r="D498" t="s">
        <v>54</v>
      </c>
      <c r="F498" t="s">
        <v>25</v>
      </c>
      <c r="O498" s="4" t="str">
        <f>IF(A498="","",--(COUNTIF($A$2:A498,A498)=1))</f>
        <v/>
      </c>
      <c r="P498" s="4" t="str">
        <f>IF(A498="","",--(COUNTIFS($A$2:A498,A498,$F$2:F498,F498)=1))</f>
        <v/>
      </c>
    </row>
    <row r="499" spans="1:16">
      <c r="A499" s="5"/>
      <c r="D499" t="s">
        <v>54</v>
      </c>
      <c r="F499" t="s">
        <v>25</v>
      </c>
      <c r="O499" s="4" t="str">
        <f>IF(A499="","",--(COUNTIF($A$2:A499,A499)=1))</f>
        <v/>
      </c>
      <c r="P499" s="4" t="str">
        <f>IF(A499="","",--(COUNTIFS($A$2:A499,A499,$F$2:F499,F499)=1))</f>
        <v/>
      </c>
    </row>
    <row r="500" spans="1:16">
      <c r="A500" s="5"/>
      <c r="D500" t="s">
        <v>54</v>
      </c>
      <c r="F500" t="s">
        <v>25</v>
      </c>
      <c r="O500" s="4" t="str">
        <f>IF(A500="","",--(COUNTIF($A$2:A500,A500)=1))</f>
        <v/>
      </c>
      <c r="P500" s="4" t="str">
        <f>IF(A500="","",--(COUNTIFS($A$2:A500,A500,$F$2:F500,F500)=1))</f>
        <v/>
      </c>
    </row>
    <row r="501" spans="1:16">
      <c r="A501" s="5"/>
      <c r="D501" t="s">
        <v>54</v>
      </c>
      <c r="F501" t="s">
        <v>25</v>
      </c>
      <c r="O501" s="4" t="str">
        <f>IF(A501="","",--(COUNTIF($A$2:A501,A501)=1))</f>
        <v/>
      </c>
      <c r="P501" s="4" t="str">
        <f>IF(A501="","",--(COUNTIFS($A$2:A501,A501,$F$2:F501,F501)=1))</f>
        <v/>
      </c>
    </row>
    <row r="502" spans="1:16">
      <c r="A502" s="5"/>
      <c r="D502" t="s">
        <v>54</v>
      </c>
      <c r="F502" t="s">
        <v>25</v>
      </c>
      <c r="O502" s="4" t="str">
        <f>IF(A502="","",--(COUNTIF($A$2:A502,A502)=1))</f>
        <v/>
      </c>
      <c r="P502" s="4" t="str">
        <f>IF(A502="","",--(COUNTIFS($A$2:A502,A502,$F$2:F502,F502)=1))</f>
        <v/>
      </c>
    </row>
    <row r="503" spans="1:16">
      <c r="A503" s="5"/>
      <c r="D503" t="s">
        <v>54</v>
      </c>
      <c r="F503" t="s">
        <v>25</v>
      </c>
      <c r="O503" s="4" t="str">
        <f>IF(A503="","",--(COUNTIF($A$2:A503,A503)=1))</f>
        <v/>
      </c>
      <c r="P503" s="4" t="str">
        <f>IF(A503="","",--(COUNTIFS($A$2:A503,A503,$F$2:F503,F503)=1))</f>
        <v/>
      </c>
    </row>
    <row r="504" spans="1:16">
      <c r="A504" s="5"/>
      <c r="D504" t="s">
        <v>54</v>
      </c>
      <c r="F504" t="s">
        <v>25</v>
      </c>
      <c r="O504" s="4" t="str">
        <f>IF(A504="","",--(COUNTIF($A$2:A504,A504)=1))</f>
        <v/>
      </c>
      <c r="P504" s="4" t="str">
        <f>IF(A504="","",--(COUNTIFS($A$2:A504,A504,$F$2:F504,F504)=1))</f>
        <v/>
      </c>
    </row>
    <row r="505" spans="1:16">
      <c r="A505" s="5"/>
      <c r="D505" t="s">
        <v>54</v>
      </c>
      <c r="F505" t="s">
        <v>25</v>
      </c>
      <c r="O505" s="4" t="str">
        <f>IF(A505="","",--(COUNTIF($A$2:A505,A505)=1))</f>
        <v/>
      </c>
      <c r="P505" s="4" t="str">
        <f>IF(A505="","",--(COUNTIFS($A$2:A505,A505,$F$2:F505,F505)=1))</f>
        <v/>
      </c>
    </row>
    <row r="506" spans="1:16">
      <c r="A506" s="5"/>
      <c r="D506" t="s">
        <v>54</v>
      </c>
      <c r="F506" t="s">
        <v>25</v>
      </c>
      <c r="O506" s="4" t="str">
        <f>IF(A506="","",--(COUNTIF($A$2:A506,A506)=1))</f>
        <v/>
      </c>
      <c r="P506" s="4" t="str">
        <f>IF(A506="","",--(COUNTIFS($A$2:A506,A506,$F$2:F506,F506)=1))</f>
        <v/>
      </c>
    </row>
    <row r="507" spans="1:16">
      <c r="A507" s="5"/>
      <c r="D507" t="s">
        <v>54</v>
      </c>
      <c r="F507" t="s">
        <v>25</v>
      </c>
      <c r="O507" s="4" t="str">
        <f>IF(A507="","",--(COUNTIF($A$2:A507,A507)=1))</f>
        <v/>
      </c>
      <c r="P507" s="4" t="str">
        <f>IF(A507="","",--(COUNTIFS($A$2:A507,A507,$F$2:F507,F507)=1))</f>
        <v/>
      </c>
    </row>
    <row r="508" spans="1:16">
      <c r="A508" s="5"/>
      <c r="D508" t="s">
        <v>54</v>
      </c>
      <c r="F508" t="s">
        <v>25</v>
      </c>
      <c r="O508" s="4" t="str">
        <f>IF(A508="","",--(COUNTIF($A$2:A508,A508)=1))</f>
        <v/>
      </c>
      <c r="P508" s="4" t="str">
        <f>IF(A508="","",--(COUNTIFS($A$2:A508,A508,$F$2:F508,F508)=1))</f>
        <v/>
      </c>
    </row>
    <row r="509" spans="1:16">
      <c r="A509" s="5"/>
      <c r="D509" t="s">
        <v>54</v>
      </c>
      <c r="F509" t="s">
        <v>25</v>
      </c>
      <c r="O509" s="4" t="str">
        <f>IF(A509="","",--(COUNTIF($A$2:A509,A509)=1))</f>
        <v/>
      </c>
      <c r="P509" s="4" t="str">
        <f>IF(A509="","",--(COUNTIFS($A$2:A509,A509,$F$2:F509,F509)=1))</f>
        <v/>
      </c>
    </row>
    <row r="510" spans="1:16">
      <c r="A510" s="5"/>
      <c r="D510" t="s">
        <v>54</v>
      </c>
      <c r="F510" t="s">
        <v>25</v>
      </c>
      <c r="O510" s="4" t="str">
        <f>IF(A510="","",--(COUNTIF($A$2:A510,A510)=1))</f>
        <v/>
      </c>
      <c r="P510" s="4" t="str">
        <f>IF(A510="","",--(COUNTIFS($A$2:A510,A510,$F$2:F510,F510)=1))</f>
        <v/>
      </c>
    </row>
    <row r="511" spans="1:16">
      <c r="A511" s="5"/>
      <c r="D511" t="s">
        <v>54</v>
      </c>
      <c r="F511" t="s">
        <v>25</v>
      </c>
      <c r="O511" s="4" t="str">
        <f>IF(A511="","",--(COUNTIF($A$2:A511,A511)=1))</f>
        <v/>
      </c>
      <c r="P511" s="4" t="str">
        <f>IF(A511="","",--(COUNTIFS($A$2:A511,A511,$F$2:F511,F511)=1))</f>
        <v/>
      </c>
    </row>
    <row r="512" spans="1:16">
      <c r="A512" s="5"/>
      <c r="D512" t="s">
        <v>54</v>
      </c>
      <c r="F512" t="s">
        <v>25</v>
      </c>
      <c r="O512" s="4" t="str">
        <f>IF(A512="","",--(COUNTIF($A$2:A512,A512)=1))</f>
        <v/>
      </c>
      <c r="P512" s="4" t="str">
        <f>IF(A512="","",--(COUNTIFS($A$2:A512,A512,$F$2:F512,F512)=1))</f>
        <v/>
      </c>
    </row>
    <row r="513" spans="1:16">
      <c r="A513" s="5"/>
      <c r="D513" t="s">
        <v>54</v>
      </c>
      <c r="F513" t="s">
        <v>25</v>
      </c>
      <c r="O513" s="4" t="str">
        <f>IF(A513="","",--(COUNTIF($A$2:A513,A513)=1))</f>
        <v/>
      </c>
      <c r="P513" s="4" t="str">
        <f>IF(A513="","",--(COUNTIFS($A$2:A513,A513,$F$2:F513,F513)=1))</f>
        <v/>
      </c>
    </row>
    <row r="514" spans="1:16">
      <c r="A514" s="5"/>
      <c r="D514" t="s">
        <v>54</v>
      </c>
      <c r="F514" t="s">
        <v>25</v>
      </c>
      <c r="O514" s="4" t="str">
        <f>IF(A514="","",--(COUNTIF($A$2:A514,A514)=1))</f>
        <v/>
      </c>
      <c r="P514" s="4" t="str">
        <f>IF(A514="","",--(COUNTIFS($A$2:A514,A514,$F$2:F514,F514)=1))</f>
        <v/>
      </c>
    </row>
    <row r="515" spans="1:16">
      <c r="A515" s="5"/>
      <c r="D515" t="s">
        <v>54</v>
      </c>
      <c r="F515" t="s">
        <v>25</v>
      </c>
      <c r="O515" s="4" t="str">
        <f>IF(A515="","",--(COUNTIF($A$2:A515,A515)=1))</f>
        <v/>
      </c>
      <c r="P515" s="4" t="str">
        <f>IF(A515="","",--(COUNTIFS($A$2:A515,A515,$F$2:F515,F515)=1))</f>
        <v/>
      </c>
    </row>
    <row r="516" spans="1:16">
      <c r="A516" s="5"/>
      <c r="D516" t="s">
        <v>54</v>
      </c>
      <c r="F516" t="s">
        <v>25</v>
      </c>
      <c r="O516" s="4" t="str">
        <f>IF(A516="","",--(COUNTIF($A$2:A516,A516)=1))</f>
        <v/>
      </c>
      <c r="P516" s="4" t="str">
        <f>IF(A516="","",--(COUNTIFS($A$2:A516,A516,$F$2:F516,F516)=1))</f>
        <v/>
      </c>
    </row>
    <row r="517" spans="1:16">
      <c r="A517" s="5"/>
      <c r="D517" t="s">
        <v>54</v>
      </c>
      <c r="F517" t="s">
        <v>25</v>
      </c>
      <c r="O517" s="4" t="str">
        <f>IF(A517="","",--(COUNTIF($A$2:A517,A517)=1))</f>
        <v/>
      </c>
      <c r="P517" s="4" t="str">
        <f>IF(A517="","",--(COUNTIFS($A$2:A517,A517,$F$2:F517,F517)=1))</f>
        <v/>
      </c>
    </row>
    <row r="518" spans="1:16">
      <c r="A518" s="5"/>
      <c r="D518" t="s">
        <v>54</v>
      </c>
      <c r="F518" t="s">
        <v>25</v>
      </c>
      <c r="O518" s="4" t="str">
        <f>IF(A518="","",--(COUNTIF($A$2:A518,A518)=1))</f>
        <v/>
      </c>
      <c r="P518" s="4" t="str">
        <f>IF(A518="","",--(COUNTIFS($A$2:A518,A518,$F$2:F518,F518)=1))</f>
        <v/>
      </c>
    </row>
    <row r="519" spans="1:16">
      <c r="A519" s="5"/>
      <c r="D519" t="s">
        <v>54</v>
      </c>
      <c r="F519" t="s">
        <v>25</v>
      </c>
      <c r="O519" s="4" t="str">
        <f>IF(A519="","",--(COUNTIF($A$2:A519,A519)=1))</f>
        <v/>
      </c>
      <c r="P519" s="4" t="str">
        <f>IF(A519="","",--(COUNTIFS($A$2:A519,A519,$F$2:F519,F519)=1))</f>
        <v/>
      </c>
    </row>
    <row r="520" spans="1:16">
      <c r="A520" s="5"/>
      <c r="D520" t="s">
        <v>54</v>
      </c>
      <c r="F520" t="s">
        <v>25</v>
      </c>
      <c r="O520" s="4" t="str">
        <f>IF(A520="","",--(COUNTIF($A$2:A520,A520)=1))</f>
        <v/>
      </c>
      <c r="P520" s="4" t="str">
        <f>IF(A520="","",--(COUNTIFS($A$2:A520,A520,$F$2:F520,F520)=1))</f>
        <v/>
      </c>
    </row>
    <row r="521" spans="1:16">
      <c r="A521" s="5"/>
      <c r="D521" t="s">
        <v>54</v>
      </c>
      <c r="F521" t="s">
        <v>25</v>
      </c>
      <c r="O521" s="4" t="str">
        <f>IF(A521="","",--(COUNTIF($A$2:A521,A521)=1))</f>
        <v/>
      </c>
      <c r="P521" s="4" t="str">
        <f>IF(A521="","",--(COUNTIFS($A$2:A521,A521,$F$2:F521,F521)=1))</f>
        <v/>
      </c>
    </row>
    <row r="522" spans="1:16">
      <c r="A522" s="5"/>
      <c r="D522" t="s">
        <v>54</v>
      </c>
      <c r="F522" t="s">
        <v>25</v>
      </c>
      <c r="O522" s="4" t="str">
        <f>IF(A522="","",--(COUNTIF($A$2:A522,A522)=1))</f>
        <v/>
      </c>
      <c r="P522" s="4" t="str">
        <f>IF(A522="","",--(COUNTIFS($A$2:A522,A522,$F$2:F522,F522)=1))</f>
        <v/>
      </c>
    </row>
    <row r="523" spans="1:16">
      <c r="A523" s="5"/>
      <c r="D523" t="s">
        <v>54</v>
      </c>
      <c r="F523" t="s">
        <v>25</v>
      </c>
      <c r="O523" s="4" t="str">
        <f>IF(A523="","",--(COUNTIF($A$2:A523,A523)=1))</f>
        <v/>
      </c>
      <c r="P523" s="4" t="str">
        <f>IF(A523="","",--(COUNTIFS($A$2:A523,A523,$F$2:F523,F523)=1))</f>
        <v/>
      </c>
    </row>
    <row r="524" spans="1:16">
      <c r="A524" s="5"/>
      <c r="D524" t="s">
        <v>54</v>
      </c>
      <c r="F524" t="s">
        <v>25</v>
      </c>
      <c r="O524" s="4" t="str">
        <f>IF(A524="","",--(COUNTIF($A$2:A524,A524)=1))</f>
        <v/>
      </c>
      <c r="P524" s="4" t="str">
        <f>IF(A524="","",--(COUNTIFS($A$2:A524,A524,$F$2:F524,F524)=1))</f>
        <v/>
      </c>
    </row>
    <row r="525" spans="1:16">
      <c r="A525" s="5"/>
      <c r="D525" t="s">
        <v>54</v>
      </c>
      <c r="F525" t="s">
        <v>25</v>
      </c>
      <c r="O525" s="4" t="str">
        <f>IF(A525="","",--(COUNTIF($A$2:A525,A525)=1))</f>
        <v/>
      </c>
      <c r="P525" s="4" t="str">
        <f>IF(A525="","",--(COUNTIFS($A$2:A525,A525,$F$2:F525,F525)=1))</f>
        <v/>
      </c>
    </row>
    <row r="526" spans="1:16">
      <c r="A526" s="5"/>
      <c r="D526" t="s">
        <v>54</v>
      </c>
      <c r="F526" t="s">
        <v>25</v>
      </c>
      <c r="O526" s="4" t="str">
        <f>IF(A526="","",--(COUNTIF($A$2:A526,A526)=1))</f>
        <v/>
      </c>
      <c r="P526" s="4" t="str">
        <f>IF(A526="","",--(COUNTIFS($A$2:A526,A526,$F$2:F526,F526)=1))</f>
        <v/>
      </c>
    </row>
    <row r="527" spans="1:16">
      <c r="A527" s="5"/>
      <c r="D527" t="s">
        <v>54</v>
      </c>
      <c r="F527" t="s">
        <v>25</v>
      </c>
      <c r="O527" s="4" t="str">
        <f>IF(A527="","",--(COUNTIF($A$2:A527,A527)=1))</f>
        <v/>
      </c>
      <c r="P527" s="4" t="str">
        <f>IF(A527="","",--(COUNTIFS($A$2:A527,A527,$F$2:F527,F527)=1))</f>
        <v/>
      </c>
    </row>
    <row r="528" spans="1:16">
      <c r="A528" s="5"/>
      <c r="D528" t="s">
        <v>54</v>
      </c>
      <c r="F528" t="s">
        <v>25</v>
      </c>
      <c r="O528" s="4" t="str">
        <f>IF(A528="","",--(COUNTIF($A$2:A528,A528)=1))</f>
        <v/>
      </c>
      <c r="P528" s="4" t="str">
        <f>IF(A528="","",--(COUNTIFS($A$2:A528,A528,$F$2:F528,F528)=1))</f>
        <v/>
      </c>
    </row>
    <row r="529" spans="1:16">
      <c r="A529" s="5"/>
      <c r="D529" t="s">
        <v>54</v>
      </c>
      <c r="F529" t="s">
        <v>25</v>
      </c>
      <c r="O529" s="4" t="str">
        <f>IF(A529="","",--(COUNTIF($A$2:A529,A529)=1))</f>
        <v/>
      </c>
      <c r="P529" s="4" t="str">
        <f>IF(A529="","",--(COUNTIFS($A$2:A529,A529,$F$2:F529,F529)=1))</f>
        <v/>
      </c>
    </row>
    <row r="530" spans="1:16">
      <c r="A530" s="5"/>
      <c r="D530" t="s">
        <v>54</v>
      </c>
      <c r="F530" t="s">
        <v>25</v>
      </c>
      <c r="O530" s="4" t="str">
        <f>IF(A530="","",--(COUNTIF($A$2:A530,A530)=1))</f>
        <v/>
      </c>
      <c r="P530" s="4" t="str">
        <f>IF(A530="","",--(COUNTIFS($A$2:A530,A530,$F$2:F530,F530)=1))</f>
        <v/>
      </c>
    </row>
    <row r="531" spans="1:16">
      <c r="A531" s="5"/>
      <c r="D531" t="s">
        <v>54</v>
      </c>
      <c r="F531" t="s">
        <v>25</v>
      </c>
      <c r="O531" s="4" t="str">
        <f>IF(A531="","",--(COUNTIF($A$2:A531,A531)=1))</f>
        <v/>
      </c>
      <c r="P531" s="4" t="str">
        <f>IF(A531="","",--(COUNTIFS($A$2:A531,A531,$F$2:F531,F531)=1))</f>
        <v/>
      </c>
    </row>
    <row r="532" spans="1:16">
      <c r="A532" s="5"/>
      <c r="D532" t="s">
        <v>54</v>
      </c>
      <c r="F532" t="s">
        <v>25</v>
      </c>
      <c r="O532" s="4" t="str">
        <f>IF(A532="","",--(COUNTIF($A$2:A532,A532)=1))</f>
        <v/>
      </c>
      <c r="P532" s="4" t="str">
        <f>IF(A532="","",--(COUNTIFS($A$2:A532,A532,$F$2:F532,F532)=1))</f>
        <v/>
      </c>
    </row>
    <row r="533" spans="1:16">
      <c r="A533" s="5"/>
      <c r="D533" t="s">
        <v>54</v>
      </c>
      <c r="F533" t="s">
        <v>25</v>
      </c>
      <c r="O533" s="4" t="str">
        <f>IF(A533="","",--(COUNTIF($A$2:A533,A533)=1))</f>
        <v/>
      </c>
      <c r="P533" s="4" t="str">
        <f>IF(A533="","",--(COUNTIFS($A$2:A533,A533,$F$2:F533,F533)=1))</f>
        <v/>
      </c>
    </row>
    <row r="534" spans="1:16">
      <c r="A534" s="5"/>
      <c r="D534" t="s">
        <v>54</v>
      </c>
      <c r="F534" t="s">
        <v>25</v>
      </c>
      <c r="O534" s="4" t="str">
        <f>IF(A534="","",--(COUNTIF($A$2:A534,A534)=1))</f>
        <v/>
      </c>
      <c r="P534" s="4" t="str">
        <f>IF(A534="","",--(COUNTIFS($A$2:A534,A534,$F$2:F534,F534)=1))</f>
        <v/>
      </c>
    </row>
    <row r="535" spans="1:16">
      <c r="A535" s="5"/>
      <c r="D535" t="s">
        <v>54</v>
      </c>
      <c r="F535" t="s">
        <v>25</v>
      </c>
      <c r="O535" s="4" t="str">
        <f>IF(A535="","",--(COUNTIF($A$2:A535,A535)=1))</f>
        <v/>
      </c>
      <c r="P535" s="4" t="str">
        <f>IF(A535="","",--(COUNTIFS($A$2:A535,A535,$F$2:F535,F535)=1))</f>
        <v/>
      </c>
    </row>
    <row r="536" spans="1:16">
      <c r="A536" s="5"/>
      <c r="D536" t="s">
        <v>54</v>
      </c>
      <c r="F536" t="s">
        <v>25</v>
      </c>
      <c r="O536" s="4" t="str">
        <f>IF(A536="","",--(COUNTIF($A$2:A536,A536)=1))</f>
        <v/>
      </c>
      <c r="P536" s="4" t="str">
        <f>IF(A536="","",--(COUNTIFS($A$2:A536,A536,$F$2:F536,F536)=1))</f>
        <v/>
      </c>
    </row>
    <row r="537" spans="1:16">
      <c r="A537" s="5"/>
      <c r="D537" t="s">
        <v>54</v>
      </c>
      <c r="F537" t="s">
        <v>25</v>
      </c>
      <c r="O537" s="4" t="str">
        <f>IF(A537="","",--(COUNTIF($A$2:A537,A537)=1))</f>
        <v/>
      </c>
      <c r="P537" s="4" t="str">
        <f>IF(A537="","",--(COUNTIFS($A$2:A537,A537,$F$2:F537,F537)=1))</f>
        <v/>
      </c>
    </row>
    <row r="538" spans="1:16">
      <c r="A538" s="5"/>
      <c r="D538" t="s">
        <v>54</v>
      </c>
      <c r="F538" t="s">
        <v>25</v>
      </c>
      <c r="O538" s="4" t="str">
        <f>IF(A538="","",--(COUNTIF($A$2:A538,A538)=1))</f>
        <v/>
      </c>
      <c r="P538" s="4" t="str">
        <f>IF(A538="","",--(COUNTIFS($A$2:A538,A538,$F$2:F538,F538)=1))</f>
        <v/>
      </c>
    </row>
    <row r="539" spans="1:16">
      <c r="A539" s="5"/>
      <c r="D539" t="s">
        <v>54</v>
      </c>
      <c r="F539" t="s">
        <v>25</v>
      </c>
      <c r="O539" s="4" t="str">
        <f>IF(A539="","",--(COUNTIF($A$2:A539,A539)=1))</f>
        <v/>
      </c>
      <c r="P539" s="4" t="str">
        <f>IF(A539="","",--(COUNTIFS($A$2:A539,A539,$F$2:F539,F539)=1))</f>
        <v/>
      </c>
    </row>
    <row r="540" spans="1:16">
      <c r="A540" s="5"/>
      <c r="D540" t="s">
        <v>54</v>
      </c>
      <c r="F540" t="s">
        <v>25</v>
      </c>
      <c r="O540" s="4" t="str">
        <f>IF(A540="","",--(COUNTIF($A$2:A540,A540)=1))</f>
        <v/>
      </c>
      <c r="P540" s="4" t="str">
        <f>IF(A540="","",--(COUNTIFS($A$2:A540,A540,$F$2:F540,F540)=1))</f>
        <v/>
      </c>
    </row>
    <row r="541" spans="1:16">
      <c r="A541" s="5"/>
      <c r="D541" t="s">
        <v>54</v>
      </c>
      <c r="F541" t="s">
        <v>25</v>
      </c>
      <c r="O541" s="4" t="str">
        <f>IF(A541="","",--(COUNTIF($A$2:A541,A541)=1))</f>
        <v/>
      </c>
      <c r="P541" s="4" t="str">
        <f>IF(A541="","",--(COUNTIFS($A$2:A541,A541,$F$2:F541,F541)=1))</f>
        <v/>
      </c>
    </row>
    <row r="542" spans="1:16">
      <c r="A542" s="5"/>
      <c r="D542" t="s">
        <v>54</v>
      </c>
      <c r="F542" t="s">
        <v>25</v>
      </c>
      <c r="O542" s="4" t="str">
        <f>IF(A542="","",--(COUNTIF($A$2:A542,A542)=1))</f>
        <v/>
      </c>
      <c r="P542" s="4" t="str">
        <f>IF(A542="","",--(COUNTIFS($A$2:A542,A542,$F$2:F542,F542)=1))</f>
        <v/>
      </c>
    </row>
    <row r="543" spans="1:16">
      <c r="A543" s="5"/>
      <c r="D543" t="s">
        <v>54</v>
      </c>
      <c r="F543" t="s">
        <v>25</v>
      </c>
      <c r="O543" s="4" t="str">
        <f>IF(A543="","",--(COUNTIF($A$2:A543,A543)=1))</f>
        <v/>
      </c>
      <c r="P543" s="4" t="str">
        <f>IF(A543="","",--(COUNTIFS($A$2:A543,A543,$F$2:F543,F543)=1))</f>
        <v/>
      </c>
    </row>
    <row r="544" spans="1:16">
      <c r="A544" s="5"/>
      <c r="D544" t="s">
        <v>54</v>
      </c>
      <c r="F544" t="s">
        <v>25</v>
      </c>
      <c r="O544" s="4" t="str">
        <f>IF(A544="","",--(COUNTIF($A$2:A544,A544)=1))</f>
        <v/>
      </c>
      <c r="P544" s="4" t="str">
        <f>IF(A544="","",--(COUNTIFS($A$2:A544,A544,$F$2:F544,F544)=1))</f>
        <v/>
      </c>
    </row>
    <row r="545" spans="1:16">
      <c r="A545" s="5"/>
      <c r="D545" t="s">
        <v>54</v>
      </c>
      <c r="F545" t="s">
        <v>25</v>
      </c>
      <c r="O545" s="4" t="str">
        <f>IF(A545="","",--(COUNTIF($A$2:A545,A545)=1))</f>
        <v/>
      </c>
      <c r="P545" s="4" t="str">
        <f>IF(A545="","",--(COUNTIFS($A$2:A545,A545,$F$2:F545,F545)=1))</f>
        <v/>
      </c>
    </row>
    <row r="546" spans="1:16">
      <c r="A546" s="5"/>
      <c r="D546" t="s">
        <v>54</v>
      </c>
      <c r="F546" t="s">
        <v>25</v>
      </c>
      <c r="O546" s="4" t="str">
        <f>IF(A546="","",--(COUNTIF($A$2:A546,A546)=1))</f>
        <v/>
      </c>
      <c r="P546" s="4" t="str">
        <f>IF(A546="","",--(COUNTIFS($A$2:A546,A546,$F$2:F546,F546)=1))</f>
        <v/>
      </c>
    </row>
    <row r="547" spans="1:16">
      <c r="A547" s="5"/>
      <c r="D547" t="s">
        <v>54</v>
      </c>
      <c r="F547" t="s">
        <v>25</v>
      </c>
      <c r="O547" s="4" t="str">
        <f>IF(A547="","",--(COUNTIF($A$2:A547,A547)=1))</f>
        <v/>
      </c>
      <c r="P547" s="4" t="str">
        <f>IF(A547="","",--(COUNTIFS($A$2:A547,A547,$F$2:F547,F547)=1))</f>
        <v/>
      </c>
    </row>
    <row r="548" spans="1:16">
      <c r="A548" s="5"/>
      <c r="D548" t="s">
        <v>54</v>
      </c>
      <c r="F548" t="s">
        <v>25</v>
      </c>
      <c r="O548" s="4" t="str">
        <f>IF(A548="","",--(COUNTIF($A$2:A548,A548)=1))</f>
        <v/>
      </c>
      <c r="P548" s="4" t="str">
        <f>IF(A548="","",--(COUNTIFS($A$2:A548,A548,$F$2:F548,F548)=1))</f>
        <v/>
      </c>
    </row>
    <row r="549" spans="1:16">
      <c r="A549" s="5"/>
      <c r="D549" t="s">
        <v>54</v>
      </c>
      <c r="F549" t="s">
        <v>25</v>
      </c>
      <c r="O549" s="4" t="str">
        <f>IF(A549="","",--(COUNTIF($A$2:A549,A549)=1))</f>
        <v/>
      </c>
      <c r="P549" s="4" t="str">
        <f>IF(A549="","",--(COUNTIFS($A$2:A549,A549,$F$2:F549,F549)=1))</f>
        <v/>
      </c>
    </row>
    <row r="550" spans="1:16">
      <c r="A550" s="5"/>
      <c r="D550" t="s">
        <v>54</v>
      </c>
      <c r="F550" t="s">
        <v>25</v>
      </c>
      <c r="O550" s="4" t="str">
        <f>IF(A550="","",--(COUNTIF($A$2:A550,A550)=1))</f>
        <v/>
      </c>
      <c r="P550" s="4" t="str">
        <f>IF(A550="","",--(COUNTIFS($A$2:A550,A550,$F$2:F550,F550)=1))</f>
        <v/>
      </c>
    </row>
    <row r="551" spans="1:16">
      <c r="A551" s="5"/>
      <c r="D551" t="s">
        <v>54</v>
      </c>
      <c r="F551" t="s">
        <v>25</v>
      </c>
      <c r="O551" s="4" t="str">
        <f>IF(A551="","",--(COUNTIF($A$2:A551,A551)=1))</f>
        <v/>
      </c>
      <c r="P551" s="4" t="str">
        <f>IF(A551="","",--(COUNTIFS($A$2:A551,A551,$F$2:F551,F551)=1))</f>
        <v/>
      </c>
    </row>
    <row r="552" spans="1:16">
      <c r="A552" s="5"/>
      <c r="D552" t="s">
        <v>54</v>
      </c>
      <c r="F552" t="s">
        <v>25</v>
      </c>
      <c r="O552" s="4" t="str">
        <f>IF(A552="","",--(COUNTIF($A$2:A552,A552)=1))</f>
        <v/>
      </c>
      <c r="P552" s="4" t="str">
        <f>IF(A552="","",--(COUNTIFS($A$2:A552,A552,$F$2:F552,F552)=1))</f>
        <v/>
      </c>
    </row>
    <row r="553" spans="1:16">
      <c r="A553" s="5"/>
      <c r="D553" t="s">
        <v>54</v>
      </c>
      <c r="F553" t="s">
        <v>25</v>
      </c>
      <c r="O553" s="4" t="str">
        <f>IF(A553="","",--(COUNTIF($A$2:A553,A553)=1))</f>
        <v/>
      </c>
      <c r="P553" s="4" t="str">
        <f>IF(A553="","",--(COUNTIFS($A$2:A553,A553,$F$2:F553,F553)=1))</f>
        <v/>
      </c>
    </row>
    <row r="554" spans="1:16">
      <c r="A554" s="5"/>
      <c r="D554" t="s">
        <v>54</v>
      </c>
      <c r="F554" t="s">
        <v>25</v>
      </c>
      <c r="O554" s="4" t="str">
        <f>IF(A554="","",--(COUNTIF($A$2:A554,A554)=1))</f>
        <v/>
      </c>
      <c r="P554" s="4" t="str">
        <f>IF(A554="","",--(COUNTIFS($A$2:A554,A554,$F$2:F554,F554)=1))</f>
        <v/>
      </c>
    </row>
    <row r="555" spans="1:16">
      <c r="A555" s="5"/>
      <c r="D555" t="s">
        <v>54</v>
      </c>
      <c r="F555" t="s">
        <v>25</v>
      </c>
      <c r="O555" s="4" t="str">
        <f>IF(A555="","",--(COUNTIF($A$2:A555,A555)=1))</f>
        <v/>
      </c>
      <c r="P555" s="4" t="str">
        <f>IF(A555="","",--(COUNTIFS($A$2:A555,A555,$F$2:F555,F555)=1))</f>
        <v/>
      </c>
    </row>
    <row r="556" spans="1:16">
      <c r="A556" s="5"/>
      <c r="D556" t="s">
        <v>54</v>
      </c>
      <c r="F556" t="s">
        <v>25</v>
      </c>
      <c r="O556" s="4" t="str">
        <f>IF(A556="","",--(COUNTIF($A$2:A556,A556)=1))</f>
        <v/>
      </c>
      <c r="P556" s="4" t="str">
        <f>IF(A556="","",--(COUNTIFS($A$2:A556,A556,$F$2:F556,F556)=1))</f>
        <v/>
      </c>
    </row>
    <row r="557" spans="1:16">
      <c r="A557" s="5"/>
      <c r="D557" t="s">
        <v>54</v>
      </c>
      <c r="F557" t="s">
        <v>25</v>
      </c>
      <c r="O557" s="4" t="str">
        <f>IF(A557="","",--(COUNTIF($A$2:A557,A557)=1))</f>
        <v/>
      </c>
      <c r="P557" s="4" t="str">
        <f>IF(A557="","",--(COUNTIFS($A$2:A557,A557,$F$2:F557,F557)=1))</f>
        <v/>
      </c>
    </row>
    <row r="558" spans="1:16">
      <c r="A558" s="5"/>
      <c r="D558" t="s">
        <v>54</v>
      </c>
      <c r="F558" t="s">
        <v>25</v>
      </c>
      <c r="O558" s="4" t="str">
        <f>IF(A558="","",--(COUNTIF($A$2:A558,A558)=1))</f>
        <v/>
      </c>
      <c r="P558" s="4" t="str">
        <f>IF(A558="","",--(COUNTIFS($A$2:A558,A558,$F$2:F558,F558)=1))</f>
        <v/>
      </c>
    </row>
    <row r="559" spans="1:16">
      <c r="A559" s="5"/>
      <c r="D559" t="s">
        <v>54</v>
      </c>
      <c r="F559" t="s">
        <v>25</v>
      </c>
      <c r="O559" s="4" t="str">
        <f>IF(A559="","",--(COUNTIF($A$2:A559,A559)=1))</f>
        <v/>
      </c>
      <c r="P559" s="4" t="str">
        <f>IF(A559="","",--(COUNTIFS($A$2:A559,A559,$F$2:F559,F559)=1))</f>
        <v/>
      </c>
    </row>
    <row r="560" spans="1:16">
      <c r="A560" s="5"/>
      <c r="D560" t="s">
        <v>54</v>
      </c>
      <c r="F560" t="s">
        <v>25</v>
      </c>
      <c r="O560" s="4" t="str">
        <f>IF(A560="","",--(COUNTIF($A$2:A560,A560)=1))</f>
        <v/>
      </c>
      <c r="P560" s="4" t="str">
        <f>IF(A560="","",--(COUNTIFS($A$2:A560,A560,$F$2:F560,F560)=1))</f>
        <v/>
      </c>
    </row>
    <row r="561" spans="1:16">
      <c r="A561" s="5"/>
      <c r="D561" t="s">
        <v>54</v>
      </c>
      <c r="F561" t="s">
        <v>25</v>
      </c>
      <c r="O561" s="4" t="str">
        <f>IF(A561="","",--(COUNTIF($A$2:A561,A561)=1))</f>
        <v/>
      </c>
      <c r="P561" s="4" t="str">
        <f>IF(A561="","",--(COUNTIFS($A$2:A561,A561,$F$2:F561,F561)=1))</f>
        <v/>
      </c>
    </row>
    <row r="562" spans="1:16">
      <c r="A562" s="5"/>
      <c r="D562" t="s">
        <v>54</v>
      </c>
      <c r="F562" t="s">
        <v>25</v>
      </c>
      <c r="O562" s="4" t="str">
        <f>IF(A562="","",--(COUNTIF($A$2:A562,A562)=1))</f>
        <v/>
      </c>
      <c r="P562" s="4" t="str">
        <f>IF(A562="","",--(COUNTIFS($A$2:A562,A562,$F$2:F562,F562)=1))</f>
        <v/>
      </c>
    </row>
    <row r="563" spans="1:16">
      <c r="A563" s="5"/>
      <c r="D563" t="s">
        <v>54</v>
      </c>
      <c r="F563" t="s">
        <v>25</v>
      </c>
      <c r="O563" s="4" t="str">
        <f>IF(A563="","",--(COUNTIF($A$2:A563,A563)=1))</f>
        <v/>
      </c>
      <c r="P563" s="4" t="str">
        <f>IF(A563="","",--(COUNTIFS($A$2:A563,A563,$F$2:F563,F563)=1))</f>
        <v/>
      </c>
    </row>
    <row r="564" spans="1:16">
      <c r="A564" s="5"/>
      <c r="D564" t="s">
        <v>54</v>
      </c>
      <c r="F564" t="s">
        <v>25</v>
      </c>
      <c r="O564" s="4" t="str">
        <f>IF(A564="","",--(COUNTIF($A$2:A564,A564)=1))</f>
        <v/>
      </c>
      <c r="P564" s="4" t="str">
        <f>IF(A564="","",--(COUNTIFS($A$2:A564,A564,$F$2:F564,F564)=1))</f>
        <v/>
      </c>
    </row>
    <row r="565" spans="1:16">
      <c r="A565" s="5"/>
      <c r="D565" t="s">
        <v>54</v>
      </c>
      <c r="F565" t="s">
        <v>25</v>
      </c>
      <c r="O565" s="4" t="str">
        <f>IF(A565="","",--(COUNTIF($A$2:A565,A565)=1))</f>
        <v/>
      </c>
      <c r="P565" s="4" t="str">
        <f>IF(A565="","",--(COUNTIFS($A$2:A565,A565,$F$2:F565,F565)=1))</f>
        <v/>
      </c>
    </row>
    <row r="566" spans="1:16">
      <c r="A566" s="5"/>
      <c r="D566" t="s">
        <v>54</v>
      </c>
      <c r="F566" t="s">
        <v>25</v>
      </c>
      <c r="O566" s="4" t="str">
        <f>IF(A566="","",--(COUNTIF($A$2:A566,A566)=1))</f>
        <v/>
      </c>
      <c r="P566" s="4" t="str">
        <f>IF(A566="","",--(COUNTIFS($A$2:A566,A566,$F$2:F566,F566)=1))</f>
        <v/>
      </c>
    </row>
    <row r="567" spans="1:16">
      <c r="A567" s="5"/>
      <c r="D567" t="s">
        <v>54</v>
      </c>
      <c r="F567" t="s">
        <v>25</v>
      </c>
      <c r="O567" s="4" t="str">
        <f>IF(A567="","",--(COUNTIF($A$2:A567,A567)=1))</f>
        <v/>
      </c>
      <c r="P567" s="4" t="str">
        <f>IF(A567="","",--(COUNTIFS($A$2:A567,A567,$F$2:F567,F567)=1))</f>
        <v/>
      </c>
    </row>
    <row r="568" spans="1:16">
      <c r="A568" s="5"/>
      <c r="D568" t="s">
        <v>54</v>
      </c>
      <c r="F568" t="s">
        <v>25</v>
      </c>
      <c r="O568" s="4" t="str">
        <f>IF(A568="","",--(COUNTIF($A$2:A568,A568)=1))</f>
        <v/>
      </c>
      <c r="P568" s="4" t="str">
        <f>IF(A568="","",--(COUNTIFS($A$2:A568,A568,$F$2:F568,F568)=1))</f>
        <v/>
      </c>
    </row>
    <row r="569" spans="1:16">
      <c r="A569" s="5"/>
      <c r="D569" t="s">
        <v>54</v>
      </c>
      <c r="F569" t="s">
        <v>25</v>
      </c>
      <c r="O569" s="4" t="str">
        <f>IF(A569="","",--(COUNTIF($A$2:A569,A569)=1))</f>
        <v/>
      </c>
      <c r="P569" s="4" t="str">
        <f>IF(A569="","",--(COUNTIFS($A$2:A569,A569,$F$2:F569,F569)=1))</f>
        <v/>
      </c>
    </row>
    <row r="570" spans="1:16">
      <c r="A570" s="5"/>
      <c r="D570" t="s">
        <v>54</v>
      </c>
      <c r="F570" t="s">
        <v>25</v>
      </c>
      <c r="O570" s="4" t="str">
        <f>IF(A570="","",--(COUNTIF($A$2:A570,A570)=1))</f>
        <v/>
      </c>
      <c r="P570" s="4" t="str">
        <f>IF(A570="","",--(COUNTIFS($A$2:A570,A570,$F$2:F570,F570)=1))</f>
        <v/>
      </c>
    </row>
    <row r="571" spans="1:16">
      <c r="A571" s="5"/>
      <c r="D571" t="s">
        <v>54</v>
      </c>
      <c r="F571" t="s">
        <v>25</v>
      </c>
      <c r="O571" s="4" t="str">
        <f>IF(A571="","",--(COUNTIF($A$2:A571,A571)=1))</f>
        <v/>
      </c>
      <c r="P571" s="4" t="str">
        <f>IF(A571="","",--(COUNTIFS($A$2:A571,A571,$F$2:F571,F571)=1))</f>
        <v/>
      </c>
    </row>
    <row r="572" spans="1:16">
      <c r="A572" s="5"/>
      <c r="D572" t="s">
        <v>54</v>
      </c>
      <c r="F572" t="s">
        <v>25</v>
      </c>
      <c r="O572" s="4" t="str">
        <f>IF(A572="","",--(COUNTIF($A$2:A572,A572)=1))</f>
        <v/>
      </c>
      <c r="P572" s="4" t="str">
        <f>IF(A572="","",--(COUNTIFS($A$2:A572,A572,$F$2:F572,F572)=1))</f>
        <v/>
      </c>
    </row>
    <row r="573" spans="1:16">
      <c r="A573" s="5"/>
      <c r="D573" t="s">
        <v>54</v>
      </c>
      <c r="F573" t="s">
        <v>25</v>
      </c>
      <c r="O573" s="4" t="str">
        <f>IF(A573="","",--(COUNTIF($A$2:A573,A573)=1))</f>
        <v/>
      </c>
      <c r="P573" s="4" t="str">
        <f>IF(A573="","",--(COUNTIFS($A$2:A573,A573,$F$2:F573,F573)=1))</f>
        <v/>
      </c>
    </row>
    <row r="574" spans="1:16">
      <c r="A574" s="5"/>
      <c r="D574" t="s">
        <v>54</v>
      </c>
      <c r="F574" t="s">
        <v>25</v>
      </c>
      <c r="O574" s="4" t="str">
        <f>IF(A574="","",--(COUNTIF($A$2:A574,A574)=1))</f>
        <v/>
      </c>
      <c r="P574" s="4" t="str">
        <f>IF(A574="","",--(COUNTIFS($A$2:A574,A574,$F$2:F574,F574)=1))</f>
        <v/>
      </c>
    </row>
    <row r="575" spans="1:16">
      <c r="A575" s="5"/>
      <c r="D575" t="s">
        <v>54</v>
      </c>
      <c r="F575" t="s">
        <v>25</v>
      </c>
      <c r="O575" s="4" t="str">
        <f>IF(A575="","",--(COUNTIF($A$2:A575,A575)=1))</f>
        <v/>
      </c>
      <c r="P575" s="4" t="str">
        <f>IF(A575="","",--(COUNTIFS($A$2:A575,A575,$F$2:F575,F575)=1))</f>
        <v/>
      </c>
    </row>
    <row r="576" spans="1:16">
      <c r="A576" s="5"/>
      <c r="D576" t="s">
        <v>54</v>
      </c>
      <c r="F576" t="s">
        <v>25</v>
      </c>
      <c r="O576" s="4" t="str">
        <f>IF(A576="","",--(COUNTIF($A$2:A576,A576)=1))</f>
        <v/>
      </c>
      <c r="P576" s="4" t="str">
        <f>IF(A576="","",--(COUNTIFS($A$2:A576,A576,$F$2:F576,F576)=1))</f>
        <v/>
      </c>
    </row>
    <row r="577" spans="1:16">
      <c r="A577" s="5"/>
      <c r="D577" t="s">
        <v>54</v>
      </c>
      <c r="F577" t="s">
        <v>25</v>
      </c>
      <c r="O577" s="4" t="str">
        <f>IF(A577="","",--(COUNTIF($A$2:A577,A577)=1))</f>
        <v/>
      </c>
      <c r="P577" s="4" t="str">
        <f>IF(A577="","",--(COUNTIFS($A$2:A577,A577,$F$2:F577,F577)=1))</f>
        <v/>
      </c>
    </row>
    <row r="578" spans="1:16">
      <c r="A578" s="5"/>
      <c r="D578" t="s">
        <v>54</v>
      </c>
      <c r="F578" t="s">
        <v>25</v>
      </c>
      <c r="O578" s="4" t="str">
        <f>IF(A578="","",--(COUNTIF($A$2:A578,A578)=1))</f>
        <v/>
      </c>
      <c r="P578" s="4" t="str">
        <f>IF(A578="","",--(COUNTIFS($A$2:A578,A578,$F$2:F578,F578)=1))</f>
        <v/>
      </c>
    </row>
    <row r="579" spans="1:16">
      <c r="A579" s="5"/>
      <c r="D579" t="s">
        <v>54</v>
      </c>
      <c r="F579" t="s">
        <v>25</v>
      </c>
      <c r="O579" s="4" t="str">
        <f>IF(A579="","",--(COUNTIF($A$2:A579,A579)=1))</f>
        <v/>
      </c>
      <c r="P579" s="4" t="str">
        <f>IF(A579="","",--(COUNTIFS($A$2:A579,A579,$F$2:F579,F579)=1))</f>
        <v/>
      </c>
    </row>
    <row r="580" spans="1:16">
      <c r="A580" s="5"/>
      <c r="D580" t="s">
        <v>54</v>
      </c>
      <c r="F580" t="s">
        <v>25</v>
      </c>
      <c r="O580" s="4" t="str">
        <f>IF(A580="","",--(COUNTIF($A$2:A580,A580)=1))</f>
        <v/>
      </c>
      <c r="P580" s="4" t="str">
        <f>IF(A580="","",--(COUNTIFS($A$2:A580,A580,$F$2:F580,F580)=1))</f>
        <v/>
      </c>
    </row>
    <row r="581" spans="1:16">
      <c r="A581" s="5"/>
      <c r="D581" t="s">
        <v>54</v>
      </c>
      <c r="F581" t="s">
        <v>25</v>
      </c>
      <c r="O581" s="4" t="str">
        <f>IF(A581="","",--(COUNTIF($A$2:A581,A581)=1))</f>
        <v/>
      </c>
      <c r="P581" s="4" t="str">
        <f>IF(A581="","",--(COUNTIFS($A$2:A581,A581,$F$2:F581,F581)=1))</f>
        <v/>
      </c>
    </row>
    <row r="582" spans="1:16">
      <c r="A582" s="5"/>
      <c r="D582" t="s">
        <v>54</v>
      </c>
      <c r="F582" t="s">
        <v>25</v>
      </c>
      <c r="O582" s="4" t="str">
        <f>IF(A582="","",--(COUNTIF($A$2:A582,A582)=1))</f>
        <v/>
      </c>
      <c r="P582" s="4" t="str">
        <f>IF(A582="","",--(COUNTIFS($A$2:A582,A582,$F$2:F582,F582)=1))</f>
        <v/>
      </c>
    </row>
    <row r="583" spans="1:16">
      <c r="A583" s="5"/>
      <c r="D583" t="s">
        <v>54</v>
      </c>
      <c r="F583" t="s">
        <v>25</v>
      </c>
      <c r="O583" s="4" t="str">
        <f>IF(A583="","",--(COUNTIF($A$2:A583,A583)=1))</f>
        <v/>
      </c>
      <c r="P583" s="4" t="str">
        <f>IF(A583="","",--(COUNTIFS($A$2:A583,A583,$F$2:F583,F583)=1))</f>
        <v/>
      </c>
    </row>
    <row r="584" spans="1:16">
      <c r="A584" s="5"/>
      <c r="D584" t="s">
        <v>54</v>
      </c>
      <c r="F584" t="s">
        <v>25</v>
      </c>
      <c r="O584" s="4" t="str">
        <f>IF(A584="","",--(COUNTIF($A$2:A584,A584)=1))</f>
        <v/>
      </c>
      <c r="P584" s="4" t="str">
        <f>IF(A584="","",--(COUNTIFS($A$2:A584,A584,$F$2:F584,F584)=1))</f>
        <v/>
      </c>
    </row>
    <row r="585" spans="1:16">
      <c r="A585" s="5"/>
      <c r="D585" t="s">
        <v>54</v>
      </c>
      <c r="F585" t="s">
        <v>25</v>
      </c>
      <c r="O585" s="4" t="str">
        <f>IF(A585="","",--(COUNTIF($A$2:A585,A585)=1))</f>
        <v/>
      </c>
      <c r="P585" s="4" t="str">
        <f>IF(A585="","",--(COUNTIFS($A$2:A585,A585,$F$2:F585,F585)=1))</f>
        <v/>
      </c>
    </row>
    <row r="586" spans="1:16">
      <c r="A586" s="5"/>
      <c r="D586" t="s">
        <v>54</v>
      </c>
      <c r="F586" t="s">
        <v>25</v>
      </c>
      <c r="O586" s="4" t="str">
        <f>IF(A586="","",--(COUNTIF($A$2:A586,A586)=1))</f>
        <v/>
      </c>
      <c r="P586" s="4" t="str">
        <f>IF(A586="","",--(COUNTIFS($A$2:A586,A586,$F$2:F586,F586)=1))</f>
        <v/>
      </c>
    </row>
    <row r="587" spans="1:16">
      <c r="A587" s="5"/>
      <c r="D587" t="s">
        <v>54</v>
      </c>
      <c r="F587" t="s">
        <v>25</v>
      </c>
      <c r="O587" s="4" t="str">
        <f>IF(A587="","",--(COUNTIF($A$2:A587,A587)=1))</f>
        <v/>
      </c>
      <c r="P587" s="4" t="str">
        <f>IF(A587="","",--(COUNTIFS($A$2:A587,A587,$F$2:F587,F587)=1))</f>
        <v/>
      </c>
    </row>
    <row r="588" spans="1:16">
      <c r="A588" s="5"/>
      <c r="D588" t="s">
        <v>54</v>
      </c>
      <c r="F588" t="s">
        <v>25</v>
      </c>
      <c r="O588" s="4" t="str">
        <f>IF(A588="","",--(COUNTIF($A$2:A588,A588)=1))</f>
        <v/>
      </c>
      <c r="P588" s="4" t="str">
        <f>IF(A588="","",--(COUNTIFS($A$2:A588,A588,$F$2:F588,F588)=1))</f>
        <v/>
      </c>
    </row>
    <row r="589" spans="1:16">
      <c r="A589" s="5"/>
      <c r="D589" t="s">
        <v>54</v>
      </c>
      <c r="F589" t="s">
        <v>25</v>
      </c>
      <c r="O589" s="4" t="str">
        <f>IF(A589="","",--(COUNTIF($A$2:A589,A589)=1))</f>
        <v/>
      </c>
      <c r="P589" s="4" t="str">
        <f>IF(A589="","",--(COUNTIFS($A$2:A589,A589,$F$2:F589,F589)=1))</f>
        <v/>
      </c>
    </row>
    <row r="590" spans="1:16">
      <c r="A590" s="5"/>
      <c r="D590" t="s">
        <v>54</v>
      </c>
      <c r="F590" t="s">
        <v>25</v>
      </c>
      <c r="O590" s="4" t="str">
        <f>IF(A590="","",--(COUNTIF($A$2:A590,A590)=1))</f>
        <v/>
      </c>
      <c r="P590" s="4" t="str">
        <f>IF(A590="","",--(COUNTIFS($A$2:A590,A590,$F$2:F590,F590)=1))</f>
        <v/>
      </c>
    </row>
    <row r="591" spans="1:16">
      <c r="A591" s="5"/>
      <c r="D591" t="s">
        <v>54</v>
      </c>
      <c r="F591" t="s">
        <v>25</v>
      </c>
      <c r="O591" s="4" t="str">
        <f>IF(A591="","",--(COUNTIF($A$2:A591,A591)=1))</f>
        <v/>
      </c>
      <c r="P591" s="4" t="str">
        <f>IF(A591="","",--(COUNTIFS($A$2:A591,A591,$F$2:F591,F591)=1))</f>
        <v/>
      </c>
    </row>
    <row r="592" spans="1:16">
      <c r="A592" s="5"/>
      <c r="D592" t="s">
        <v>54</v>
      </c>
      <c r="F592" t="s">
        <v>25</v>
      </c>
      <c r="O592" s="4" t="str">
        <f>IF(A592="","",--(COUNTIF($A$2:A592,A592)=1))</f>
        <v/>
      </c>
      <c r="P592" s="4" t="str">
        <f>IF(A592="","",--(COUNTIFS($A$2:A592,A592,$F$2:F592,F592)=1))</f>
        <v/>
      </c>
    </row>
    <row r="593" spans="1:16">
      <c r="A593" s="5"/>
      <c r="D593" t="s">
        <v>54</v>
      </c>
      <c r="F593" t="s">
        <v>25</v>
      </c>
      <c r="O593" s="4" t="str">
        <f>IF(A593="","",--(COUNTIF($A$2:A593,A593)=1))</f>
        <v/>
      </c>
      <c r="P593" s="4" t="str">
        <f>IF(A593="","",--(COUNTIFS($A$2:A593,A593,$F$2:F593,F593)=1))</f>
        <v/>
      </c>
    </row>
    <row r="594" spans="1:16">
      <c r="A594" s="5"/>
      <c r="D594" t="s">
        <v>54</v>
      </c>
      <c r="F594" t="s">
        <v>25</v>
      </c>
      <c r="O594" s="4" t="str">
        <f>IF(A594="","",--(COUNTIF($A$2:A594,A594)=1))</f>
        <v/>
      </c>
      <c r="P594" s="4" t="str">
        <f>IF(A594="","",--(COUNTIFS($A$2:A594,A594,$F$2:F594,F594)=1))</f>
        <v/>
      </c>
    </row>
    <row r="595" spans="1:16">
      <c r="A595" s="5"/>
      <c r="D595" t="s">
        <v>54</v>
      </c>
      <c r="F595" t="s">
        <v>25</v>
      </c>
      <c r="O595" s="4" t="str">
        <f>IF(A595="","",--(COUNTIF($A$2:A595,A595)=1))</f>
        <v/>
      </c>
      <c r="P595" s="4" t="str">
        <f>IF(A595="","",--(COUNTIFS($A$2:A595,A595,$F$2:F595,F595)=1))</f>
        <v/>
      </c>
    </row>
    <row r="596" spans="1:16">
      <c r="A596" s="5"/>
      <c r="D596" t="s">
        <v>54</v>
      </c>
      <c r="F596" t="s">
        <v>25</v>
      </c>
      <c r="O596" s="4" t="str">
        <f>IF(A596="","",--(COUNTIF($A$2:A596,A596)=1))</f>
        <v/>
      </c>
      <c r="P596" s="4" t="str">
        <f>IF(A596="","",--(COUNTIFS($A$2:A596,A596,$F$2:F596,F596)=1))</f>
        <v/>
      </c>
    </row>
    <row r="597" spans="1:16">
      <c r="A597" s="5"/>
      <c r="D597" t="s">
        <v>54</v>
      </c>
      <c r="F597" t="s">
        <v>25</v>
      </c>
      <c r="O597" s="4" t="str">
        <f>IF(A597="","",--(COUNTIF($A$2:A597,A597)=1))</f>
        <v/>
      </c>
      <c r="P597" s="4" t="str">
        <f>IF(A597="","",--(COUNTIFS($A$2:A597,A597,$F$2:F597,F597)=1))</f>
        <v/>
      </c>
    </row>
    <row r="598" spans="1:16">
      <c r="A598" s="5"/>
      <c r="D598" t="s">
        <v>54</v>
      </c>
      <c r="F598" t="s">
        <v>25</v>
      </c>
      <c r="O598" s="4" t="str">
        <f>IF(A598="","",--(COUNTIF($A$2:A598,A598)=1))</f>
        <v/>
      </c>
      <c r="P598" s="4" t="str">
        <f>IF(A598="","",--(COUNTIFS($A$2:A598,A598,$F$2:F598,F598)=1))</f>
        <v/>
      </c>
    </row>
    <row r="599" spans="1:16">
      <c r="A599" s="5"/>
      <c r="D599" t="s">
        <v>54</v>
      </c>
      <c r="F599" t="s">
        <v>25</v>
      </c>
      <c r="O599" s="4" t="str">
        <f>IF(A599="","",--(COUNTIF($A$2:A599,A599)=1))</f>
        <v/>
      </c>
      <c r="P599" s="4" t="str">
        <f>IF(A599="","",--(COUNTIFS($A$2:A599,A599,$F$2:F599,F599)=1))</f>
        <v/>
      </c>
    </row>
    <row r="600" spans="1:16">
      <c r="A600" s="5"/>
      <c r="D600" t="s">
        <v>54</v>
      </c>
      <c r="F600" t="s">
        <v>25</v>
      </c>
      <c r="O600" s="4" t="str">
        <f>IF(A600="","",--(COUNTIF($A$2:A600,A600)=1))</f>
        <v/>
      </c>
      <c r="P600" s="4" t="str">
        <f>IF(A600="","",--(COUNTIFS($A$2:A600,A600,$F$2:F600,F600)=1))</f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100-000000000000}">
          <x14:formula1>
            <xm:f>LISTAS!$B$3:$B$11</xm:f>
          </x14:formula1>
          <xm:sqref>F2:F600</xm:sqref>
        </x14:dataValidation>
        <x14:dataValidation type="list" xr:uid="{00000000-0002-0000-0100-000001000000}">
          <x14:formula1>
            <xm:f>LISTAS!$D$2:$D$3</xm:f>
          </x14:formula1>
          <xm:sqref>I2:I600</xm:sqref>
        </x14:dataValidation>
        <x14:dataValidation type="list" xr:uid="{00000000-0002-0000-0100-000002000000}">
          <x14:formula1>
            <xm:f>LISTAS!$C$2:$C$5</xm:f>
          </x14:formula1>
          <xm:sqref>K2:K600</xm:sqref>
        </x14:dataValidation>
        <x14:dataValidation type="list" xr:uid="{00000000-0002-0000-0100-000003000000}">
          <x14:formula1>
            <xm:f>LISTAS!$E$2:$E$3</xm:f>
          </x14:formula1>
          <xm:sqref>M2:M600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00"/>
  <sheetViews>
    <sheetView tabSelected="1" topLeftCell="C1" workbookViewId="0">
      <selection activeCell="F6" sqref="F6"/>
    </sheetView>
  </sheetViews>
  <sheetFormatPr defaultRowHeight="14.25"/>
  <cols>
    <col min="1" max="3" width="42.125" bestFit="1" customWidth="1"/>
    <col min="4" max="4" width="20.875" bestFit="1" customWidth="1"/>
    <col min="5" max="5" width="19.5" bestFit="1" customWidth="1"/>
    <col min="6" max="6" width="19" bestFit="1" customWidth="1"/>
    <col min="7" max="7" width="14.625" bestFit="1" customWidth="1"/>
    <col min="8" max="8" width="23.375" bestFit="1" customWidth="1"/>
    <col min="9" max="9" width="15.125" bestFit="1" customWidth="1"/>
    <col min="10" max="10" width="25.375" bestFit="1" customWidth="1"/>
    <col min="11" max="11" width="16.75" bestFit="1" customWidth="1"/>
    <col min="12" max="12" width="16" bestFit="1" customWidth="1"/>
    <col min="13" max="13" width="17.875" bestFit="1" customWidth="1"/>
    <col min="14" max="14" width="13.5" bestFit="1" customWidth="1"/>
    <col min="15" max="15" width="15.625" bestFit="1" customWidth="1"/>
    <col min="16" max="16" width="14.25" bestFit="1" customWidth="1"/>
  </cols>
  <sheetData>
    <row r="1" spans="1:16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22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2" t="s">
        <v>51</v>
      </c>
      <c r="O1" s="3" t="s">
        <v>52</v>
      </c>
      <c r="P1" s="3" t="s">
        <v>53</v>
      </c>
    </row>
    <row r="2" spans="1:16">
      <c r="A2" s="24" t="s">
        <v>210</v>
      </c>
      <c r="B2" s="24" t="s">
        <v>210</v>
      </c>
      <c r="C2" s="24" t="s">
        <v>210</v>
      </c>
      <c r="D2" s="24" t="s">
        <v>27</v>
      </c>
      <c r="F2" s="24" t="s">
        <v>27</v>
      </c>
      <c r="G2" s="24" t="s">
        <v>193</v>
      </c>
      <c r="H2" s="24" t="s">
        <v>27</v>
      </c>
      <c r="K2" t="s">
        <v>3</v>
      </c>
      <c r="O2" s="4"/>
      <c r="P2" s="4"/>
    </row>
    <row r="3" spans="1:16">
      <c r="A3" s="24" t="s">
        <v>211</v>
      </c>
      <c r="B3" s="24" t="s">
        <v>211</v>
      </c>
      <c r="C3" s="24" t="s">
        <v>211</v>
      </c>
      <c r="D3" s="24" t="s">
        <v>27</v>
      </c>
      <c r="F3" s="24" t="s">
        <v>27</v>
      </c>
      <c r="G3" s="24" t="s">
        <v>196</v>
      </c>
      <c r="H3" s="24" t="s">
        <v>238</v>
      </c>
      <c r="K3" t="s">
        <v>3</v>
      </c>
      <c r="O3" s="4"/>
      <c r="P3" s="4"/>
    </row>
    <row r="4" spans="1:16">
      <c r="A4" s="24" t="s">
        <v>212</v>
      </c>
      <c r="B4" s="24" t="s">
        <v>212</v>
      </c>
      <c r="C4" s="24" t="s">
        <v>212</v>
      </c>
      <c r="D4" s="24" t="s">
        <v>27</v>
      </c>
      <c r="F4" s="24" t="s">
        <v>27</v>
      </c>
      <c r="G4" s="24" t="s">
        <v>194</v>
      </c>
      <c r="H4" s="24" t="s">
        <v>239</v>
      </c>
      <c r="K4" t="s">
        <v>3</v>
      </c>
      <c r="O4" s="4"/>
      <c r="P4" s="4"/>
    </row>
    <row r="5" spans="1:16">
      <c r="A5" s="24" t="s">
        <v>213</v>
      </c>
      <c r="B5" s="24" t="s">
        <v>213</v>
      </c>
      <c r="C5" s="24" t="s">
        <v>213</v>
      </c>
      <c r="D5" s="24" t="s">
        <v>27</v>
      </c>
      <c r="F5" s="24" t="s">
        <v>27</v>
      </c>
      <c r="G5" s="24" t="s">
        <v>196</v>
      </c>
      <c r="H5" s="24" t="s">
        <v>238</v>
      </c>
      <c r="K5" t="s">
        <v>3</v>
      </c>
      <c r="O5" s="4"/>
      <c r="P5" s="4"/>
    </row>
    <row r="6" spans="1:16">
      <c r="A6" s="24" t="s">
        <v>214</v>
      </c>
      <c r="B6" s="24" t="s">
        <v>214</v>
      </c>
      <c r="C6" s="24" t="s">
        <v>214</v>
      </c>
      <c r="D6" s="24" t="s">
        <v>27</v>
      </c>
      <c r="F6" s="24" t="s">
        <v>27</v>
      </c>
      <c r="G6" s="24" t="s">
        <v>193</v>
      </c>
      <c r="H6" s="24" t="s">
        <v>27</v>
      </c>
      <c r="K6" t="s">
        <v>3</v>
      </c>
      <c r="O6" s="4"/>
      <c r="P6" s="4"/>
    </row>
    <row r="7" spans="1:16">
      <c r="A7" s="24" t="s">
        <v>215</v>
      </c>
      <c r="B7" s="24" t="s">
        <v>215</v>
      </c>
      <c r="C7" s="24" t="s">
        <v>215</v>
      </c>
      <c r="D7" s="24" t="s">
        <v>27</v>
      </c>
      <c r="F7" s="24" t="s">
        <v>27</v>
      </c>
      <c r="G7" s="24" t="s">
        <v>193</v>
      </c>
      <c r="H7" s="24" t="s">
        <v>27</v>
      </c>
      <c r="K7" t="s">
        <v>3</v>
      </c>
      <c r="O7" s="4"/>
      <c r="P7" s="4"/>
    </row>
    <row r="8" spans="1:16">
      <c r="A8" s="24" t="s">
        <v>216</v>
      </c>
      <c r="B8" s="24" t="s">
        <v>216</v>
      </c>
      <c r="C8" s="24" t="s">
        <v>216</v>
      </c>
      <c r="D8" s="24" t="s">
        <v>27</v>
      </c>
      <c r="F8" s="24" t="s">
        <v>27</v>
      </c>
      <c r="G8" s="24" t="s">
        <v>194</v>
      </c>
      <c r="H8" s="24" t="s">
        <v>239</v>
      </c>
      <c r="K8" t="s">
        <v>3</v>
      </c>
      <c r="O8" s="4"/>
      <c r="P8" s="4"/>
    </row>
    <row r="9" spans="1:16">
      <c r="A9" s="24" t="s">
        <v>217</v>
      </c>
      <c r="B9" s="24" t="s">
        <v>217</v>
      </c>
      <c r="C9" s="24" t="s">
        <v>217</v>
      </c>
      <c r="D9" s="24" t="s">
        <v>27</v>
      </c>
      <c r="F9" s="24" t="s">
        <v>27</v>
      </c>
      <c r="G9" s="25" t="s">
        <v>195</v>
      </c>
      <c r="H9" s="24" t="s">
        <v>240</v>
      </c>
      <c r="K9" t="s">
        <v>3</v>
      </c>
      <c r="O9" s="4"/>
      <c r="P9" s="4"/>
    </row>
    <row r="10" spans="1:16">
      <c r="A10" s="24" t="s">
        <v>212</v>
      </c>
      <c r="B10" s="24" t="s">
        <v>212</v>
      </c>
      <c r="C10" s="24" t="s">
        <v>212</v>
      </c>
      <c r="D10" s="24" t="s">
        <v>27</v>
      </c>
      <c r="F10" s="24" t="s">
        <v>27</v>
      </c>
      <c r="G10" s="24" t="s">
        <v>194</v>
      </c>
      <c r="H10" s="24" t="s">
        <v>75</v>
      </c>
      <c r="K10" t="s">
        <v>3</v>
      </c>
      <c r="O10" s="4"/>
      <c r="P10" s="4"/>
    </row>
    <row r="11" spans="1:16">
      <c r="A11" s="24" t="s">
        <v>216</v>
      </c>
      <c r="B11" s="24" t="s">
        <v>216</v>
      </c>
      <c r="C11" s="24" t="s">
        <v>216</v>
      </c>
      <c r="D11" s="24" t="s">
        <v>27</v>
      </c>
      <c r="F11" s="24" t="s">
        <v>27</v>
      </c>
      <c r="G11" s="24" t="s">
        <v>194</v>
      </c>
      <c r="H11" s="24" t="s">
        <v>75</v>
      </c>
      <c r="K11" t="s">
        <v>3</v>
      </c>
      <c r="O11" s="4"/>
      <c r="P11" s="4"/>
    </row>
    <row r="12" spans="1:16">
      <c r="A12" s="24" t="s">
        <v>210</v>
      </c>
      <c r="B12" s="24" t="s">
        <v>210</v>
      </c>
      <c r="C12" s="24" t="s">
        <v>210</v>
      </c>
      <c r="D12" s="24" t="s">
        <v>27</v>
      </c>
      <c r="F12" s="24" t="s">
        <v>27</v>
      </c>
      <c r="G12" s="24" t="s">
        <v>193</v>
      </c>
      <c r="H12" s="24" t="s">
        <v>241</v>
      </c>
      <c r="K12" t="s">
        <v>3</v>
      </c>
      <c r="O12" s="4"/>
      <c r="P12" s="4"/>
    </row>
    <row r="13" spans="1:16">
      <c r="A13" s="24" t="s">
        <v>214</v>
      </c>
      <c r="B13" s="24" t="s">
        <v>214</v>
      </c>
      <c r="C13" s="24" t="s">
        <v>214</v>
      </c>
      <c r="D13" s="24" t="s">
        <v>27</v>
      </c>
      <c r="F13" s="24" t="s">
        <v>27</v>
      </c>
      <c r="G13" s="24" t="s">
        <v>193</v>
      </c>
      <c r="H13" s="24" t="s">
        <v>241</v>
      </c>
      <c r="K13" t="s">
        <v>3</v>
      </c>
      <c r="O13" s="4"/>
      <c r="P13" s="4"/>
    </row>
    <row r="14" spans="1:16">
      <c r="A14" s="24" t="s">
        <v>215</v>
      </c>
      <c r="B14" s="24" t="s">
        <v>215</v>
      </c>
      <c r="C14" s="24" t="s">
        <v>215</v>
      </c>
      <c r="D14" s="24" t="s">
        <v>27</v>
      </c>
      <c r="F14" s="24" t="s">
        <v>27</v>
      </c>
      <c r="G14" s="24" t="s">
        <v>193</v>
      </c>
      <c r="H14" s="24" t="s">
        <v>241</v>
      </c>
      <c r="K14" t="s">
        <v>3</v>
      </c>
      <c r="O14" s="4"/>
      <c r="P14" s="4"/>
    </row>
    <row r="15" spans="1:16">
      <c r="A15" s="24" t="s">
        <v>211</v>
      </c>
      <c r="B15" s="24" t="s">
        <v>211</v>
      </c>
      <c r="C15" s="24" t="s">
        <v>211</v>
      </c>
      <c r="D15" s="24" t="s">
        <v>27</v>
      </c>
      <c r="F15" s="24" t="s">
        <v>27</v>
      </c>
      <c r="G15" s="24" t="s">
        <v>196</v>
      </c>
      <c r="H15" s="24" t="s">
        <v>74</v>
      </c>
      <c r="K15" t="s">
        <v>3</v>
      </c>
      <c r="O15" s="4"/>
      <c r="P15" s="4"/>
    </row>
    <row r="16" spans="1:16">
      <c r="A16" s="24" t="s">
        <v>213</v>
      </c>
      <c r="B16" s="24" t="s">
        <v>213</v>
      </c>
      <c r="C16" s="24" t="s">
        <v>213</v>
      </c>
      <c r="D16" s="24" t="s">
        <v>27</v>
      </c>
      <c r="F16" s="24" t="s">
        <v>27</v>
      </c>
      <c r="G16" s="24" t="s">
        <v>196</v>
      </c>
      <c r="H16" s="24" t="s">
        <v>74</v>
      </c>
      <c r="K16" t="s">
        <v>3</v>
      </c>
      <c r="O16" s="4"/>
      <c r="P16" s="4"/>
    </row>
    <row r="17" spans="1:16">
      <c r="A17" s="24" t="s">
        <v>217</v>
      </c>
      <c r="B17" s="24" t="s">
        <v>217</v>
      </c>
      <c r="C17" s="24" t="s">
        <v>217</v>
      </c>
      <c r="D17" s="24" t="s">
        <v>27</v>
      </c>
      <c r="F17" s="24" t="s">
        <v>27</v>
      </c>
      <c r="G17" s="25" t="s">
        <v>195</v>
      </c>
      <c r="H17" s="24" t="s">
        <v>76</v>
      </c>
      <c r="K17" t="s">
        <v>3</v>
      </c>
      <c r="O17" s="4"/>
      <c r="P17" s="4"/>
    </row>
    <row r="18" spans="1:16">
      <c r="A18" s="24" t="s">
        <v>218</v>
      </c>
      <c r="B18" s="24" t="s">
        <v>218</v>
      </c>
      <c r="C18" s="24" t="s">
        <v>218</v>
      </c>
      <c r="D18" s="24" t="s">
        <v>30</v>
      </c>
      <c r="F18" s="24" t="s">
        <v>30</v>
      </c>
      <c r="G18" s="24" t="s">
        <v>193</v>
      </c>
      <c r="H18" s="24" t="s">
        <v>30</v>
      </c>
      <c r="K18" t="s">
        <v>3</v>
      </c>
      <c r="O18" s="4"/>
      <c r="P18" s="4"/>
    </row>
    <row r="19" spans="1:16">
      <c r="A19" s="24" t="s">
        <v>218</v>
      </c>
      <c r="B19" s="24" t="s">
        <v>218</v>
      </c>
      <c r="C19" s="24" t="s">
        <v>218</v>
      </c>
      <c r="D19" s="24" t="s">
        <v>30</v>
      </c>
      <c r="F19" s="24" t="s">
        <v>30</v>
      </c>
      <c r="G19" s="24" t="s">
        <v>193</v>
      </c>
      <c r="H19" s="24" t="s">
        <v>242</v>
      </c>
      <c r="K19" t="s">
        <v>3</v>
      </c>
      <c r="O19" s="4"/>
      <c r="P19" s="4"/>
    </row>
    <row r="20" spans="1:16">
      <c r="A20" s="24" t="s">
        <v>218</v>
      </c>
      <c r="B20" s="24" t="s">
        <v>218</v>
      </c>
      <c r="C20" s="24" t="s">
        <v>218</v>
      </c>
      <c r="D20" s="24" t="s">
        <v>30</v>
      </c>
      <c r="F20" s="24" t="s">
        <v>30</v>
      </c>
      <c r="G20" s="24" t="s">
        <v>193</v>
      </c>
      <c r="H20" s="24" t="s">
        <v>243</v>
      </c>
      <c r="K20" t="s">
        <v>3</v>
      </c>
      <c r="O20" s="4"/>
      <c r="P20" s="4"/>
    </row>
    <row r="21" spans="1:16">
      <c r="A21" s="24" t="s">
        <v>218</v>
      </c>
      <c r="B21" s="24" t="s">
        <v>218</v>
      </c>
      <c r="C21" s="24" t="s">
        <v>218</v>
      </c>
      <c r="D21" s="24" t="s">
        <v>30</v>
      </c>
      <c r="F21" s="24" t="s">
        <v>30</v>
      </c>
      <c r="G21" s="24" t="s">
        <v>193</v>
      </c>
      <c r="H21" s="24" t="s">
        <v>244</v>
      </c>
      <c r="K21" t="s">
        <v>3</v>
      </c>
      <c r="O21" s="4"/>
      <c r="P21" s="4"/>
    </row>
    <row r="22" spans="1:16">
      <c r="A22" s="24" t="s">
        <v>218</v>
      </c>
      <c r="B22" s="24" t="s">
        <v>218</v>
      </c>
      <c r="C22" s="24" t="s">
        <v>218</v>
      </c>
      <c r="D22" s="24" t="s">
        <v>30</v>
      </c>
      <c r="F22" s="24" t="s">
        <v>30</v>
      </c>
      <c r="G22" s="24" t="s">
        <v>193</v>
      </c>
      <c r="H22" s="24" t="s">
        <v>245</v>
      </c>
      <c r="K22" t="s">
        <v>3</v>
      </c>
      <c r="O22" s="4"/>
      <c r="P22" s="4"/>
    </row>
    <row r="23" spans="1:16">
      <c r="A23" s="24" t="s">
        <v>218</v>
      </c>
      <c r="B23" s="24" t="s">
        <v>218</v>
      </c>
      <c r="C23" s="24" t="s">
        <v>218</v>
      </c>
      <c r="D23" s="24" t="s">
        <v>30</v>
      </c>
      <c r="F23" s="24" t="s">
        <v>30</v>
      </c>
      <c r="G23" s="24" t="s">
        <v>193</v>
      </c>
      <c r="H23" s="24" t="s">
        <v>246</v>
      </c>
      <c r="K23" t="s">
        <v>3</v>
      </c>
      <c r="O23" s="4"/>
      <c r="P23" s="4"/>
    </row>
    <row r="24" spans="1:16">
      <c r="A24" s="24" t="s">
        <v>218</v>
      </c>
      <c r="B24" s="24" t="s">
        <v>218</v>
      </c>
      <c r="C24" s="24" t="s">
        <v>218</v>
      </c>
      <c r="D24" s="24" t="s">
        <v>30</v>
      </c>
      <c r="F24" s="24" t="s">
        <v>30</v>
      </c>
      <c r="G24" s="24" t="s">
        <v>193</v>
      </c>
      <c r="H24" s="24" t="s">
        <v>247</v>
      </c>
      <c r="K24" t="s">
        <v>3</v>
      </c>
      <c r="O24" s="4"/>
      <c r="P24" s="4"/>
    </row>
    <row r="25" spans="1:16">
      <c r="A25" s="24" t="s">
        <v>219</v>
      </c>
      <c r="B25" s="24" t="s">
        <v>219</v>
      </c>
      <c r="C25" s="24" t="s">
        <v>219</v>
      </c>
      <c r="D25" s="24" t="s">
        <v>30</v>
      </c>
      <c r="F25" s="24" t="s">
        <v>30</v>
      </c>
      <c r="G25" s="24" t="s">
        <v>193</v>
      </c>
      <c r="H25" s="24" t="s">
        <v>30</v>
      </c>
      <c r="K25" t="s">
        <v>3</v>
      </c>
      <c r="O25" s="4"/>
      <c r="P25" s="4"/>
    </row>
    <row r="26" spans="1:16">
      <c r="A26" s="24" t="s">
        <v>219</v>
      </c>
      <c r="B26" s="24" t="s">
        <v>219</v>
      </c>
      <c r="C26" s="24" t="s">
        <v>219</v>
      </c>
      <c r="D26" s="24" t="s">
        <v>30</v>
      </c>
      <c r="F26" s="24" t="s">
        <v>30</v>
      </c>
      <c r="G26" s="24" t="s">
        <v>193</v>
      </c>
      <c r="H26" s="24" t="s">
        <v>242</v>
      </c>
      <c r="K26" t="s">
        <v>3</v>
      </c>
      <c r="O26" s="4"/>
      <c r="P26" s="4"/>
    </row>
    <row r="27" spans="1:16">
      <c r="A27" s="24" t="s">
        <v>219</v>
      </c>
      <c r="B27" s="24" t="s">
        <v>219</v>
      </c>
      <c r="C27" s="24" t="s">
        <v>219</v>
      </c>
      <c r="D27" s="24" t="s">
        <v>30</v>
      </c>
      <c r="F27" s="24" t="s">
        <v>30</v>
      </c>
      <c r="G27" s="24" t="s">
        <v>193</v>
      </c>
      <c r="H27" s="24" t="s">
        <v>243</v>
      </c>
      <c r="K27" t="s">
        <v>3</v>
      </c>
      <c r="O27" s="4"/>
      <c r="P27" s="4"/>
    </row>
    <row r="28" spans="1:16">
      <c r="A28" s="24" t="s">
        <v>219</v>
      </c>
      <c r="B28" s="24" t="s">
        <v>219</v>
      </c>
      <c r="C28" s="24" t="s">
        <v>219</v>
      </c>
      <c r="D28" s="24" t="s">
        <v>30</v>
      </c>
      <c r="F28" s="24" t="s">
        <v>30</v>
      </c>
      <c r="G28" s="24" t="s">
        <v>193</v>
      </c>
      <c r="H28" s="24" t="s">
        <v>244</v>
      </c>
      <c r="K28" t="s">
        <v>3</v>
      </c>
      <c r="O28" s="4"/>
      <c r="P28" s="4"/>
    </row>
    <row r="29" spans="1:16">
      <c r="A29" s="24" t="s">
        <v>219</v>
      </c>
      <c r="B29" s="24" t="s">
        <v>219</v>
      </c>
      <c r="C29" s="24" t="s">
        <v>219</v>
      </c>
      <c r="D29" s="24" t="s">
        <v>30</v>
      </c>
      <c r="F29" s="24" t="s">
        <v>30</v>
      </c>
      <c r="G29" s="24" t="s">
        <v>193</v>
      </c>
      <c r="H29" s="24" t="s">
        <v>245</v>
      </c>
      <c r="K29" t="s">
        <v>3</v>
      </c>
      <c r="O29" s="4"/>
      <c r="P29" s="4"/>
    </row>
    <row r="30" spans="1:16">
      <c r="A30" s="24" t="s">
        <v>219</v>
      </c>
      <c r="B30" s="24" t="s">
        <v>219</v>
      </c>
      <c r="C30" s="24" t="s">
        <v>219</v>
      </c>
      <c r="D30" s="24" t="s">
        <v>30</v>
      </c>
      <c r="F30" s="24" t="s">
        <v>30</v>
      </c>
      <c r="G30" s="24" t="s">
        <v>193</v>
      </c>
      <c r="H30" s="24" t="s">
        <v>246</v>
      </c>
      <c r="K30" t="s">
        <v>3</v>
      </c>
      <c r="O30" s="4"/>
      <c r="P30" s="4"/>
    </row>
    <row r="31" spans="1:16">
      <c r="A31" s="24" t="s">
        <v>219</v>
      </c>
      <c r="B31" s="24" t="s">
        <v>219</v>
      </c>
      <c r="C31" s="24" t="s">
        <v>219</v>
      </c>
      <c r="D31" s="24" t="s">
        <v>30</v>
      </c>
      <c r="F31" s="24" t="s">
        <v>30</v>
      </c>
      <c r="G31" s="24" t="s">
        <v>193</v>
      </c>
      <c r="H31" s="24" t="s">
        <v>247</v>
      </c>
      <c r="K31" t="s">
        <v>3</v>
      </c>
      <c r="O31" s="4"/>
      <c r="P31" s="4"/>
    </row>
    <row r="32" spans="1:16">
      <c r="A32" t="s">
        <v>220</v>
      </c>
      <c r="B32" t="s">
        <v>220</v>
      </c>
      <c r="C32" t="s">
        <v>220</v>
      </c>
      <c r="D32" s="24" t="s">
        <v>30</v>
      </c>
      <c r="F32" s="24" t="s">
        <v>30</v>
      </c>
      <c r="G32" s="25" t="s">
        <v>195</v>
      </c>
      <c r="H32" t="s">
        <v>248</v>
      </c>
      <c r="K32" t="s">
        <v>3</v>
      </c>
      <c r="O32" s="4"/>
      <c r="P32" s="4"/>
    </row>
    <row r="33" spans="1:16">
      <c r="A33" t="s">
        <v>220</v>
      </c>
      <c r="B33" t="s">
        <v>220</v>
      </c>
      <c r="C33" t="s">
        <v>220</v>
      </c>
      <c r="D33" s="24" t="s">
        <v>30</v>
      </c>
      <c r="F33" s="24" t="s">
        <v>30</v>
      </c>
      <c r="G33" s="25" t="s">
        <v>195</v>
      </c>
      <c r="H33" t="s">
        <v>249</v>
      </c>
      <c r="K33" t="s">
        <v>3</v>
      </c>
      <c r="O33" s="4"/>
      <c r="P33" s="4"/>
    </row>
    <row r="34" spans="1:16">
      <c r="A34" t="s">
        <v>220</v>
      </c>
      <c r="B34" t="s">
        <v>220</v>
      </c>
      <c r="C34" t="s">
        <v>220</v>
      </c>
      <c r="D34" s="24" t="s">
        <v>30</v>
      </c>
      <c r="F34" s="24" t="s">
        <v>30</v>
      </c>
      <c r="G34" s="25" t="s">
        <v>195</v>
      </c>
      <c r="H34" t="s">
        <v>250</v>
      </c>
      <c r="K34" t="s">
        <v>3</v>
      </c>
      <c r="O34" s="4"/>
      <c r="P34" s="4"/>
    </row>
    <row r="35" spans="1:16">
      <c r="A35" t="s">
        <v>220</v>
      </c>
      <c r="B35" t="s">
        <v>220</v>
      </c>
      <c r="C35" t="s">
        <v>220</v>
      </c>
      <c r="D35" s="24" t="s">
        <v>30</v>
      </c>
      <c r="F35" s="24" t="s">
        <v>30</v>
      </c>
      <c r="G35" s="25" t="s">
        <v>195</v>
      </c>
      <c r="H35" t="s">
        <v>251</v>
      </c>
      <c r="K35" t="s">
        <v>3</v>
      </c>
      <c r="O35" s="4"/>
      <c r="P35" s="4"/>
    </row>
    <row r="36" spans="1:16">
      <c r="A36" t="s">
        <v>220</v>
      </c>
      <c r="B36" t="s">
        <v>220</v>
      </c>
      <c r="C36" t="s">
        <v>220</v>
      </c>
      <c r="D36" s="24" t="s">
        <v>30</v>
      </c>
      <c r="F36" s="24" t="s">
        <v>30</v>
      </c>
      <c r="G36" s="25" t="s">
        <v>195</v>
      </c>
      <c r="H36" t="s">
        <v>252</v>
      </c>
      <c r="K36" t="s">
        <v>3</v>
      </c>
      <c r="O36" s="4"/>
      <c r="P36" s="4"/>
    </row>
    <row r="37" spans="1:16">
      <c r="A37" t="s">
        <v>220</v>
      </c>
      <c r="B37" t="s">
        <v>220</v>
      </c>
      <c r="C37" t="s">
        <v>220</v>
      </c>
      <c r="D37" s="24" t="s">
        <v>30</v>
      </c>
      <c r="F37" s="24" t="s">
        <v>30</v>
      </c>
      <c r="G37" s="25" t="s">
        <v>195</v>
      </c>
      <c r="H37" t="s">
        <v>253</v>
      </c>
      <c r="K37" t="s">
        <v>3</v>
      </c>
      <c r="O37" s="4"/>
      <c r="P37" s="4"/>
    </row>
    <row r="38" spans="1:16">
      <c r="A38" t="s">
        <v>220</v>
      </c>
      <c r="B38" t="s">
        <v>220</v>
      </c>
      <c r="C38" t="s">
        <v>220</v>
      </c>
      <c r="D38" s="24" t="s">
        <v>30</v>
      </c>
      <c r="F38" s="24" t="s">
        <v>30</v>
      </c>
      <c r="G38" s="25" t="s">
        <v>195</v>
      </c>
      <c r="H38" t="s">
        <v>254</v>
      </c>
      <c r="K38" t="s">
        <v>3</v>
      </c>
      <c r="O38" s="4"/>
      <c r="P38" s="4"/>
    </row>
    <row r="39" spans="1:16">
      <c r="A39" t="s">
        <v>220</v>
      </c>
      <c r="B39" t="s">
        <v>220</v>
      </c>
      <c r="C39" t="s">
        <v>220</v>
      </c>
      <c r="D39" s="24" t="s">
        <v>30</v>
      </c>
      <c r="F39" s="24" t="s">
        <v>30</v>
      </c>
      <c r="G39" s="25" t="s">
        <v>195</v>
      </c>
      <c r="H39" t="s">
        <v>255</v>
      </c>
      <c r="K39" t="s">
        <v>3</v>
      </c>
      <c r="O39" s="4"/>
      <c r="P39" s="4"/>
    </row>
    <row r="40" spans="1:16">
      <c r="A40" t="s">
        <v>221</v>
      </c>
      <c r="B40" t="s">
        <v>221</v>
      </c>
      <c r="C40" t="s">
        <v>221</v>
      </c>
      <c r="D40" s="25" t="s">
        <v>29</v>
      </c>
      <c r="F40" s="25" t="s">
        <v>29</v>
      </c>
      <c r="G40" t="s">
        <v>194</v>
      </c>
      <c r="H40" t="s">
        <v>77</v>
      </c>
      <c r="K40" t="s">
        <v>3</v>
      </c>
      <c r="O40" s="4"/>
      <c r="P40" s="4"/>
    </row>
    <row r="41" spans="1:16">
      <c r="A41" t="s">
        <v>221</v>
      </c>
      <c r="B41" t="s">
        <v>221</v>
      </c>
      <c r="C41" t="s">
        <v>221</v>
      </c>
      <c r="D41" s="25" t="s">
        <v>29</v>
      </c>
      <c r="F41" s="25" t="s">
        <v>29</v>
      </c>
      <c r="G41" t="s">
        <v>194</v>
      </c>
      <c r="H41" t="s">
        <v>256</v>
      </c>
      <c r="K41" t="s">
        <v>3</v>
      </c>
      <c r="O41" s="4"/>
      <c r="P41" s="4"/>
    </row>
    <row r="42" spans="1:16">
      <c r="A42" t="s">
        <v>221</v>
      </c>
      <c r="B42" t="s">
        <v>221</v>
      </c>
      <c r="C42" t="s">
        <v>221</v>
      </c>
      <c r="D42" s="25" t="s">
        <v>29</v>
      </c>
      <c r="F42" s="25" t="s">
        <v>29</v>
      </c>
      <c r="G42" t="s">
        <v>194</v>
      </c>
      <c r="H42" t="s">
        <v>257</v>
      </c>
      <c r="K42" t="s">
        <v>3</v>
      </c>
      <c r="O42" s="4"/>
      <c r="P42" s="4"/>
    </row>
    <row r="43" spans="1:16">
      <c r="A43" t="s">
        <v>221</v>
      </c>
      <c r="B43" t="s">
        <v>221</v>
      </c>
      <c r="C43" t="s">
        <v>221</v>
      </c>
      <c r="D43" s="25" t="s">
        <v>29</v>
      </c>
      <c r="F43" s="25" t="s">
        <v>29</v>
      </c>
      <c r="G43" t="s">
        <v>194</v>
      </c>
      <c r="H43" t="s">
        <v>258</v>
      </c>
      <c r="K43" t="s">
        <v>3</v>
      </c>
      <c r="O43" s="4"/>
      <c r="P43" s="4"/>
    </row>
    <row r="44" spans="1:16">
      <c r="A44" t="s">
        <v>222</v>
      </c>
      <c r="B44" t="s">
        <v>222</v>
      </c>
      <c r="C44" t="s">
        <v>222</v>
      </c>
      <c r="D44" s="25" t="s">
        <v>29</v>
      </c>
      <c r="F44" s="25" t="s">
        <v>29</v>
      </c>
      <c r="G44" t="s">
        <v>193</v>
      </c>
      <c r="H44" s="25" t="s">
        <v>29</v>
      </c>
      <c r="K44" t="s">
        <v>3</v>
      </c>
      <c r="O44" s="4"/>
      <c r="P44" s="4"/>
    </row>
    <row r="45" spans="1:16">
      <c r="A45" t="s">
        <v>223</v>
      </c>
      <c r="B45" t="s">
        <v>223</v>
      </c>
      <c r="C45" t="s">
        <v>223</v>
      </c>
      <c r="D45" s="25" t="s">
        <v>29</v>
      </c>
      <c r="F45" s="25" t="s">
        <v>29</v>
      </c>
      <c r="G45" t="s">
        <v>193</v>
      </c>
      <c r="H45" s="25" t="s">
        <v>29</v>
      </c>
      <c r="K45" t="s">
        <v>3</v>
      </c>
      <c r="O45" s="4"/>
      <c r="P45" s="4"/>
    </row>
    <row r="46" spans="1:16">
      <c r="A46" t="s">
        <v>224</v>
      </c>
      <c r="B46" t="s">
        <v>224</v>
      </c>
      <c r="C46" t="s">
        <v>224</v>
      </c>
      <c r="D46" s="25" t="s">
        <v>29</v>
      </c>
      <c r="F46" s="25" t="s">
        <v>29</v>
      </c>
      <c r="G46" t="s">
        <v>196</v>
      </c>
      <c r="H46" t="s">
        <v>78</v>
      </c>
      <c r="K46" t="s">
        <v>3</v>
      </c>
      <c r="O46" s="4"/>
      <c r="P46" s="4"/>
    </row>
    <row r="47" spans="1:16">
      <c r="A47" t="s">
        <v>224</v>
      </c>
      <c r="B47" t="s">
        <v>224</v>
      </c>
      <c r="C47" t="s">
        <v>224</v>
      </c>
      <c r="D47" s="25" t="s">
        <v>29</v>
      </c>
      <c r="F47" s="25" t="s">
        <v>29</v>
      </c>
      <c r="G47" t="s">
        <v>196</v>
      </c>
      <c r="H47" t="s">
        <v>259</v>
      </c>
      <c r="K47" t="s">
        <v>3</v>
      </c>
      <c r="O47" s="4"/>
      <c r="P47" s="4"/>
    </row>
    <row r="48" spans="1:16">
      <c r="A48" t="s">
        <v>224</v>
      </c>
      <c r="B48" t="s">
        <v>224</v>
      </c>
      <c r="C48" t="s">
        <v>224</v>
      </c>
      <c r="D48" s="25" t="s">
        <v>29</v>
      </c>
      <c r="F48" s="25" t="s">
        <v>29</v>
      </c>
      <c r="G48" t="s">
        <v>196</v>
      </c>
      <c r="H48" t="s">
        <v>260</v>
      </c>
      <c r="K48" t="s">
        <v>3</v>
      </c>
      <c r="O48" s="4"/>
      <c r="P48" s="4"/>
    </row>
    <row r="49" spans="1:16">
      <c r="A49" t="s">
        <v>224</v>
      </c>
      <c r="B49" t="s">
        <v>224</v>
      </c>
      <c r="C49" t="s">
        <v>224</v>
      </c>
      <c r="D49" s="25" t="s">
        <v>29</v>
      </c>
      <c r="F49" s="25" t="s">
        <v>29</v>
      </c>
      <c r="G49" t="s">
        <v>196</v>
      </c>
      <c r="H49" t="s">
        <v>261</v>
      </c>
      <c r="K49" t="s">
        <v>3</v>
      </c>
      <c r="O49" s="4"/>
      <c r="P49" s="4"/>
    </row>
    <row r="50" spans="1:16">
      <c r="A50" t="s">
        <v>224</v>
      </c>
      <c r="B50" t="s">
        <v>224</v>
      </c>
      <c r="C50" t="s">
        <v>224</v>
      </c>
      <c r="D50" s="25" t="s">
        <v>29</v>
      </c>
      <c r="F50" s="25" t="s">
        <v>29</v>
      </c>
      <c r="G50" t="s">
        <v>196</v>
      </c>
      <c r="H50" t="s">
        <v>262</v>
      </c>
      <c r="K50" t="s">
        <v>3</v>
      </c>
      <c r="O50" s="4"/>
      <c r="P50" s="4"/>
    </row>
    <row r="51" spans="1:16">
      <c r="A51" t="s">
        <v>224</v>
      </c>
      <c r="B51" t="s">
        <v>224</v>
      </c>
      <c r="C51" t="s">
        <v>224</v>
      </c>
      <c r="D51" s="25" t="s">
        <v>29</v>
      </c>
      <c r="F51" s="25" t="s">
        <v>29</v>
      </c>
      <c r="G51" t="s">
        <v>196</v>
      </c>
      <c r="H51" t="s">
        <v>263</v>
      </c>
      <c r="K51" t="s">
        <v>3</v>
      </c>
      <c r="O51" s="4"/>
      <c r="P51" s="4"/>
    </row>
    <row r="52" spans="1:16">
      <c r="A52" t="s">
        <v>225</v>
      </c>
      <c r="B52" t="s">
        <v>225</v>
      </c>
      <c r="C52" t="s">
        <v>225</v>
      </c>
      <c r="D52" s="25" t="s">
        <v>29</v>
      </c>
      <c r="F52" s="25" t="s">
        <v>29</v>
      </c>
      <c r="G52" t="s">
        <v>196</v>
      </c>
      <c r="H52" t="s">
        <v>78</v>
      </c>
      <c r="K52" t="s">
        <v>3</v>
      </c>
      <c r="O52" s="4"/>
      <c r="P52" s="4"/>
    </row>
    <row r="53" spans="1:16">
      <c r="A53" t="s">
        <v>225</v>
      </c>
      <c r="B53" t="s">
        <v>225</v>
      </c>
      <c r="C53" t="s">
        <v>225</v>
      </c>
      <c r="D53" s="25" t="s">
        <v>29</v>
      </c>
      <c r="F53" s="25" t="s">
        <v>29</v>
      </c>
      <c r="G53" t="s">
        <v>196</v>
      </c>
      <c r="H53" t="s">
        <v>259</v>
      </c>
      <c r="K53" t="s">
        <v>3</v>
      </c>
      <c r="O53" s="4"/>
      <c r="P53" s="4"/>
    </row>
    <row r="54" spans="1:16">
      <c r="A54" t="s">
        <v>225</v>
      </c>
      <c r="B54" t="s">
        <v>225</v>
      </c>
      <c r="C54" t="s">
        <v>225</v>
      </c>
      <c r="D54" s="25" t="s">
        <v>29</v>
      </c>
      <c r="F54" s="25" t="s">
        <v>29</v>
      </c>
      <c r="G54" t="s">
        <v>196</v>
      </c>
      <c r="H54" t="s">
        <v>260</v>
      </c>
      <c r="K54" t="s">
        <v>3</v>
      </c>
      <c r="O54" s="4"/>
      <c r="P54" s="4"/>
    </row>
    <row r="55" spans="1:16">
      <c r="A55" t="s">
        <v>225</v>
      </c>
      <c r="B55" t="s">
        <v>225</v>
      </c>
      <c r="C55" t="s">
        <v>225</v>
      </c>
      <c r="D55" s="25" t="s">
        <v>29</v>
      </c>
      <c r="F55" s="25" t="s">
        <v>29</v>
      </c>
      <c r="G55" t="s">
        <v>196</v>
      </c>
      <c r="H55" t="s">
        <v>261</v>
      </c>
      <c r="K55" t="s">
        <v>3</v>
      </c>
      <c r="O55" s="4"/>
      <c r="P55" s="4"/>
    </row>
    <row r="56" spans="1:16">
      <c r="A56" t="s">
        <v>225</v>
      </c>
      <c r="B56" t="s">
        <v>225</v>
      </c>
      <c r="C56" t="s">
        <v>225</v>
      </c>
      <c r="D56" s="25" t="s">
        <v>29</v>
      </c>
      <c r="F56" s="25" t="s">
        <v>29</v>
      </c>
      <c r="G56" t="s">
        <v>196</v>
      </c>
      <c r="H56" t="s">
        <v>262</v>
      </c>
      <c r="K56" t="s">
        <v>3</v>
      </c>
      <c r="O56" s="4"/>
      <c r="P56" s="4"/>
    </row>
    <row r="57" spans="1:16">
      <c r="A57" t="s">
        <v>225</v>
      </c>
      <c r="B57" t="s">
        <v>225</v>
      </c>
      <c r="C57" t="s">
        <v>225</v>
      </c>
      <c r="D57" s="25" t="s">
        <v>29</v>
      </c>
      <c r="F57" s="25" t="s">
        <v>29</v>
      </c>
      <c r="G57" t="s">
        <v>196</v>
      </c>
      <c r="H57" t="s">
        <v>263</v>
      </c>
      <c r="K57" t="s">
        <v>3</v>
      </c>
      <c r="O57" s="4"/>
      <c r="P57" s="4"/>
    </row>
    <row r="58" spans="1:16">
      <c r="A58" t="s">
        <v>226</v>
      </c>
      <c r="B58" t="s">
        <v>226</v>
      </c>
      <c r="C58" t="s">
        <v>226</v>
      </c>
      <c r="D58" s="25" t="s">
        <v>29</v>
      </c>
      <c r="F58" s="25" t="s">
        <v>29</v>
      </c>
      <c r="G58" t="s">
        <v>196</v>
      </c>
      <c r="H58" t="s">
        <v>78</v>
      </c>
      <c r="K58" t="s">
        <v>3</v>
      </c>
      <c r="O58" s="4"/>
      <c r="P58" s="4"/>
    </row>
    <row r="59" spans="1:16">
      <c r="A59" t="s">
        <v>226</v>
      </c>
      <c r="B59" t="s">
        <v>226</v>
      </c>
      <c r="C59" t="s">
        <v>226</v>
      </c>
      <c r="D59" s="25" t="s">
        <v>29</v>
      </c>
      <c r="F59" s="25" t="s">
        <v>29</v>
      </c>
      <c r="G59" t="s">
        <v>196</v>
      </c>
      <c r="H59" t="s">
        <v>259</v>
      </c>
      <c r="K59" t="s">
        <v>3</v>
      </c>
      <c r="O59" s="4"/>
      <c r="P59" s="4"/>
    </row>
    <row r="60" spans="1:16">
      <c r="A60" t="s">
        <v>226</v>
      </c>
      <c r="B60" t="s">
        <v>226</v>
      </c>
      <c r="C60" t="s">
        <v>226</v>
      </c>
      <c r="D60" s="25" t="s">
        <v>29</v>
      </c>
      <c r="F60" s="25" t="s">
        <v>29</v>
      </c>
      <c r="G60" t="s">
        <v>196</v>
      </c>
      <c r="H60" t="s">
        <v>260</v>
      </c>
      <c r="K60" t="s">
        <v>3</v>
      </c>
      <c r="O60" s="4"/>
      <c r="P60" s="4"/>
    </row>
    <row r="61" spans="1:16">
      <c r="A61" t="s">
        <v>226</v>
      </c>
      <c r="B61" t="s">
        <v>226</v>
      </c>
      <c r="C61" t="s">
        <v>226</v>
      </c>
      <c r="D61" s="25" t="s">
        <v>29</v>
      </c>
      <c r="F61" s="25" t="s">
        <v>29</v>
      </c>
      <c r="G61" t="s">
        <v>196</v>
      </c>
      <c r="H61" t="s">
        <v>261</v>
      </c>
      <c r="K61" t="s">
        <v>3</v>
      </c>
      <c r="O61" s="4"/>
      <c r="P61" s="4"/>
    </row>
    <row r="62" spans="1:16">
      <c r="A62" t="s">
        <v>226</v>
      </c>
      <c r="B62" t="s">
        <v>226</v>
      </c>
      <c r="C62" t="s">
        <v>226</v>
      </c>
      <c r="D62" s="25" t="s">
        <v>29</v>
      </c>
      <c r="F62" s="25" t="s">
        <v>29</v>
      </c>
      <c r="G62" t="s">
        <v>196</v>
      </c>
      <c r="H62" t="s">
        <v>262</v>
      </c>
      <c r="K62" t="s">
        <v>3</v>
      </c>
      <c r="O62" s="4"/>
      <c r="P62" s="4"/>
    </row>
    <row r="63" spans="1:16">
      <c r="A63" t="s">
        <v>226</v>
      </c>
      <c r="B63" t="s">
        <v>226</v>
      </c>
      <c r="C63" t="s">
        <v>226</v>
      </c>
      <c r="D63" s="25" t="s">
        <v>29</v>
      </c>
      <c r="F63" s="25" t="s">
        <v>29</v>
      </c>
      <c r="G63" t="s">
        <v>196</v>
      </c>
      <c r="H63" t="s">
        <v>263</v>
      </c>
      <c r="K63" t="s">
        <v>3</v>
      </c>
      <c r="O63" s="4"/>
      <c r="P63" s="4"/>
    </row>
    <row r="64" spans="1:16">
      <c r="A64" t="s">
        <v>227</v>
      </c>
      <c r="B64" t="s">
        <v>227</v>
      </c>
      <c r="C64" t="s">
        <v>227</v>
      </c>
      <c r="D64" s="25" t="s">
        <v>26</v>
      </c>
      <c r="F64" s="25" t="s">
        <v>26</v>
      </c>
      <c r="G64" t="s">
        <v>193</v>
      </c>
      <c r="H64" t="s">
        <v>26</v>
      </c>
      <c r="K64" t="s">
        <v>3</v>
      </c>
      <c r="O64" s="4"/>
      <c r="P64" s="4"/>
    </row>
    <row r="65" spans="1:16">
      <c r="A65" t="s">
        <v>227</v>
      </c>
      <c r="B65" t="s">
        <v>227</v>
      </c>
      <c r="C65" t="s">
        <v>227</v>
      </c>
      <c r="D65" s="25" t="s">
        <v>26</v>
      </c>
      <c r="F65" s="25" t="s">
        <v>26</v>
      </c>
      <c r="G65" t="s">
        <v>193</v>
      </c>
      <c r="H65" t="s">
        <v>264</v>
      </c>
      <c r="K65" t="s">
        <v>3</v>
      </c>
      <c r="O65" s="4"/>
      <c r="P65" s="4"/>
    </row>
    <row r="66" spans="1:16">
      <c r="A66" t="s">
        <v>227</v>
      </c>
      <c r="B66" t="s">
        <v>227</v>
      </c>
      <c r="C66" t="s">
        <v>227</v>
      </c>
      <c r="D66" s="25" t="s">
        <v>26</v>
      </c>
      <c r="F66" s="25" t="s">
        <v>26</v>
      </c>
      <c r="G66" t="s">
        <v>193</v>
      </c>
      <c r="H66" t="s">
        <v>265</v>
      </c>
      <c r="K66" t="s">
        <v>3</v>
      </c>
      <c r="O66" s="4"/>
      <c r="P66" s="4"/>
    </row>
    <row r="67" spans="1:16">
      <c r="A67" t="s">
        <v>227</v>
      </c>
      <c r="B67" t="s">
        <v>227</v>
      </c>
      <c r="C67" t="s">
        <v>227</v>
      </c>
      <c r="D67" s="25" t="s">
        <v>26</v>
      </c>
      <c r="F67" s="25" t="s">
        <v>26</v>
      </c>
      <c r="G67" t="s">
        <v>193</v>
      </c>
      <c r="H67" t="s">
        <v>266</v>
      </c>
      <c r="K67" t="s">
        <v>3</v>
      </c>
      <c r="O67" s="4"/>
      <c r="P67" s="4"/>
    </row>
    <row r="68" spans="1:16">
      <c r="A68" t="s">
        <v>228</v>
      </c>
      <c r="B68" t="s">
        <v>228</v>
      </c>
      <c r="C68" t="s">
        <v>228</v>
      </c>
      <c r="D68" s="25" t="s">
        <v>26</v>
      </c>
      <c r="F68" s="25" t="s">
        <v>26</v>
      </c>
      <c r="G68" t="s">
        <v>193</v>
      </c>
      <c r="H68" t="s">
        <v>26</v>
      </c>
      <c r="K68" t="s">
        <v>3</v>
      </c>
      <c r="O68" s="4"/>
      <c r="P68" s="4"/>
    </row>
    <row r="69" spans="1:16">
      <c r="A69" t="s">
        <v>228</v>
      </c>
      <c r="B69" t="s">
        <v>228</v>
      </c>
      <c r="C69" t="s">
        <v>228</v>
      </c>
      <c r="D69" s="25" t="s">
        <v>26</v>
      </c>
      <c r="F69" s="25" t="s">
        <v>26</v>
      </c>
      <c r="G69" t="s">
        <v>193</v>
      </c>
      <c r="H69" t="s">
        <v>264</v>
      </c>
      <c r="K69" t="s">
        <v>3</v>
      </c>
      <c r="O69" s="4"/>
      <c r="P69" s="4"/>
    </row>
    <row r="70" spans="1:16">
      <c r="A70" t="s">
        <v>228</v>
      </c>
      <c r="B70" t="s">
        <v>228</v>
      </c>
      <c r="C70" t="s">
        <v>228</v>
      </c>
      <c r="D70" s="25" t="s">
        <v>26</v>
      </c>
      <c r="F70" s="25" t="s">
        <v>26</v>
      </c>
      <c r="G70" t="s">
        <v>193</v>
      </c>
      <c r="H70" t="s">
        <v>265</v>
      </c>
      <c r="K70" t="s">
        <v>3</v>
      </c>
      <c r="O70" s="4"/>
      <c r="P70" s="4"/>
    </row>
    <row r="71" spans="1:16">
      <c r="A71" t="s">
        <v>228</v>
      </c>
      <c r="B71" t="s">
        <v>228</v>
      </c>
      <c r="C71" t="s">
        <v>228</v>
      </c>
      <c r="D71" s="25" t="s">
        <v>26</v>
      </c>
      <c r="F71" s="25" t="s">
        <v>26</v>
      </c>
      <c r="G71" t="s">
        <v>193</v>
      </c>
      <c r="H71" t="s">
        <v>266</v>
      </c>
      <c r="K71" t="s">
        <v>3</v>
      </c>
      <c r="O71" s="4"/>
      <c r="P71" s="4"/>
    </row>
    <row r="72" spans="1:16">
      <c r="A72" t="s">
        <v>229</v>
      </c>
      <c r="B72" t="s">
        <v>229</v>
      </c>
      <c r="C72" t="s">
        <v>229</v>
      </c>
      <c r="D72" s="25" t="s">
        <v>26</v>
      </c>
      <c r="F72" s="25" t="s">
        <v>26</v>
      </c>
      <c r="G72" t="s">
        <v>324</v>
      </c>
      <c r="H72" t="s">
        <v>70</v>
      </c>
      <c r="K72" t="s">
        <v>3</v>
      </c>
      <c r="O72" s="4"/>
      <c r="P72" s="4"/>
    </row>
    <row r="73" spans="1:16">
      <c r="A73" t="s">
        <v>229</v>
      </c>
      <c r="B73" t="s">
        <v>229</v>
      </c>
      <c r="C73" t="s">
        <v>229</v>
      </c>
      <c r="D73" s="25" t="s">
        <v>26</v>
      </c>
      <c r="F73" s="25" t="s">
        <v>26</v>
      </c>
      <c r="G73" t="s">
        <v>324</v>
      </c>
      <c r="H73" t="s">
        <v>267</v>
      </c>
      <c r="K73" t="s">
        <v>3</v>
      </c>
      <c r="O73" s="4"/>
      <c r="P73" s="4"/>
    </row>
    <row r="74" spans="1:16">
      <c r="A74" t="s">
        <v>229</v>
      </c>
      <c r="B74" t="s">
        <v>229</v>
      </c>
      <c r="C74" t="s">
        <v>229</v>
      </c>
      <c r="D74" s="25" t="s">
        <v>26</v>
      </c>
      <c r="F74" s="25" t="s">
        <v>26</v>
      </c>
      <c r="G74" t="s">
        <v>324</v>
      </c>
      <c r="H74" t="s">
        <v>268</v>
      </c>
      <c r="K74" t="s">
        <v>3</v>
      </c>
      <c r="O74" s="4"/>
      <c r="P74" s="4"/>
    </row>
    <row r="75" spans="1:16">
      <c r="A75" t="s">
        <v>229</v>
      </c>
      <c r="B75" t="s">
        <v>229</v>
      </c>
      <c r="C75" t="s">
        <v>229</v>
      </c>
      <c r="D75" s="25" t="s">
        <v>26</v>
      </c>
      <c r="F75" s="25" t="s">
        <v>26</v>
      </c>
      <c r="G75" t="s">
        <v>324</v>
      </c>
      <c r="H75" t="s">
        <v>269</v>
      </c>
      <c r="K75" t="s">
        <v>3</v>
      </c>
      <c r="O75" s="4"/>
      <c r="P75" s="4"/>
    </row>
    <row r="76" spans="1:16">
      <c r="A76" t="s">
        <v>229</v>
      </c>
      <c r="B76" t="s">
        <v>229</v>
      </c>
      <c r="C76" t="s">
        <v>229</v>
      </c>
      <c r="D76" s="25" t="s">
        <v>26</v>
      </c>
      <c r="F76" s="25" t="s">
        <v>26</v>
      </c>
      <c r="G76" t="s">
        <v>324</v>
      </c>
      <c r="H76" t="s">
        <v>270</v>
      </c>
      <c r="K76" t="s">
        <v>3</v>
      </c>
      <c r="O76" s="4"/>
      <c r="P76" s="4"/>
    </row>
    <row r="77" spans="1:16">
      <c r="A77" t="s">
        <v>230</v>
      </c>
      <c r="B77" t="s">
        <v>230</v>
      </c>
      <c r="C77" t="s">
        <v>230</v>
      </c>
      <c r="D77" s="25" t="s">
        <v>26</v>
      </c>
      <c r="F77" s="25" t="s">
        <v>26</v>
      </c>
      <c r="G77" t="s">
        <v>325</v>
      </c>
      <c r="H77" t="s">
        <v>72</v>
      </c>
      <c r="K77" t="s">
        <v>3</v>
      </c>
      <c r="O77" s="4"/>
      <c r="P77" s="4"/>
    </row>
    <row r="78" spans="1:16">
      <c r="A78" t="s">
        <v>230</v>
      </c>
      <c r="B78" t="s">
        <v>230</v>
      </c>
      <c r="C78" t="s">
        <v>230</v>
      </c>
      <c r="D78" s="25" t="s">
        <v>26</v>
      </c>
      <c r="F78" s="25" t="s">
        <v>26</v>
      </c>
      <c r="G78" t="s">
        <v>325</v>
      </c>
      <c r="H78" t="s">
        <v>271</v>
      </c>
      <c r="K78" t="s">
        <v>3</v>
      </c>
      <c r="O78" s="4"/>
      <c r="P78" s="4"/>
    </row>
    <row r="79" spans="1:16">
      <c r="A79" t="s">
        <v>230</v>
      </c>
      <c r="B79" t="s">
        <v>230</v>
      </c>
      <c r="C79" t="s">
        <v>230</v>
      </c>
      <c r="D79" s="25" t="s">
        <v>26</v>
      </c>
      <c r="F79" s="25" t="s">
        <v>26</v>
      </c>
      <c r="G79" t="s">
        <v>325</v>
      </c>
      <c r="H79" t="s">
        <v>272</v>
      </c>
      <c r="K79" t="s">
        <v>3</v>
      </c>
      <c r="O79" s="4"/>
      <c r="P79" s="4"/>
    </row>
    <row r="80" spans="1:16">
      <c r="A80" t="s">
        <v>231</v>
      </c>
      <c r="B80" t="s">
        <v>231</v>
      </c>
      <c r="C80" t="s">
        <v>231</v>
      </c>
      <c r="D80" s="25" t="s">
        <v>31</v>
      </c>
      <c r="F80" s="25" t="s">
        <v>31</v>
      </c>
      <c r="G80" t="s">
        <v>193</v>
      </c>
      <c r="H80" t="s">
        <v>79</v>
      </c>
      <c r="K80" t="s">
        <v>68</v>
      </c>
      <c r="O80" s="4"/>
      <c r="P80" s="4"/>
    </row>
    <row r="81" spans="1:16">
      <c r="A81" t="s">
        <v>231</v>
      </c>
      <c r="B81" t="s">
        <v>231</v>
      </c>
      <c r="C81" t="s">
        <v>231</v>
      </c>
      <c r="D81" s="25" t="s">
        <v>31</v>
      </c>
      <c r="F81" s="25" t="s">
        <v>31</v>
      </c>
      <c r="G81" t="s">
        <v>193</v>
      </c>
      <c r="H81" t="s">
        <v>273</v>
      </c>
      <c r="K81" t="s">
        <v>68</v>
      </c>
      <c r="O81" s="4"/>
      <c r="P81" s="4"/>
    </row>
    <row r="82" spans="1:16">
      <c r="A82" t="s">
        <v>231</v>
      </c>
      <c r="B82" t="s">
        <v>231</v>
      </c>
      <c r="C82" t="s">
        <v>231</v>
      </c>
      <c r="D82" s="25" t="s">
        <v>31</v>
      </c>
      <c r="F82" s="25" t="s">
        <v>31</v>
      </c>
      <c r="G82" t="s">
        <v>193</v>
      </c>
      <c r="H82" t="s">
        <v>274</v>
      </c>
      <c r="K82" t="s">
        <v>68</v>
      </c>
      <c r="O82" s="4"/>
      <c r="P82" s="4"/>
    </row>
    <row r="83" spans="1:16">
      <c r="A83" t="s">
        <v>231</v>
      </c>
      <c r="B83" t="s">
        <v>231</v>
      </c>
      <c r="C83" t="s">
        <v>231</v>
      </c>
      <c r="D83" s="25" t="s">
        <v>31</v>
      </c>
      <c r="F83" s="25" t="s">
        <v>31</v>
      </c>
      <c r="G83" t="s">
        <v>193</v>
      </c>
      <c r="H83" t="s">
        <v>275</v>
      </c>
      <c r="K83" t="s">
        <v>68</v>
      </c>
      <c r="O83" s="4"/>
      <c r="P83" s="4"/>
    </row>
    <row r="84" spans="1:16">
      <c r="A84" t="s">
        <v>232</v>
      </c>
      <c r="B84" t="s">
        <v>232</v>
      </c>
      <c r="C84" t="s">
        <v>232</v>
      </c>
      <c r="D84" s="25" t="s">
        <v>31</v>
      </c>
      <c r="F84" s="25" t="s">
        <v>31</v>
      </c>
      <c r="G84" t="s">
        <v>196</v>
      </c>
      <c r="H84" t="s">
        <v>80</v>
      </c>
      <c r="K84" t="s">
        <v>3</v>
      </c>
      <c r="O84" s="4"/>
      <c r="P84" s="4"/>
    </row>
    <row r="85" spans="1:16">
      <c r="A85" t="s">
        <v>232</v>
      </c>
      <c r="B85" t="s">
        <v>232</v>
      </c>
      <c r="C85" t="s">
        <v>232</v>
      </c>
      <c r="D85" s="25" t="s">
        <v>31</v>
      </c>
      <c r="F85" s="25" t="s">
        <v>31</v>
      </c>
      <c r="G85" t="s">
        <v>196</v>
      </c>
      <c r="H85" t="s">
        <v>276</v>
      </c>
      <c r="K85" t="s">
        <v>3</v>
      </c>
      <c r="O85" s="4"/>
      <c r="P85" s="4"/>
    </row>
    <row r="86" spans="1:16">
      <c r="A86" t="s">
        <v>232</v>
      </c>
      <c r="B86" t="s">
        <v>232</v>
      </c>
      <c r="C86" t="s">
        <v>232</v>
      </c>
      <c r="D86" s="25" t="s">
        <v>31</v>
      </c>
      <c r="F86" s="25" t="s">
        <v>31</v>
      </c>
      <c r="G86" t="s">
        <v>196</v>
      </c>
      <c r="H86" t="s">
        <v>31</v>
      </c>
      <c r="K86" t="s">
        <v>3</v>
      </c>
      <c r="O86" s="4"/>
      <c r="P86" s="4"/>
    </row>
    <row r="87" spans="1:16">
      <c r="A87" t="s">
        <v>233</v>
      </c>
      <c r="B87" t="s">
        <v>233</v>
      </c>
      <c r="C87" t="s">
        <v>233</v>
      </c>
      <c r="D87" s="25" t="s">
        <v>237</v>
      </c>
      <c r="F87" s="25" t="s">
        <v>237</v>
      </c>
      <c r="G87" t="s">
        <v>193</v>
      </c>
      <c r="H87" t="s">
        <v>81</v>
      </c>
      <c r="K87" t="s">
        <v>3</v>
      </c>
      <c r="O87" s="4"/>
      <c r="P87" s="4"/>
    </row>
    <row r="88" spans="1:16">
      <c r="A88" t="s">
        <v>233</v>
      </c>
      <c r="B88" t="s">
        <v>233</v>
      </c>
      <c r="C88" t="s">
        <v>233</v>
      </c>
      <c r="D88" s="25" t="s">
        <v>237</v>
      </c>
      <c r="F88" s="25" t="s">
        <v>237</v>
      </c>
      <c r="G88" t="s">
        <v>193</v>
      </c>
      <c r="H88" t="s">
        <v>277</v>
      </c>
      <c r="K88" t="s">
        <v>3</v>
      </c>
      <c r="O88" s="4"/>
      <c r="P88" s="4"/>
    </row>
    <row r="89" spans="1:16">
      <c r="A89" t="s">
        <v>233</v>
      </c>
      <c r="B89" t="s">
        <v>233</v>
      </c>
      <c r="C89" t="s">
        <v>233</v>
      </c>
      <c r="D89" s="25" t="s">
        <v>237</v>
      </c>
      <c r="F89" s="25" t="s">
        <v>237</v>
      </c>
      <c r="G89" t="s">
        <v>193</v>
      </c>
      <c r="H89" t="s">
        <v>278</v>
      </c>
      <c r="K89" t="s">
        <v>3</v>
      </c>
      <c r="O89" s="4"/>
      <c r="P89" s="4"/>
    </row>
    <row r="90" spans="1:16">
      <c r="A90" t="s">
        <v>233</v>
      </c>
      <c r="B90" t="s">
        <v>233</v>
      </c>
      <c r="C90" t="s">
        <v>233</v>
      </c>
      <c r="D90" s="25" t="s">
        <v>237</v>
      </c>
      <c r="F90" s="25" t="s">
        <v>237</v>
      </c>
      <c r="G90" t="s">
        <v>193</v>
      </c>
      <c r="H90" t="s">
        <v>279</v>
      </c>
      <c r="K90" t="s">
        <v>3</v>
      </c>
      <c r="O90" s="4"/>
      <c r="P90" s="4"/>
    </row>
    <row r="91" spans="1:16">
      <c r="A91" t="s">
        <v>233</v>
      </c>
      <c r="B91" t="s">
        <v>233</v>
      </c>
      <c r="C91" t="s">
        <v>233</v>
      </c>
      <c r="D91" s="25" t="s">
        <v>237</v>
      </c>
      <c r="F91" s="25" t="s">
        <v>237</v>
      </c>
      <c r="G91" t="s">
        <v>193</v>
      </c>
      <c r="H91" t="s">
        <v>280</v>
      </c>
      <c r="K91" t="s">
        <v>3</v>
      </c>
      <c r="O91" s="4"/>
      <c r="P91" s="4"/>
    </row>
    <row r="92" spans="1:16">
      <c r="A92" t="s">
        <v>234</v>
      </c>
      <c r="B92" t="s">
        <v>234</v>
      </c>
      <c r="C92" t="s">
        <v>234</v>
      </c>
      <c r="D92" s="25" t="s">
        <v>237</v>
      </c>
      <c r="F92" s="25" t="s">
        <v>237</v>
      </c>
      <c r="G92" t="s">
        <v>195</v>
      </c>
      <c r="H92" t="s">
        <v>32</v>
      </c>
      <c r="K92" t="s">
        <v>3</v>
      </c>
      <c r="O92" s="4"/>
      <c r="P92" s="4"/>
    </row>
    <row r="93" spans="1:16">
      <c r="A93" t="s">
        <v>234</v>
      </c>
      <c r="B93" t="s">
        <v>234</v>
      </c>
      <c r="C93" t="s">
        <v>234</v>
      </c>
      <c r="D93" s="25" t="s">
        <v>237</v>
      </c>
      <c r="F93" s="25" t="s">
        <v>237</v>
      </c>
      <c r="G93" t="s">
        <v>195</v>
      </c>
      <c r="H93" t="s">
        <v>281</v>
      </c>
      <c r="K93" t="s">
        <v>3</v>
      </c>
      <c r="O93" s="4"/>
      <c r="P93" s="4"/>
    </row>
    <row r="94" spans="1:16">
      <c r="A94" t="s">
        <v>234</v>
      </c>
      <c r="B94" t="s">
        <v>234</v>
      </c>
      <c r="C94" t="s">
        <v>234</v>
      </c>
      <c r="D94" s="25" t="s">
        <v>237</v>
      </c>
      <c r="F94" s="25" t="s">
        <v>237</v>
      </c>
      <c r="G94" t="s">
        <v>195</v>
      </c>
      <c r="H94" t="s">
        <v>282</v>
      </c>
      <c r="K94" t="s">
        <v>3</v>
      </c>
      <c r="O94" s="4"/>
      <c r="P94" s="4"/>
    </row>
    <row r="95" spans="1:16">
      <c r="A95" t="s">
        <v>234</v>
      </c>
      <c r="B95" t="s">
        <v>234</v>
      </c>
      <c r="C95" t="s">
        <v>234</v>
      </c>
      <c r="D95" s="25" t="s">
        <v>237</v>
      </c>
      <c r="F95" s="25" t="s">
        <v>237</v>
      </c>
      <c r="G95" t="s">
        <v>195</v>
      </c>
      <c r="H95" t="s">
        <v>283</v>
      </c>
      <c r="K95" t="s">
        <v>3</v>
      </c>
      <c r="O95" s="4"/>
      <c r="P95" s="4"/>
    </row>
    <row r="96" spans="1:16">
      <c r="A96" t="s">
        <v>234</v>
      </c>
      <c r="B96" t="s">
        <v>234</v>
      </c>
      <c r="C96" t="s">
        <v>234</v>
      </c>
      <c r="D96" s="25" t="s">
        <v>237</v>
      </c>
      <c r="F96" s="25" t="s">
        <v>237</v>
      </c>
      <c r="G96" t="s">
        <v>195</v>
      </c>
      <c r="H96" t="s">
        <v>284</v>
      </c>
      <c r="K96" t="s">
        <v>3</v>
      </c>
      <c r="O96" s="4"/>
      <c r="P96" s="4"/>
    </row>
    <row r="97" spans="1:16">
      <c r="A97" t="s">
        <v>235</v>
      </c>
      <c r="B97" t="s">
        <v>235</v>
      </c>
      <c r="C97" t="s">
        <v>235</v>
      </c>
      <c r="D97" s="25" t="s">
        <v>33</v>
      </c>
      <c r="F97" s="25" t="s">
        <v>33</v>
      </c>
      <c r="G97" t="s">
        <v>195</v>
      </c>
      <c r="H97" t="s">
        <v>82</v>
      </c>
      <c r="K97" t="s">
        <v>3</v>
      </c>
      <c r="O97" s="4"/>
      <c r="P97" s="4"/>
    </row>
    <row r="98" spans="1:16">
      <c r="A98" t="s">
        <v>235</v>
      </c>
      <c r="B98" t="s">
        <v>235</v>
      </c>
      <c r="C98" t="s">
        <v>235</v>
      </c>
      <c r="D98" s="25" t="s">
        <v>33</v>
      </c>
      <c r="F98" s="25" t="s">
        <v>33</v>
      </c>
      <c r="G98" t="s">
        <v>195</v>
      </c>
      <c r="H98" t="s">
        <v>285</v>
      </c>
      <c r="K98" t="s">
        <v>3</v>
      </c>
      <c r="O98" s="4"/>
      <c r="P98" s="4"/>
    </row>
    <row r="99" spans="1:16">
      <c r="A99" t="s">
        <v>235</v>
      </c>
      <c r="B99" t="s">
        <v>235</v>
      </c>
      <c r="C99" t="s">
        <v>235</v>
      </c>
      <c r="D99" s="25" t="s">
        <v>33</v>
      </c>
      <c r="F99" s="25" t="s">
        <v>33</v>
      </c>
      <c r="G99" t="s">
        <v>195</v>
      </c>
      <c r="H99" t="s">
        <v>286</v>
      </c>
      <c r="K99" t="s">
        <v>3</v>
      </c>
      <c r="O99" s="4"/>
      <c r="P99" s="4"/>
    </row>
    <row r="100" spans="1:16">
      <c r="A100" t="s">
        <v>235</v>
      </c>
      <c r="B100" t="s">
        <v>235</v>
      </c>
      <c r="C100" t="s">
        <v>235</v>
      </c>
      <c r="D100" s="25" t="s">
        <v>33</v>
      </c>
      <c r="F100" s="25" t="s">
        <v>33</v>
      </c>
      <c r="G100" t="s">
        <v>195</v>
      </c>
      <c r="H100" t="s">
        <v>287</v>
      </c>
      <c r="K100" t="s">
        <v>3</v>
      </c>
      <c r="O100" s="4"/>
      <c r="P100" s="4"/>
    </row>
    <row r="101" spans="1:16">
      <c r="A101" t="s">
        <v>235</v>
      </c>
      <c r="B101" t="s">
        <v>235</v>
      </c>
      <c r="C101" t="s">
        <v>235</v>
      </c>
      <c r="D101" s="25" t="s">
        <v>33</v>
      </c>
      <c r="F101" s="25" t="s">
        <v>33</v>
      </c>
      <c r="G101" t="s">
        <v>195</v>
      </c>
      <c r="H101" t="s">
        <v>288</v>
      </c>
      <c r="K101" t="s">
        <v>3</v>
      </c>
      <c r="O101" s="4"/>
      <c r="P101" s="4"/>
    </row>
    <row r="102" spans="1:16">
      <c r="A102" t="s">
        <v>236</v>
      </c>
      <c r="B102" t="s">
        <v>236</v>
      </c>
      <c r="C102" t="s">
        <v>236</v>
      </c>
      <c r="D102" s="25" t="s">
        <v>31</v>
      </c>
      <c r="F102" s="25" t="s">
        <v>31</v>
      </c>
      <c r="G102" t="s">
        <v>196</v>
      </c>
      <c r="H102" t="s">
        <v>80</v>
      </c>
      <c r="K102" t="s">
        <v>3</v>
      </c>
      <c r="O102" s="4"/>
      <c r="P102" s="4"/>
    </row>
    <row r="103" spans="1:16">
      <c r="A103" t="s">
        <v>236</v>
      </c>
      <c r="B103" t="s">
        <v>236</v>
      </c>
      <c r="C103" t="s">
        <v>236</v>
      </c>
      <c r="D103" s="25" t="s">
        <v>31</v>
      </c>
      <c r="F103" s="25" t="s">
        <v>31</v>
      </c>
      <c r="G103" t="s">
        <v>196</v>
      </c>
      <c r="H103" t="s">
        <v>276</v>
      </c>
      <c r="K103" t="s">
        <v>3</v>
      </c>
      <c r="O103" s="4"/>
      <c r="P103" s="4"/>
    </row>
    <row r="104" spans="1:16">
      <c r="A104" t="s">
        <v>236</v>
      </c>
      <c r="B104" t="s">
        <v>236</v>
      </c>
      <c r="C104" t="s">
        <v>236</v>
      </c>
      <c r="D104" s="25" t="s">
        <v>31</v>
      </c>
      <c r="F104" s="25" t="s">
        <v>31</v>
      </c>
      <c r="G104" t="s">
        <v>196</v>
      </c>
      <c r="H104" t="s">
        <v>31</v>
      </c>
      <c r="K104" t="s">
        <v>3</v>
      </c>
      <c r="O104" s="4"/>
      <c r="P104" s="4"/>
    </row>
    <row r="105" spans="1:16">
      <c r="A105" s="5"/>
      <c r="O105" s="4"/>
      <c r="P105" s="4"/>
    </row>
    <row r="106" spans="1:16">
      <c r="A106" s="5"/>
      <c r="O106" s="4"/>
      <c r="P106" s="4"/>
    </row>
    <row r="107" spans="1:16">
      <c r="A107" s="5"/>
      <c r="O107" s="4"/>
      <c r="P107" s="4"/>
    </row>
    <row r="108" spans="1:16">
      <c r="A108" s="5"/>
      <c r="O108" s="4"/>
      <c r="P108" s="4"/>
    </row>
    <row r="109" spans="1:16">
      <c r="A109" s="5"/>
      <c r="O109" s="4"/>
      <c r="P109" s="4"/>
    </row>
    <row r="110" spans="1:16">
      <c r="A110" s="5"/>
      <c r="O110" s="4"/>
      <c r="P110" s="4"/>
    </row>
    <row r="111" spans="1:16">
      <c r="A111" s="5"/>
      <c r="O111" s="4"/>
      <c r="P111" s="4"/>
    </row>
    <row r="112" spans="1:16">
      <c r="A112" s="5"/>
      <c r="O112" s="4"/>
      <c r="P112" s="4"/>
    </row>
    <row r="113" spans="1:16">
      <c r="A113" s="5"/>
      <c r="O113" s="4"/>
      <c r="P113" s="4"/>
    </row>
    <row r="114" spans="1:16">
      <c r="A114" s="5"/>
      <c r="O114" s="4"/>
      <c r="P114" s="4"/>
    </row>
    <row r="115" spans="1:16">
      <c r="A115" s="5"/>
      <c r="O115" s="4"/>
      <c r="P115" s="4"/>
    </row>
    <row r="116" spans="1:16">
      <c r="A116" s="5"/>
      <c r="O116" s="4"/>
      <c r="P116" s="4"/>
    </row>
    <row r="117" spans="1:16">
      <c r="A117" s="5"/>
      <c r="O117" s="4"/>
      <c r="P117" s="4"/>
    </row>
    <row r="118" spans="1:16">
      <c r="A118" s="5"/>
      <c r="O118" s="4"/>
      <c r="P118" s="4"/>
    </row>
    <row r="119" spans="1:16">
      <c r="A119" s="5"/>
      <c r="O119" s="4"/>
      <c r="P119" s="4"/>
    </row>
    <row r="120" spans="1:16">
      <c r="A120" s="5"/>
      <c r="O120" s="4"/>
      <c r="P120" s="4"/>
    </row>
    <row r="121" spans="1:16">
      <c r="A121" s="5"/>
      <c r="O121" s="4"/>
      <c r="P121" s="4"/>
    </row>
    <row r="122" spans="1:16">
      <c r="A122" s="5"/>
      <c r="O122" s="4"/>
      <c r="P122" s="4"/>
    </row>
    <row r="123" spans="1:16">
      <c r="A123" s="5"/>
      <c r="O123" s="4"/>
      <c r="P123" s="4"/>
    </row>
    <row r="124" spans="1:16">
      <c r="A124" s="5"/>
      <c r="O124" s="4"/>
      <c r="P124" s="4"/>
    </row>
    <row r="125" spans="1:16">
      <c r="A125" s="5"/>
      <c r="O125" s="4"/>
      <c r="P125" s="4"/>
    </row>
    <row r="126" spans="1:16">
      <c r="A126" s="5"/>
      <c r="O126" s="4"/>
      <c r="P126" s="4"/>
    </row>
    <row r="127" spans="1:16">
      <c r="A127" s="5"/>
      <c r="O127" s="4"/>
      <c r="P127" s="4"/>
    </row>
    <row r="128" spans="1:16">
      <c r="A128" s="5"/>
      <c r="O128" s="4"/>
      <c r="P128" s="4"/>
    </row>
    <row r="129" spans="1:16">
      <c r="A129" s="5"/>
      <c r="O129" s="4"/>
      <c r="P129" s="4"/>
    </row>
    <row r="130" spans="1:16">
      <c r="A130" s="5"/>
      <c r="O130" s="4" t="str">
        <f>IF(A130="","",--(COUNTIF($A$2:A130,A130)=1))</f>
        <v/>
      </c>
      <c r="P130" s="4" t="str">
        <f>IF(A130="","",--(COUNTIFS($A$2:A130,A130,$F$2:F130,F130)=1))</f>
        <v/>
      </c>
    </row>
    <row r="131" spans="1:16">
      <c r="A131" s="5"/>
      <c r="O131" s="4" t="str">
        <f>IF(A131="","",--(COUNTIF($A$2:A131,A131)=1))</f>
        <v/>
      </c>
      <c r="P131" s="4" t="str">
        <f>IF(A131="","",--(COUNTIFS($A$2:A131,A131,$F$2:F131,F131)=1))</f>
        <v/>
      </c>
    </row>
    <row r="132" spans="1:16">
      <c r="A132" s="5"/>
      <c r="O132" s="4" t="str">
        <f>IF(A132="","",--(COUNTIF($A$2:A132,A132)=1))</f>
        <v/>
      </c>
      <c r="P132" s="4" t="str">
        <f>IF(A132="","",--(COUNTIFS($A$2:A132,A132,$F$2:F132,F132)=1))</f>
        <v/>
      </c>
    </row>
    <row r="133" spans="1:16">
      <c r="A133" s="5"/>
      <c r="O133" s="4" t="str">
        <f>IF(A133="","",--(COUNTIF($A$2:A133,A133)=1))</f>
        <v/>
      </c>
      <c r="P133" s="4" t="str">
        <f>IF(A133="","",--(COUNTIFS($A$2:A133,A133,$F$2:F133,F133)=1))</f>
        <v/>
      </c>
    </row>
    <row r="134" spans="1:16">
      <c r="A134" s="5"/>
      <c r="O134" s="4" t="str">
        <f>IF(A134="","",--(COUNTIF($A$2:A134,A134)=1))</f>
        <v/>
      </c>
      <c r="P134" s="4" t="str">
        <f>IF(A134="","",--(COUNTIFS($A$2:A134,A134,$F$2:F134,F134)=1))</f>
        <v/>
      </c>
    </row>
    <row r="135" spans="1:16">
      <c r="A135" s="5"/>
      <c r="O135" s="4" t="str">
        <f>IF(A135="","",--(COUNTIF($A$2:A135,A135)=1))</f>
        <v/>
      </c>
      <c r="P135" s="4" t="str">
        <f>IF(A135="","",--(COUNTIFS($A$2:A135,A135,$F$2:F135,F135)=1))</f>
        <v/>
      </c>
    </row>
    <row r="136" spans="1:16">
      <c r="A136" s="5"/>
      <c r="O136" s="4" t="str">
        <f>IF(A136="","",--(COUNTIF($A$2:A136,A136)=1))</f>
        <v/>
      </c>
      <c r="P136" s="4" t="str">
        <f>IF(A136="","",--(COUNTIFS($A$2:A136,A136,$F$2:F136,F136)=1))</f>
        <v/>
      </c>
    </row>
    <row r="137" spans="1:16">
      <c r="A137" s="5"/>
      <c r="O137" s="4" t="str">
        <f>IF(A137="","",--(COUNTIF($A$2:A137,A137)=1))</f>
        <v/>
      </c>
      <c r="P137" s="4" t="str">
        <f>IF(A137="","",--(COUNTIFS($A$2:A137,A137,$F$2:F137,F137)=1))</f>
        <v/>
      </c>
    </row>
    <row r="138" spans="1:16">
      <c r="A138" s="5"/>
      <c r="O138" s="4" t="str">
        <f>IF(A138="","",--(COUNTIF($A$2:A138,A138)=1))</f>
        <v/>
      </c>
      <c r="P138" s="4" t="str">
        <f>IF(A138="","",--(COUNTIFS($A$2:A138,A138,$F$2:F138,F138)=1))</f>
        <v/>
      </c>
    </row>
    <row r="139" spans="1:16">
      <c r="A139" s="5"/>
      <c r="O139" s="4" t="str">
        <f>IF(A139="","",--(COUNTIF($A$2:A139,A139)=1))</f>
        <v/>
      </c>
      <c r="P139" s="4" t="str">
        <f>IF(A139="","",--(COUNTIFS($A$2:A139,A139,$F$2:F139,F139)=1))</f>
        <v/>
      </c>
    </row>
    <row r="140" spans="1:16">
      <c r="A140" s="5"/>
      <c r="O140" s="4" t="str">
        <f>IF(A140="","",--(COUNTIF($A$2:A140,A140)=1))</f>
        <v/>
      </c>
      <c r="P140" s="4" t="str">
        <f>IF(A140="","",--(COUNTIFS($A$2:A140,A140,$F$2:F140,F140)=1))</f>
        <v/>
      </c>
    </row>
    <row r="141" spans="1:16">
      <c r="A141" s="5"/>
      <c r="O141" s="4" t="str">
        <f>IF(A141="","",--(COUNTIF($A$2:A141,A141)=1))</f>
        <v/>
      </c>
      <c r="P141" s="4" t="str">
        <f>IF(A141="","",--(COUNTIFS($A$2:A141,A141,$F$2:F141,F141)=1))</f>
        <v/>
      </c>
    </row>
    <row r="142" spans="1:16">
      <c r="A142" s="5"/>
      <c r="O142" s="4" t="str">
        <f>IF(A142="","",--(COUNTIF($A$2:A142,A142)=1))</f>
        <v/>
      </c>
      <c r="P142" s="4" t="str">
        <f>IF(A142="","",--(COUNTIFS($A$2:A142,A142,$F$2:F142,F142)=1))</f>
        <v/>
      </c>
    </row>
    <row r="143" spans="1:16">
      <c r="A143" s="5"/>
      <c r="O143" s="4" t="str">
        <f>IF(A143="","",--(COUNTIF($A$2:A143,A143)=1))</f>
        <v/>
      </c>
      <c r="P143" s="4" t="str">
        <f>IF(A143="","",--(COUNTIFS($A$2:A143,A143,$F$2:F143,F143)=1))</f>
        <v/>
      </c>
    </row>
    <row r="144" spans="1:16">
      <c r="A144" s="5"/>
      <c r="O144" s="4" t="str">
        <f>IF(A144="","",--(COUNTIF($A$2:A144,A144)=1))</f>
        <v/>
      </c>
      <c r="P144" s="4" t="str">
        <f>IF(A144="","",--(COUNTIFS($A$2:A144,A144,$F$2:F144,F144)=1))</f>
        <v/>
      </c>
    </row>
    <row r="145" spans="1:16">
      <c r="A145" s="5"/>
      <c r="O145" s="4" t="str">
        <f>IF(A145="","",--(COUNTIF($A$2:A145,A145)=1))</f>
        <v/>
      </c>
      <c r="P145" s="4" t="str">
        <f>IF(A145="","",--(COUNTIFS($A$2:A145,A145,$F$2:F145,F145)=1))</f>
        <v/>
      </c>
    </row>
    <row r="146" spans="1:16">
      <c r="A146" s="5"/>
      <c r="O146" s="4" t="str">
        <f>IF(A146="","",--(COUNTIF($A$2:A146,A146)=1))</f>
        <v/>
      </c>
      <c r="P146" s="4" t="str">
        <f>IF(A146="","",--(COUNTIFS($A$2:A146,A146,$F$2:F146,F146)=1))</f>
        <v/>
      </c>
    </row>
    <row r="147" spans="1:16">
      <c r="A147" s="5"/>
      <c r="O147" s="4" t="str">
        <f>IF(A147="","",--(COUNTIF($A$2:A147,A147)=1))</f>
        <v/>
      </c>
      <c r="P147" s="4" t="str">
        <f>IF(A147="","",--(COUNTIFS($A$2:A147,A147,$F$2:F147,F147)=1))</f>
        <v/>
      </c>
    </row>
    <row r="148" spans="1:16">
      <c r="A148" s="5"/>
      <c r="O148" s="4" t="str">
        <f>IF(A148="","",--(COUNTIF($A$2:A148,A148)=1))</f>
        <v/>
      </c>
      <c r="P148" s="4" t="str">
        <f>IF(A148="","",--(COUNTIFS($A$2:A148,A148,$F$2:F148,F148)=1))</f>
        <v/>
      </c>
    </row>
    <row r="149" spans="1:16">
      <c r="A149" s="5"/>
      <c r="O149" s="4" t="str">
        <f>IF(A149="","",--(COUNTIF($A$2:A149,A149)=1))</f>
        <v/>
      </c>
      <c r="P149" s="4" t="str">
        <f>IF(A149="","",--(COUNTIFS($A$2:A149,A149,$F$2:F149,F149)=1))</f>
        <v/>
      </c>
    </row>
    <row r="150" spans="1:16">
      <c r="A150" s="5"/>
      <c r="O150" s="4" t="str">
        <f>IF(A150="","",--(COUNTIF($A$2:A150,A150)=1))</f>
        <v/>
      </c>
      <c r="P150" s="4" t="str">
        <f>IF(A150="","",--(COUNTIFS($A$2:A150,A150,$F$2:F150,F150)=1))</f>
        <v/>
      </c>
    </row>
    <row r="151" spans="1:16">
      <c r="A151" s="5"/>
      <c r="O151" s="4" t="str">
        <f>IF(A151="","",--(COUNTIF($A$2:A151,A151)=1))</f>
        <v/>
      </c>
      <c r="P151" s="4" t="str">
        <f>IF(A151="","",--(COUNTIFS($A$2:A151,A151,$F$2:F151,F151)=1))</f>
        <v/>
      </c>
    </row>
    <row r="152" spans="1:16">
      <c r="A152" s="5"/>
      <c r="O152" s="4" t="str">
        <f>IF(A152="","",--(COUNTIF($A$2:A152,A152)=1))</f>
        <v/>
      </c>
      <c r="P152" s="4" t="str">
        <f>IF(A152="","",--(COUNTIFS($A$2:A152,A152,$F$2:F152,F152)=1))</f>
        <v/>
      </c>
    </row>
    <row r="153" spans="1:16">
      <c r="A153" s="5"/>
      <c r="O153" s="4" t="str">
        <f>IF(A153="","",--(COUNTIF($A$2:A153,A153)=1))</f>
        <v/>
      </c>
      <c r="P153" s="4" t="str">
        <f>IF(A153="","",--(COUNTIFS($A$2:A153,A153,$F$2:F153,F153)=1))</f>
        <v/>
      </c>
    </row>
    <row r="154" spans="1:16">
      <c r="A154" s="5"/>
      <c r="O154" s="4" t="str">
        <f>IF(A154="","",--(COUNTIF($A$2:A154,A154)=1))</f>
        <v/>
      </c>
      <c r="P154" s="4" t="str">
        <f>IF(A154="","",--(COUNTIFS($A$2:A154,A154,$F$2:F154,F154)=1))</f>
        <v/>
      </c>
    </row>
    <row r="155" spans="1:16">
      <c r="A155" s="5"/>
      <c r="O155" s="4" t="str">
        <f>IF(A155="","",--(COUNTIF($A$2:A155,A155)=1))</f>
        <v/>
      </c>
      <c r="P155" s="4" t="str">
        <f>IF(A155="","",--(COUNTIFS($A$2:A155,A155,$F$2:F155,F155)=1))</f>
        <v/>
      </c>
    </row>
    <row r="156" spans="1:16">
      <c r="A156" s="5"/>
      <c r="O156" s="4" t="str">
        <f>IF(A156="","",--(COUNTIF($A$2:A156,A156)=1))</f>
        <v/>
      </c>
      <c r="P156" s="4" t="str">
        <f>IF(A156="","",--(COUNTIFS($A$2:A156,A156,$F$2:F156,F156)=1))</f>
        <v/>
      </c>
    </row>
    <row r="157" spans="1:16">
      <c r="A157" s="5"/>
      <c r="O157" s="4" t="str">
        <f>IF(A157="","",--(COUNTIF($A$2:A157,A157)=1))</f>
        <v/>
      </c>
      <c r="P157" s="4" t="str">
        <f>IF(A157="","",--(COUNTIFS($A$2:A157,A157,$F$2:F157,F157)=1))</f>
        <v/>
      </c>
    </row>
    <row r="158" spans="1:16">
      <c r="A158" s="5"/>
      <c r="O158" s="4" t="str">
        <f>IF(A158="","",--(COUNTIF($A$2:A158,A158)=1))</f>
        <v/>
      </c>
      <c r="P158" s="4" t="str">
        <f>IF(A158="","",--(COUNTIFS($A$2:A158,A158,$F$2:F158,F158)=1))</f>
        <v/>
      </c>
    </row>
    <row r="159" spans="1:16">
      <c r="A159" s="5"/>
      <c r="O159" s="4" t="str">
        <f>IF(A159="","",--(COUNTIF($A$2:A159,A159)=1))</f>
        <v/>
      </c>
      <c r="P159" s="4" t="str">
        <f>IF(A159="","",--(COUNTIFS($A$2:A159,A159,$F$2:F159,F159)=1))</f>
        <v/>
      </c>
    </row>
    <row r="160" spans="1:16">
      <c r="A160" s="5"/>
      <c r="O160" s="4" t="str">
        <f>IF(A160="","",--(COUNTIF($A$2:A160,A160)=1))</f>
        <v/>
      </c>
      <c r="P160" s="4" t="str">
        <f>IF(A160="","",--(COUNTIFS($A$2:A160,A160,$F$2:F160,F160)=1))</f>
        <v/>
      </c>
    </row>
    <row r="161" spans="1:16">
      <c r="A161" s="5"/>
      <c r="O161" s="4" t="str">
        <f>IF(A161="","",--(COUNTIF($A$2:A161,A161)=1))</f>
        <v/>
      </c>
      <c r="P161" s="4" t="str">
        <f>IF(A161="","",--(COUNTIFS($A$2:A161,A161,$F$2:F161,F161)=1))</f>
        <v/>
      </c>
    </row>
    <row r="162" spans="1:16">
      <c r="A162" s="5"/>
      <c r="O162" s="4" t="str">
        <f>IF(A162="","",--(COUNTIF($A$2:A162,A162)=1))</f>
        <v/>
      </c>
      <c r="P162" s="4" t="str">
        <f>IF(A162="","",--(COUNTIFS($A$2:A162,A162,$F$2:F162,F162)=1))</f>
        <v/>
      </c>
    </row>
    <row r="163" spans="1:16">
      <c r="A163" s="5"/>
      <c r="O163" s="4" t="str">
        <f>IF(A163="","",--(COUNTIF($A$2:A163,A163)=1))</f>
        <v/>
      </c>
      <c r="P163" s="4" t="str">
        <f>IF(A163="","",--(COUNTIFS($A$2:A163,A163,$F$2:F163,F163)=1))</f>
        <v/>
      </c>
    </row>
    <row r="164" spans="1:16">
      <c r="A164" s="5"/>
      <c r="O164" s="4" t="str">
        <f>IF(A164="","",--(COUNTIF($A$2:A164,A164)=1))</f>
        <v/>
      </c>
      <c r="P164" s="4" t="str">
        <f>IF(A164="","",--(COUNTIFS($A$2:A164,A164,$F$2:F164,F164)=1))</f>
        <v/>
      </c>
    </row>
    <row r="165" spans="1:16">
      <c r="A165" s="5"/>
      <c r="O165" s="4" t="str">
        <f>IF(A165="","",--(COUNTIF($A$2:A165,A165)=1))</f>
        <v/>
      </c>
      <c r="P165" s="4" t="str">
        <f>IF(A165="","",--(COUNTIFS($A$2:A165,A165,$F$2:F165,F165)=1))</f>
        <v/>
      </c>
    </row>
    <row r="166" spans="1:16">
      <c r="A166" s="5"/>
      <c r="O166" s="4" t="str">
        <f>IF(A166="","",--(COUNTIF($A$2:A166,A166)=1))</f>
        <v/>
      </c>
      <c r="P166" s="4" t="str">
        <f>IF(A166="","",--(COUNTIFS($A$2:A166,A166,$F$2:F166,F166)=1))</f>
        <v/>
      </c>
    </row>
    <row r="167" spans="1:16">
      <c r="A167" s="5"/>
      <c r="O167" s="4" t="str">
        <f>IF(A167="","",--(COUNTIF($A$2:A167,A167)=1))</f>
        <v/>
      </c>
      <c r="P167" s="4" t="str">
        <f>IF(A167="","",--(COUNTIFS($A$2:A167,A167,$F$2:F167,F167)=1))</f>
        <v/>
      </c>
    </row>
    <row r="168" spans="1:16">
      <c r="A168" s="5"/>
      <c r="O168" s="4" t="str">
        <f>IF(A168="","",--(COUNTIF($A$2:A168,A168)=1))</f>
        <v/>
      </c>
      <c r="P168" s="4" t="str">
        <f>IF(A168="","",--(COUNTIFS($A$2:A168,A168,$F$2:F168,F168)=1))</f>
        <v/>
      </c>
    </row>
    <row r="169" spans="1:16">
      <c r="A169" s="5"/>
      <c r="O169" s="4" t="str">
        <f>IF(A169="","",--(COUNTIF($A$2:A169,A169)=1))</f>
        <v/>
      </c>
      <c r="P169" s="4" t="str">
        <f>IF(A169="","",--(COUNTIFS($A$2:A169,A169,$F$2:F169,F169)=1))</f>
        <v/>
      </c>
    </row>
    <row r="170" spans="1:16">
      <c r="A170" s="5"/>
      <c r="O170" s="4" t="str">
        <f>IF(A170="","",--(COUNTIF($A$2:A170,A170)=1))</f>
        <v/>
      </c>
      <c r="P170" s="4" t="str">
        <f>IF(A170="","",--(COUNTIFS($A$2:A170,A170,$F$2:F170,F170)=1))</f>
        <v/>
      </c>
    </row>
    <row r="171" spans="1:16">
      <c r="A171" s="5"/>
      <c r="O171" s="4" t="str">
        <f>IF(A171="","",--(COUNTIF($A$2:A171,A171)=1))</f>
        <v/>
      </c>
      <c r="P171" s="4" t="str">
        <f>IF(A171="","",--(COUNTIFS($A$2:A171,A171,$F$2:F171,F171)=1))</f>
        <v/>
      </c>
    </row>
    <row r="172" spans="1:16">
      <c r="A172" s="5"/>
      <c r="O172" s="4" t="str">
        <f>IF(A172="","",--(COUNTIF($A$2:A172,A172)=1))</f>
        <v/>
      </c>
      <c r="P172" s="4" t="str">
        <f>IF(A172="","",--(COUNTIFS($A$2:A172,A172,$F$2:F172,F172)=1))</f>
        <v/>
      </c>
    </row>
    <row r="173" spans="1:16">
      <c r="A173" s="5"/>
      <c r="O173" s="4" t="str">
        <f>IF(A173="","",--(COUNTIF($A$2:A173,A173)=1))</f>
        <v/>
      </c>
      <c r="P173" s="4" t="str">
        <f>IF(A173="","",--(COUNTIFS($A$2:A173,A173,$F$2:F173,F173)=1))</f>
        <v/>
      </c>
    </row>
    <row r="174" spans="1:16">
      <c r="A174" s="5"/>
      <c r="O174" s="4" t="str">
        <f>IF(A174="","",--(COUNTIF($A$2:A174,A174)=1))</f>
        <v/>
      </c>
      <c r="P174" s="4" t="str">
        <f>IF(A174="","",--(COUNTIFS($A$2:A174,A174,$F$2:F174,F174)=1))</f>
        <v/>
      </c>
    </row>
    <row r="175" spans="1:16">
      <c r="A175" s="5"/>
      <c r="O175" s="4" t="str">
        <f>IF(A175="","",--(COUNTIF($A$2:A175,A175)=1))</f>
        <v/>
      </c>
      <c r="P175" s="4" t="str">
        <f>IF(A175="","",--(COUNTIFS($A$2:A175,A175,$F$2:F175,F175)=1))</f>
        <v/>
      </c>
    </row>
    <row r="176" spans="1:16">
      <c r="A176" s="5"/>
      <c r="O176" s="4" t="str">
        <f>IF(A176="","",--(COUNTIF($A$2:A176,A176)=1))</f>
        <v/>
      </c>
      <c r="P176" s="4" t="str">
        <f>IF(A176="","",--(COUNTIFS($A$2:A176,A176,$F$2:F176,F176)=1))</f>
        <v/>
      </c>
    </row>
    <row r="177" spans="1:16">
      <c r="A177" s="5"/>
      <c r="O177" s="4" t="str">
        <f>IF(A177="","",--(COUNTIF($A$2:A177,A177)=1))</f>
        <v/>
      </c>
      <c r="P177" s="4" t="str">
        <f>IF(A177="","",--(COUNTIFS($A$2:A177,A177,$F$2:F177,F177)=1))</f>
        <v/>
      </c>
    </row>
    <row r="178" spans="1:16">
      <c r="A178" s="5"/>
      <c r="O178" s="4" t="str">
        <f>IF(A178="","",--(COUNTIF($A$2:A178,A178)=1))</f>
        <v/>
      </c>
      <c r="P178" s="4" t="str">
        <f>IF(A178="","",--(COUNTIFS($A$2:A178,A178,$F$2:F178,F178)=1))</f>
        <v/>
      </c>
    </row>
    <row r="179" spans="1:16">
      <c r="A179" s="5"/>
      <c r="O179" s="4" t="str">
        <f>IF(A179="","",--(COUNTIF($A$2:A179,A179)=1))</f>
        <v/>
      </c>
      <c r="P179" s="4" t="str">
        <f>IF(A179="","",--(COUNTIFS($A$2:A179,A179,$F$2:F179,F179)=1))</f>
        <v/>
      </c>
    </row>
    <row r="180" spans="1:16">
      <c r="A180" s="5"/>
      <c r="O180" s="4" t="str">
        <f>IF(A180="","",--(COUNTIF($A$2:A180,A180)=1))</f>
        <v/>
      </c>
      <c r="P180" s="4" t="str">
        <f>IF(A180="","",--(COUNTIFS($A$2:A180,A180,$F$2:F180,F180)=1))</f>
        <v/>
      </c>
    </row>
    <row r="181" spans="1:16">
      <c r="A181" s="5"/>
      <c r="O181" s="4" t="str">
        <f>IF(A181="","",--(COUNTIF($A$2:A181,A181)=1))</f>
        <v/>
      </c>
      <c r="P181" s="4" t="str">
        <f>IF(A181="","",--(COUNTIFS($A$2:A181,A181,$F$2:F181,F181)=1))</f>
        <v/>
      </c>
    </row>
    <row r="182" spans="1:16">
      <c r="A182" s="5"/>
      <c r="O182" s="4" t="str">
        <f>IF(A182="","",--(COUNTIF($A$2:A182,A182)=1))</f>
        <v/>
      </c>
      <c r="P182" s="4" t="str">
        <f>IF(A182="","",--(COUNTIFS($A$2:A182,A182,$F$2:F182,F182)=1))</f>
        <v/>
      </c>
    </row>
    <row r="183" spans="1:16">
      <c r="A183" s="5"/>
      <c r="O183" s="4" t="str">
        <f>IF(A183="","",--(COUNTIF($A$2:A183,A183)=1))</f>
        <v/>
      </c>
      <c r="P183" s="4" t="str">
        <f>IF(A183="","",--(COUNTIFS($A$2:A183,A183,$F$2:F183,F183)=1))</f>
        <v/>
      </c>
    </row>
    <row r="184" spans="1:16">
      <c r="A184" s="5"/>
      <c r="O184" s="4" t="str">
        <f>IF(A184="","",--(COUNTIF($A$2:A184,A184)=1))</f>
        <v/>
      </c>
      <c r="P184" s="4" t="str">
        <f>IF(A184="","",--(COUNTIFS($A$2:A184,A184,$F$2:F184,F184)=1))</f>
        <v/>
      </c>
    </row>
    <row r="185" spans="1:16">
      <c r="A185" s="5"/>
      <c r="O185" s="4" t="str">
        <f>IF(A185="","",--(COUNTIF($A$2:A185,A185)=1))</f>
        <v/>
      </c>
      <c r="P185" s="4" t="str">
        <f>IF(A185="","",--(COUNTIFS($A$2:A185,A185,$F$2:F185,F185)=1))</f>
        <v/>
      </c>
    </row>
    <row r="186" spans="1:16">
      <c r="A186" s="5"/>
      <c r="O186" s="4" t="str">
        <f>IF(A186="","",--(COUNTIF($A$2:A186,A186)=1))</f>
        <v/>
      </c>
      <c r="P186" s="4" t="str">
        <f>IF(A186="","",--(COUNTIFS($A$2:A186,A186,$F$2:F186,F186)=1))</f>
        <v/>
      </c>
    </row>
    <row r="187" spans="1:16">
      <c r="A187" s="5"/>
      <c r="O187" s="4" t="str">
        <f>IF(A187="","",--(COUNTIF($A$2:A187,A187)=1))</f>
        <v/>
      </c>
      <c r="P187" s="4" t="str">
        <f>IF(A187="","",--(COUNTIFS($A$2:A187,A187,$F$2:F187,F187)=1))</f>
        <v/>
      </c>
    </row>
    <row r="188" spans="1:16">
      <c r="A188" s="5"/>
      <c r="O188" s="4" t="str">
        <f>IF(A188="","",--(COUNTIF($A$2:A188,A188)=1))</f>
        <v/>
      </c>
      <c r="P188" s="4" t="str">
        <f>IF(A188="","",--(COUNTIFS($A$2:A188,A188,$F$2:F188,F188)=1))</f>
        <v/>
      </c>
    </row>
    <row r="189" spans="1:16">
      <c r="A189" s="5"/>
      <c r="O189" s="4" t="str">
        <f>IF(A189="","",--(COUNTIF($A$2:A189,A189)=1))</f>
        <v/>
      </c>
      <c r="P189" s="4" t="str">
        <f>IF(A189="","",--(COUNTIFS($A$2:A189,A189,$F$2:F189,F189)=1))</f>
        <v/>
      </c>
    </row>
    <row r="190" spans="1:16">
      <c r="A190" s="5"/>
      <c r="O190" s="4" t="str">
        <f>IF(A190="","",--(COUNTIF($A$2:A190,A190)=1))</f>
        <v/>
      </c>
      <c r="P190" s="4" t="str">
        <f>IF(A190="","",--(COUNTIFS($A$2:A190,A190,$F$2:F190,F190)=1))</f>
        <v/>
      </c>
    </row>
    <row r="191" spans="1:16">
      <c r="A191" s="5"/>
      <c r="O191" s="4" t="str">
        <f>IF(A191="","",--(COUNTIF($A$2:A191,A191)=1))</f>
        <v/>
      </c>
      <c r="P191" s="4" t="str">
        <f>IF(A191="","",--(COUNTIFS($A$2:A191,A191,$F$2:F191,F191)=1))</f>
        <v/>
      </c>
    </row>
    <row r="192" spans="1:16">
      <c r="A192" s="5"/>
      <c r="O192" s="4" t="str">
        <f>IF(A192="","",--(COUNTIF($A$2:A192,A192)=1))</f>
        <v/>
      </c>
      <c r="P192" s="4" t="str">
        <f>IF(A192="","",--(COUNTIFS($A$2:A192,A192,$F$2:F192,F192)=1))</f>
        <v/>
      </c>
    </row>
    <row r="193" spans="1:16">
      <c r="A193" s="5"/>
      <c r="O193" s="4" t="str">
        <f>IF(A193="","",--(COUNTIF($A$2:A193,A193)=1))</f>
        <v/>
      </c>
      <c r="P193" s="4" t="str">
        <f>IF(A193="","",--(COUNTIFS($A$2:A193,A193,$F$2:F193,F193)=1))</f>
        <v/>
      </c>
    </row>
    <row r="194" spans="1:16">
      <c r="A194" s="5"/>
      <c r="O194" s="4" t="str">
        <f>IF(A194="","",--(COUNTIF($A$2:A194,A194)=1))</f>
        <v/>
      </c>
      <c r="P194" s="4" t="str">
        <f>IF(A194="","",--(COUNTIFS($A$2:A194,A194,$F$2:F194,F194)=1))</f>
        <v/>
      </c>
    </row>
    <row r="195" spans="1:16">
      <c r="A195" s="5"/>
      <c r="O195" s="4" t="str">
        <f>IF(A195="","",--(COUNTIF($A$2:A195,A195)=1))</f>
        <v/>
      </c>
      <c r="P195" s="4" t="str">
        <f>IF(A195="","",--(COUNTIFS($A$2:A195,A195,$F$2:F195,F195)=1))</f>
        <v/>
      </c>
    </row>
    <row r="196" spans="1:16">
      <c r="A196" s="5"/>
      <c r="O196" s="4" t="str">
        <f>IF(A196="","",--(COUNTIF($A$2:A196,A196)=1))</f>
        <v/>
      </c>
      <c r="P196" s="4" t="str">
        <f>IF(A196="","",--(COUNTIFS($A$2:A196,A196,$F$2:F196,F196)=1))</f>
        <v/>
      </c>
    </row>
    <row r="197" spans="1:16">
      <c r="A197" s="5"/>
      <c r="O197" s="4" t="str">
        <f>IF(A197="","",--(COUNTIF($A$2:A197,A197)=1))</f>
        <v/>
      </c>
      <c r="P197" s="4" t="str">
        <f>IF(A197="","",--(COUNTIFS($A$2:A197,A197,$F$2:F197,F197)=1))</f>
        <v/>
      </c>
    </row>
    <row r="198" spans="1:16">
      <c r="A198" s="5"/>
      <c r="O198" s="4" t="str">
        <f>IF(A198="","",--(COUNTIF($A$2:A198,A198)=1))</f>
        <v/>
      </c>
      <c r="P198" s="4" t="str">
        <f>IF(A198="","",--(COUNTIFS($A$2:A198,A198,$F$2:F198,F198)=1))</f>
        <v/>
      </c>
    </row>
    <row r="199" spans="1:16">
      <c r="A199" s="5"/>
      <c r="O199" s="4" t="str">
        <f>IF(A199="","",--(COUNTIF($A$2:A199,A199)=1))</f>
        <v/>
      </c>
      <c r="P199" s="4" t="str">
        <f>IF(A199="","",--(COUNTIFS($A$2:A199,A199,$F$2:F199,F199)=1))</f>
        <v/>
      </c>
    </row>
    <row r="200" spans="1:16">
      <c r="A200" s="5"/>
      <c r="O200" s="4" t="str">
        <f>IF(A200="","",--(COUNTIF($A$2:A200,A200)=1))</f>
        <v/>
      </c>
      <c r="P200" s="4" t="str">
        <f>IF(A200="","",--(COUNTIFS($A$2:A200,A200,$F$2:F200,F200)=1))</f>
        <v/>
      </c>
    </row>
    <row r="201" spans="1:16">
      <c r="A201" s="5"/>
      <c r="O201" s="4" t="str">
        <f>IF(A201="","",--(COUNTIF($A$2:A201,A201)=1))</f>
        <v/>
      </c>
      <c r="P201" s="4" t="str">
        <f>IF(A201="","",--(COUNTIFS($A$2:A201,A201,$F$2:F201,F201)=1))</f>
        <v/>
      </c>
    </row>
    <row r="202" spans="1:16">
      <c r="A202" s="5"/>
      <c r="O202" s="4" t="str">
        <f>IF(A202="","",--(COUNTIF($A$2:A202,A202)=1))</f>
        <v/>
      </c>
      <c r="P202" s="4" t="str">
        <f>IF(A202="","",--(COUNTIFS($A$2:A202,A202,$F$2:F202,F202)=1))</f>
        <v/>
      </c>
    </row>
    <row r="203" spans="1:16">
      <c r="A203" s="5"/>
      <c r="O203" s="4" t="str">
        <f>IF(A203="","",--(COUNTIF($A$2:A203,A203)=1))</f>
        <v/>
      </c>
      <c r="P203" s="4" t="str">
        <f>IF(A203="","",--(COUNTIFS($A$2:A203,A203,$F$2:F203,F203)=1))</f>
        <v/>
      </c>
    </row>
    <row r="204" spans="1:16">
      <c r="A204" s="5"/>
      <c r="O204" s="4" t="str">
        <f>IF(A204="","",--(COUNTIF($A$2:A204,A204)=1))</f>
        <v/>
      </c>
      <c r="P204" s="4" t="str">
        <f>IF(A204="","",--(COUNTIFS($A$2:A204,A204,$F$2:F204,F204)=1))</f>
        <v/>
      </c>
    </row>
    <row r="205" spans="1:16">
      <c r="A205" s="5"/>
      <c r="O205" s="4" t="str">
        <f>IF(A205="","",--(COUNTIF($A$2:A205,A205)=1))</f>
        <v/>
      </c>
      <c r="P205" s="4" t="str">
        <f>IF(A205="","",--(COUNTIFS($A$2:A205,A205,$F$2:F205,F205)=1))</f>
        <v/>
      </c>
    </row>
    <row r="206" spans="1:16">
      <c r="A206" s="5"/>
      <c r="O206" s="4" t="str">
        <f>IF(A206="","",--(COUNTIF($A$2:A206,A206)=1))</f>
        <v/>
      </c>
      <c r="P206" s="4" t="str">
        <f>IF(A206="","",--(COUNTIFS($A$2:A206,A206,$F$2:F206,F206)=1))</f>
        <v/>
      </c>
    </row>
    <row r="207" spans="1:16">
      <c r="A207" s="5"/>
      <c r="O207" s="4" t="str">
        <f>IF(A207="","",--(COUNTIF($A$2:A207,A207)=1))</f>
        <v/>
      </c>
      <c r="P207" s="4" t="str">
        <f>IF(A207="","",--(COUNTIFS($A$2:A207,A207,$F$2:F207,F207)=1))</f>
        <v/>
      </c>
    </row>
    <row r="208" spans="1:16">
      <c r="A208" s="5"/>
      <c r="O208" s="4" t="str">
        <f>IF(A208="","",--(COUNTIF($A$2:A208,A208)=1))</f>
        <v/>
      </c>
      <c r="P208" s="4" t="str">
        <f>IF(A208="","",--(COUNTIFS($A$2:A208,A208,$F$2:F208,F208)=1))</f>
        <v/>
      </c>
    </row>
    <row r="209" spans="1:16">
      <c r="A209" s="5"/>
      <c r="O209" s="4" t="str">
        <f>IF(A209="","",--(COUNTIF($A$2:A209,A209)=1))</f>
        <v/>
      </c>
      <c r="P209" s="4" t="str">
        <f>IF(A209="","",--(COUNTIFS($A$2:A209,A209,$F$2:F209,F209)=1))</f>
        <v/>
      </c>
    </row>
    <row r="210" spans="1:16">
      <c r="A210" s="5"/>
      <c r="O210" s="4" t="str">
        <f>IF(A210="","",--(COUNTIF($A$2:A210,A210)=1))</f>
        <v/>
      </c>
      <c r="P210" s="4" t="str">
        <f>IF(A210="","",--(COUNTIFS($A$2:A210,A210,$F$2:F210,F210)=1))</f>
        <v/>
      </c>
    </row>
    <row r="211" spans="1:16">
      <c r="A211" s="5"/>
      <c r="O211" s="4" t="str">
        <f>IF(A211="","",--(COUNTIF($A$2:A211,A211)=1))</f>
        <v/>
      </c>
      <c r="P211" s="4" t="str">
        <f>IF(A211="","",--(COUNTIFS($A$2:A211,A211,$F$2:F211,F211)=1))</f>
        <v/>
      </c>
    </row>
    <row r="212" spans="1:16">
      <c r="A212" s="5"/>
      <c r="O212" s="4" t="str">
        <f>IF(A212="","",--(COUNTIF($A$2:A212,A212)=1))</f>
        <v/>
      </c>
      <c r="P212" s="4" t="str">
        <f>IF(A212="","",--(COUNTIFS($A$2:A212,A212,$F$2:F212,F212)=1))</f>
        <v/>
      </c>
    </row>
    <row r="213" spans="1:16">
      <c r="A213" s="5"/>
      <c r="O213" s="4" t="str">
        <f>IF(A213="","",--(COUNTIF($A$2:A213,A213)=1))</f>
        <v/>
      </c>
      <c r="P213" s="4" t="str">
        <f>IF(A213="","",--(COUNTIFS($A$2:A213,A213,$F$2:F213,F213)=1))</f>
        <v/>
      </c>
    </row>
    <row r="214" spans="1:16">
      <c r="A214" s="5"/>
      <c r="O214" s="4" t="str">
        <f>IF(A214="","",--(COUNTIF($A$2:A214,A214)=1))</f>
        <v/>
      </c>
      <c r="P214" s="4" t="str">
        <f>IF(A214="","",--(COUNTIFS($A$2:A214,A214,$F$2:F214,F214)=1))</f>
        <v/>
      </c>
    </row>
    <row r="215" spans="1:16">
      <c r="A215" s="5"/>
      <c r="O215" s="4" t="str">
        <f>IF(A215="","",--(COUNTIF($A$2:A215,A215)=1))</f>
        <v/>
      </c>
      <c r="P215" s="4" t="str">
        <f>IF(A215="","",--(COUNTIFS($A$2:A215,A215,$F$2:F215,F215)=1))</f>
        <v/>
      </c>
    </row>
    <row r="216" spans="1:16">
      <c r="A216" s="5"/>
      <c r="O216" s="4" t="str">
        <f>IF(A216="","",--(COUNTIF($A$2:A216,A216)=1))</f>
        <v/>
      </c>
      <c r="P216" s="4" t="str">
        <f>IF(A216="","",--(COUNTIFS($A$2:A216,A216,$F$2:F216,F216)=1))</f>
        <v/>
      </c>
    </row>
    <row r="217" spans="1:16">
      <c r="A217" s="5"/>
      <c r="O217" s="4" t="str">
        <f>IF(A217="","",--(COUNTIF($A$2:A217,A217)=1))</f>
        <v/>
      </c>
      <c r="P217" s="4" t="str">
        <f>IF(A217="","",--(COUNTIFS($A$2:A217,A217,$F$2:F217,F217)=1))</f>
        <v/>
      </c>
    </row>
    <row r="218" spans="1:16">
      <c r="A218" s="5"/>
      <c r="O218" s="4" t="str">
        <f>IF(A218="","",--(COUNTIF($A$2:A218,A218)=1))</f>
        <v/>
      </c>
      <c r="P218" s="4" t="str">
        <f>IF(A218="","",--(COUNTIFS($A$2:A218,A218,$F$2:F218,F218)=1))</f>
        <v/>
      </c>
    </row>
    <row r="219" spans="1:16">
      <c r="A219" s="5"/>
      <c r="O219" s="4" t="str">
        <f>IF(A219="","",--(COUNTIF($A$2:A219,A219)=1))</f>
        <v/>
      </c>
      <c r="P219" s="4" t="str">
        <f>IF(A219="","",--(COUNTIFS($A$2:A219,A219,$F$2:F219,F219)=1))</f>
        <v/>
      </c>
    </row>
    <row r="220" spans="1:16">
      <c r="A220" s="5"/>
      <c r="O220" s="4" t="str">
        <f>IF(A220="","",--(COUNTIF($A$2:A220,A220)=1))</f>
        <v/>
      </c>
      <c r="P220" s="4" t="str">
        <f>IF(A220="","",--(COUNTIFS($A$2:A220,A220,$F$2:F220,F220)=1))</f>
        <v/>
      </c>
    </row>
    <row r="221" spans="1:16">
      <c r="A221" s="5"/>
      <c r="O221" s="4" t="str">
        <f>IF(A221="","",--(COUNTIF($A$2:A221,A221)=1))</f>
        <v/>
      </c>
      <c r="P221" s="4" t="str">
        <f>IF(A221="","",--(COUNTIFS($A$2:A221,A221,$F$2:F221,F221)=1))</f>
        <v/>
      </c>
    </row>
    <row r="222" spans="1:16">
      <c r="A222" s="5"/>
      <c r="O222" s="4" t="str">
        <f>IF(A222="","",--(COUNTIF($A$2:A222,A222)=1))</f>
        <v/>
      </c>
      <c r="P222" s="4" t="str">
        <f>IF(A222="","",--(COUNTIFS($A$2:A222,A222,$F$2:F222,F222)=1))</f>
        <v/>
      </c>
    </row>
    <row r="223" spans="1:16">
      <c r="A223" s="5"/>
      <c r="O223" s="4" t="str">
        <f>IF(A223="","",--(COUNTIF($A$2:A223,A223)=1))</f>
        <v/>
      </c>
      <c r="P223" s="4" t="str">
        <f>IF(A223="","",--(COUNTIFS($A$2:A223,A223,$F$2:F223,F223)=1))</f>
        <v/>
      </c>
    </row>
    <row r="224" spans="1:16">
      <c r="A224" s="5"/>
      <c r="O224" s="4" t="str">
        <f>IF(A224="","",--(COUNTIF($A$2:A224,A224)=1))</f>
        <v/>
      </c>
      <c r="P224" s="4" t="str">
        <f>IF(A224="","",--(COUNTIFS($A$2:A224,A224,$F$2:F224,F224)=1))</f>
        <v/>
      </c>
    </row>
    <row r="225" spans="1:16">
      <c r="A225" s="5"/>
      <c r="O225" s="4" t="str">
        <f>IF(A225="","",--(COUNTIF($A$2:A225,A225)=1))</f>
        <v/>
      </c>
      <c r="P225" s="4" t="str">
        <f>IF(A225="","",--(COUNTIFS($A$2:A225,A225,$F$2:F225,F225)=1))</f>
        <v/>
      </c>
    </row>
    <row r="226" spans="1:16">
      <c r="A226" s="5"/>
      <c r="O226" s="4" t="str">
        <f>IF(A226="","",--(COUNTIF($A$2:A226,A226)=1))</f>
        <v/>
      </c>
      <c r="P226" s="4" t="str">
        <f>IF(A226="","",--(COUNTIFS($A$2:A226,A226,$F$2:F226,F226)=1))</f>
        <v/>
      </c>
    </row>
    <row r="227" spans="1:16">
      <c r="A227" s="5"/>
      <c r="O227" s="4" t="str">
        <f>IF(A227="","",--(COUNTIF($A$2:A227,A227)=1))</f>
        <v/>
      </c>
      <c r="P227" s="4" t="str">
        <f>IF(A227="","",--(COUNTIFS($A$2:A227,A227,$F$2:F227,F227)=1))</f>
        <v/>
      </c>
    </row>
    <row r="228" spans="1:16">
      <c r="A228" s="5"/>
      <c r="O228" s="4" t="str">
        <f>IF(A228="","",--(COUNTIF($A$2:A228,A228)=1))</f>
        <v/>
      </c>
      <c r="P228" s="4" t="str">
        <f>IF(A228="","",--(COUNTIFS($A$2:A228,A228,$F$2:F228,F228)=1))</f>
        <v/>
      </c>
    </row>
    <row r="229" spans="1:16">
      <c r="A229" s="5"/>
      <c r="O229" s="4" t="str">
        <f>IF(A229="","",--(COUNTIF($A$2:A229,A229)=1))</f>
        <v/>
      </c>
      <c r="P229" s="4" t="str">
        <f>IF(A229="","",--(COUNTIFS($A$2:A229,A229,$F$2:F229,F229)=1))</f>
        <v/>
      </c>
    </row>
    <row r="230" spans="1:16">
      <c r="A230" s="5"/>
      <c r="O230" s="4" t="str">
        <f>IF(A230="","",--(COUNTIF($A$2:A230,A230)=1))</f>
        <v/>
      </c>
      <c r="P230" s="4" t="str">
        <f>IF(A230="","",--(COUNTIFS($A$2:A230,A230,$F$2:F230,F230)=1))</f>
        <v/>
      </c>
    </row>
    <row r="231" spans="1:16">
      <c r="A231" s="5"/>
      <c r="O231" s="4" t="str">
        <f>IF(A231="","",--(COUNTIF($A$2:A231,A231)=1))</f>
        <v/>
      </c>
      <c r="P231" s="4" t="str">
        <f>IF(A231="","",--(COUNTIFS($A$2:A231,A231,$F$2:F231,F231)=1))</f>
        <v/>
      </c>
    </row>
    <row r="232" spans="1:16">
      <c r="A232" s="5"/>
      <c r="O232" s="4" t="str">
        <f>IF(A232="","",--(COUNTIF($A$2:A232,A232)=1))</f>
        <v/>
      </c>
      <c r="P232" s="4" t="str">
        <f>IF(A232="","",--(COUNTIFS($A$2:A232,A232,$F$2:F232,F232)=1))</f>
        <v/>
      </c>
    </row>
    <row r="233" spans="1:16">
      <c r="A233" s="5"/>
      <c r="O233" s="4" t="str">
        <f>IF(A233="","",--(COUNTIF($A$2:A233,A233)=1))</f>
        <v/>
      </c>
      <c r="P233" s="4" t="str">
        <f>IF(A233="","",--(COUNTIFS($A$2:A233,A233,$F$2:F233,F233)=1))</f>
        <v/>
      </c>
    </row>
    <row r="234" spans="1:16">
      <c r="A234" s="5"/>
      <c r="O234" s="4" t="str">
        <f>IF(A234="","",--(COUNTIF($A$2:A234,A234)=1))</f>
        <v/>
      </c>
      <c r="P234" s="4" t="str">
        <f>IF(A234="","",--(COUNTIFS($A$2:A234,A234,$F$2:F234,F234)=1))</f>
        <v/>
      </c>
    </row>
    <row r="235" spans="1:16">
      <c r="A235" s="5"/>
      <c r="O235" s="4" t="str">
        <f>IF(A235="","",--(COUNTIF($A$2:A235,A235)=1))</f>
        <v/>
      </c>
      <c r="P235" s="4" t="str">
        <f>IF(A235="","",--(COUNTIFS($A$2:A235,A235,$F$2:F235,F235)=1))</f>
        <v/>
      </c>
    </row>
    <row r="236" spans="1:16">
      <c r="A236" s="5"/>
      <c r="O236" s="4" t="str">
        <f>IF(A236="","",--(COUNTIF($A$2:A236,A236)=1))</f>
        <v/>
      </c>
      <c r="P236" s="4" t="str">
        <f>IF(A236="","",--(COUNTIFS($A$2:A236,A236,$F$2:F236,F236)=1))</f>
        <v/>
      </c>
    </row>
    <row r="237" spans="1:16">
      <c r="A237" s="5"/>
      <c r="O237" s="4" t="str">
        <f>IF(A237="","",--(COUNTIF($A$2:A237,A237)=1))</f>
        <v/>
      </c>
      <c r="P237" s="4" t="str">
        <f>IF(A237="","",--(COUNTIFS($A$2:A237,A237,$F$2:F237,F237)=1))</f>
        <v/>
      </c>
    </row>
    <row r="238" spans="1:16">
      <c r="A238" s="5"/>
      <c r="O238" s="4" t="str">
        <f>IF(A238="","",--(COUNTIF($A$2:A238,A238)=1))</f>
        <v/>
      </c>
      <c r="P238" s="4" t="str">
        <f>IF(A238="","",--(COUNTIFS($A$2:A238,A238,$F$2:F238,F238)=1))</f>
        <v/>
      </c>
    </row>
    <row r="239" spans="1:16">
      <c r="A239" s="5"/>
      <c r="O239" s="4" t="str">
        <f>IF(A239="","",--(COUNTIF($A$2:A239,A239)=1))</f>
        <v/>
      </c>
      <c r="P239" s="4" t="str">
        <f>IF(A239="","",--(COUNTIFS($A$2:A239,A239,$F$2:F239,F239)=1))</f>
        <v/>
      </c>
    </row>
    <row r="240" spans="1:16">
      <c r="A240" s="5"/>
      <c r="O240" s="4" t="str">
        <f>IF(A240="","",--(COUNTIF($A$2:A240,A240)=1))</f>
        <v/>
      </c>
      <c r="P240" s="4" t="str">
        <f>IF(A240="","",--(COUNTIFS($A$2:A240,A240,$F$2:F240,F240)=1))</f>
        <v/>
      </c>
    </row>
    <row r="241" spans="1:16">
      <c r="A241" s="5"/>
      <c r="O241" s="4" t="str">
        <f>IF(A241="","",--(COUNTIF($A$2:A241,A241)=1))</f>
        <v/>
      </c>
      <c r="P241" s="4" t="str">
        <f>IF(A241="","",--(COUNTIFS($A$2:A241,A241,$F$2:F241,F241)=1))</f>
        <v/>
      </c>
    </row>
    <row r="242" spans="1:16">
      <c r="A242" s="5"/>
      <c r="O242" s="4" t="str">
        <f>IF(A242="","",--(COUNTIF($A$2:A242,A242)=1))</f>
        <v/>
      </c>
      <c r="P242" s="4" t="str">
        <f>IF(A242="","",--(COUNTIFS($A$2:A242,A242,$F$2:F242,F242)=1))</f>
        <v/>
      </c>
    </row>
    <row r="243" spans="1:16">
      <c r="A243" s="5"/>
      <c r="O243" s="4" t="str">
        <f>IF(A243="","",--(COUNTIF($A$2:A243,A243)=1))</f>
        <v/>
      </c>
      <c r="P243" s="4" t="str">
        <f>IF(A243="","",--(COUNTIFS($A$2:A243,A243,$F$2:F243,F243)=1))</f>
        <v/>
      </c>
    </row>
    <row r="244" spans="1:16">
      <c r="A244" s="5"/>
      <c r="O244" s="4" t="str">
        <f>IF(A244="","",--(COUNTIF($A$2:A244,A244)=1))</f>
        <v/>
      </c>
      <c r="P244" s="4" t="str">
        <f>IF(A244="","",--(COUNTIFS($A$2:A244,A244,$F$2:F244,F244)=1))</f>
        <v/>
      </c>
    </row>
    <row r="245" spans="1:16">
      <c r="A245" s="5"/>
      <c r="O245" s="4" t="str">
        <f>IF(A245="","",--(COUNTIF($A$2:A245,A245)=1))</f>
        <v/>
      </c>
      <c r="P245" s="4" t="str">
        <f>IF(A245="","",--(COUNTIFS($A$2:A245,A245,$F$2:F245,F245)=1))</f>
        <v/>
      </c>
    </row>
    <row r="246" spans="1:16">
      <c r="A246" s="5"/>
      <c r="O246" s="4" t="str">
        <f>IF(A246="","",--(COUNTIF($A$2:A246,A246)=1))</f>
        <v/>
      </c>
      <c r="P246" s="4" t="str">
        <f>IF(A246="","",--(COUNTIFS($A$2:A246,A246,$F$2:F246,F246)=1))</f>
        <v/>
      </c>
    </row>
    <row r="247" spans="1:16">
      <c r="A247" s="5"/>
      <c r="O247" s="4" t="str">
        <f>IF(A247="","",--(COUNTIF($A$2:A247,A247)=1))</f>
        <v/>
      </c>
      <c r="P247" s="4" t="str">
        <f>IF(A247="","",--(COUNTIFS($A$2:A247,A247,$F$2:F247,F247)=1))</f>
        <v/>
      </c>
    </row>
    <row r="248" spans="1:16">
      <c r="A248" s="5"/>
      <c r="O248" s="4" t="str">
        <f>IF(A248="","",--(COUNTIF($A$2:A248,A248)=1))</f>
        <v/>
      </c>
      <c r="P248" s="4" t="str">
        <f>IF(A248="","",--(COUNTIFS($A$2:A248,A248,$F$2:F248,F248)=1))</f>
        <v/>
      </c>
    </row>
    <row r="249" spans="1:16">
      <c r="A249" s="5"/>
      <c r="O249" s="4" t="str">
        <f>IF(A249="","",--(COUNTIF($A$2:A249,A249)=1))</f>
        <v/>
      </c>
      <c r="P249" s="4" t="str">
        <f>IF(A249="","",--(COUNTIFS($A$2:A249,A249,$F$2:F249,F249)=1))</f>
        <v/>
      </c>
    </row>
    <row r="250" spans="1:16">
      <c r="A250" s="5"/>
      <c r="O250" s="4" t="str">
        <f>IF(A250="","",--(COUNTIF($A$2:A250,A250)=1))</f>
        <v/>
      </c>
      <c r="P250" s="4" t="str">
        <f>IF(A250="","",--(COUNTIFS($A$2:A250,A250,$F$2:F250,F250)=1))</f>
        <v/>
      </c>
    </row>
    <row r="251" spans="1:16">
      <c r="A251" s="5"/>
      <c r="O251" s="4" t="str">
        <f>IF(A251="","",--(COUNTIF($A$2:A251,A251)=1))</f>
        <v/>
      </c>
      <c r="P251" s="4" t="str">
        <f>IF(A251="","",--(COUNTIFS($A$2:A251,A251,$F$2:F251,F251)=1))</f>
        <v/>
      </c>
    </row>
    <row r="252" spans="1:16">
      <c r="A252" s="5"/>
      <c r="O252" s="4" t="str">
        <f>IF(A252="","",--(COUNTIF($A$2:A252,A252)=1))</f>
        <v/>
      </c>
      <c r="P252" s="4" t="str">
        <f>IF(A252="","",--(COUNTIFS($A$2:A252,A252,$F$2:F252,F252)=1))</f>
        <v/>
      </c>
    </row>
    <row r="253" spans="1:16">
      <c r="A253" s="5"/>
      <c r="O253" s="4" t="str">
        <f>IF(A253="","",--(COUNTIF($A$2:A253,A253)=1))</f>
        <v/>
      </c>
      <c r="P253" s="4" t="str">
        <f>IF(A253="","",--(COUNTIFS($A$2:A253,A253,$F$2:F253,F253)=1))</f>
        <v/>
      </c>
    </row>
    <row r="254" spans="1:16">
      <c r="A254" s="5"/>
      <c r="O254" s="4" t="str">
        <f>IF(A254="","",--(COUNTIF($A$2:A254,A254)=1))</f>
        <v/>
      </c>
      <c r="P254" s="4" t="str">
        <f>IF(A254="","",--(COUNTIFS($A$2:A254,A254,$F$2:F254,F254)=1))</f>
        <v/>
      </c>
    </row>
    <row r="255" spans="1:16">
      <c r="A255" s="5"/>
      <c r="O255" s="4" t="str">
        <f>IF(A255="","",--(COUNTIF($A$2:A255,A255)=1))</f>
        <v/>
      </c>
      <c r="P255" s="4" t="str">
        <f>IF(A255="","",--(COUNTIFS($A$2:A255,A255,$F$2:F255,F255)=1))</f>
        <v/>
      </c>
    </row>
    <row r="256" spans="1:16">
      <c r="A256" s="5"/>
      <c r="O256" s="4" t="str">
        <f>IF(A256="","",--(COUNTIF($A$2:A256,A256)=1))</f>
        <v/>
      </c>
      <c r="P256" s="4" t="str">
        <f>IF(A256="","",--(COUNTIFS($A$2:A256,A256,$F$2:F256,F256)=1))</f>
        <v/>
      </c>
    </row>
    <row r="257" spans="1:16">
      <c r="A257" s="5"/>
      <c r="O257" s="4" t="str">
        <f>IF(A257="","",--(COUNTIF($A$2:A257,A257)=1))</f>
        <v/>
      </c>
      <c r="P257" s="4" t="str">
        <f>IF(A257="","",--(COUNTIFS($A$2:A257,A257,$F$2:F257,F257)=1))</f>
        <v/>
      </c>
    </row>
    <row r="258" spans="1:16">
      <c r="A258" s="5"/>
      <c r="O258" s="4" t="str">
        <f>IF(A258="","",--(COUNTIF($A$2:A258,A258)=1))</f>
        <v/>
      </c>
      <c r="P258" s="4" t="str">
        <f>IF(A258="","",--(COUNTIFS($A$2:A258,A258,$F$2:F258,F258)=1))</f>
        <v/>
      </c>
    </row>
    <row r="259" spans="1:16">
      <c r="A259" s="5"/>
      <c r="O259" s="4" t="str">
        <f>IF(A259="","",--(COUNTIF($A$2:A259,A259)=1))</f>
        <v/>
      </c>
      <c r="P259" s="4" t="str">
        <f>IF(A259="","",--(COUNTIFS($A$2:A259,A259,$F$2:F259,F259)=1))</f>
        <v/>
      </c>
    </row>
    <row r="260" spans="1:16">
      <c r="A260" s="5"/>
      <c r="O260" s="4" t="str">
        <f>IF(A260="","",--(COUNTIF($A$2:A260,A260)=1))</f>
        <v/>
      </c>
      <c r="P260" s="4" t="str">
        <f>IF(A260="","",--(COUNTIFS($A$2:A260,A260,$F$2:F260,F260)=1))</f>
        <v/>
      </c>
    </row>
    <row r="261" spans="1:16">
      <c r="A261" s="5"/>
      <c r="O261" s="4" t="str">
        <f>IF(A261="","",--(COUNTIF($A$2:A261,A261)=1))</f>
        <v/>
      </c>
      <c r="P261" s="4" t="str">
        <f>IF(A261="","",--(COUNTIFS($A$2:A261,A261,$F$2:F261,F261)=1))</f>
        <v/>
      </c>
    </row>
    <row r="262" spans="1:16">
      <c r="A262" s="5"/>
      <c r="O262" s="4" t="str">
        <f>IF(A262="","",--(COUNTIF($A$2:A262,A262)=1))</f>
        <v/>
      </c>
      <c r="P262" s="4" t="str">
        <f>IF(A262="","",--(COUNTIFS($A$2:A262,A262,$F$2:F262,F262)=1))</f>
        <v/>
      </c>
    </row>
    <row r="263" spans="1:16">
      <c r="A263" s="5"/>
      <c r="O263" s="4" t="str">
        <f>IF(A263="","",--(COUNTIF($A$2:A263,A263)=1))</f>
        <v/>
      </c>
      <c r="P263" s="4" t="str">
        <f>IF(A263="","",--(COUNTIFS($A$2:A263,A263,$F$2:F263,F263)=1))</f>
        <v/>
      </c>
    </row>
    <row r="264" spans="1:16">
      <c r="A264" s="5"/>
      <c r="O264" s="4" t="str">
        <f>IF(A264="","",--(COUNTIF($A$2:A264,A264)=1))</f>
        <v/>
      </c>
      <c r="P264" s="4" t="str">
        <f>IF(A264="","",--(COUNTIFS($A$2:A264,A264,$F$2:F264,F264)=1))</f>
        <v/>
      </c>
    </row>
    <row r="265" spans="1:16">
      <c r="A265" s="5"/>
      <c r="O265" s="4" t="str">
        <f>IF(A265="","",--(COUNTIF($A$2:A265,A265)=1))</f>
        <v/>
      </c>
      <c r="P265" s="4" t="str">
        <f>IF(A265="","",--(COUNTIFS($A$2:A265,A265,$F$2:F265,F265)=1))</f>
        <v/>
      </c>
    </row>
    <row r="266" spans="1:16">
      <c r="A266" s="5"/>
      <c r="O266" s="4" t="str">
        <f>IF(A266="","",--(COUNTIF($A$2:A266,A266)=1))</f>
        <v/>
      </c>
      <c r="P266" s="4" t="str">
        <f>IF(A266="","",--(COUNTIFS($A$2:A266,A266,$F$2:F266,F266)=1))</f>
        <v/>
      </c>
    </row>
    <row r="267" spans="1:16">
      <c r="A267" s="5"/>
      <c r="O267" s="4" t="str">
        <f>IF(A267="","",--(COUNTIF($A$2:A267,A267)=1))</f>
        <v/>
      </c>
      <c r="P267" s="4" t="str">
        <f>IF(A267="","",--(COUNTIFS($A$2:A267,A267,$F$2:F267,F267)=1))</f>
        <v/>
      </c>
    </row>
    <row r="268" spans="1:16">
      <c r="A268" s="5"/>
      <c r="O268" s="4" t="str">
        <f>IF(A268="","",--(COUNTIF($A$2:A268,A268)=1))</f>
        <v/>
      </c>
      <c r="P268" s="4" t="str">
        <f>IF(A268="","",--(COUNTIFS($A$2:A268,A268,$F$2:F268,F268)=1))</f>
        <v/>
      </c>
    </row>
    <row r="269" spans="1:16">
      <c r="A269" s="5"/>
      <c r="O269" s="4" t="str">
        <f>IF(A269="","",--(COUNTIF($A$2:A269,A269)=1))</f>
        <v/>
      </c>
      <c r="P269" s="4" t="str">
        <f>IF(A269="","",--(COUNTIFS($A$2:A269,A269,$F$2:F269,F269)=1))</f>
        <v/>
      </c>
    </row>
    <row r="270" spans="1:16">
      <c r="A270" s="5"/>
      <c r="O270" s="4" t="str">
        <f>IF(A270="","",--(COUNTIF($A$2:A270,A270)=1))</f>
        <v/>
      </c>
      <c r="P270" s="4" t="str">
        <f>IF(A270="","",--(COUNTIFS($A$2:A270,A270,$F$2:F270,F270)=1))</f>
        <v/>
      </c>
    </row>
    <row r="271" spans="1:16">
      <c r="A271" s="5"/>
      <c r="O271" s="4" t="str">
        <f>IF(A271="","",--(COUNTIF($A$2:A271,A271)=1))</f>
        <v/>
      </c>
      <c r="P271" s="4" t="str">
        <f>IF(A271="","",--(COUNTIFS($A$2:A271,A271,$F$2:F271,F271)=1))</f>
        <v/>
      </c>
    </row>
    <row r="272" spans="1:16">
      <c r="A272" s="5"/>
      <c r="O272" s="4" t="str">
        <f>IF(A272="","",--(COUNTIF($A$2:A272,A272)=1))</f>
        <v/>
      </c>
      <c r="P272" s="4" t="str">
        <f>IF(A272="","",--(COUNTIFS($A$2:A272,A272,$F$2:F272,F272)=1))</f>
        <v/>
      </c>
    </row>
    <row r="273" spans="1:16">
      <c r="A273" s="5"/>
      <c r="O273" s="4" t="str">
        <f>IF(A273="","",--(COUNTIF($A$2:A273,A273)=1))</f>
        <v/>
      </c>
      <c r="P273" s="4" t="str">
        <f>IF(A273="","",--(COUNTIFS($A$2:A273,A273,$F$2:F273,F273)=1))</f>
        <v/>
      </c>
    </row>
    <row r="274" spans="1:16">
      <c r="A274" s="5"/>
      <c r="O274" s="4" t="str">
        <f>IF(A274="","",--(COUNTIF($A$2:A274,A274)=1))</f>
        <v/>
      </c>
      <c r="P274" s="4" t="str">
        <f>IF(A274="","",--(COUNTIFS($A$2:A274,A274,$F$2:F274,F274)=1))</f>
        <v/>
      </c>
    </row>
    <row r="275" spans="1:16">
      <c r="A275" s="5"/>
      <c r="O275" s="4" t="str">
        <f>IF(A275="","",--(COUNTIF($A$2:A275,A275)=1))</f>
        <v/>
      </c>
      <c r="P275" s="4" t="str">
        <f>IF(A275="","",--(COUNTIFS($A$2:A275,A275,$F$2:F275,F275)=1))</f>
        <v/>
      </c>
    </row>
    <row r="276" spans="1:16">
      <c r="A276" s="5"/>
      <c r="O276" s="4" t="str">
        <f>IF(A276="","",--(COUNTIF($A$2:A276,A276)=1))</f>
        <v/>
      </c>
      <c r="P276" s="4" t="str">
        <f>IF(A276="","",--(COUNTIFS($A$2:A276,A276,$F$2:F276,F276)=1))</f>
        <v/>
      </c>
    </row>
    <row r="277" spans="1:16">
      <c r="A277" s="5"/>
      <c r="O277" s="4" t="str">
        <f>IF(A277="","",--(COUNTIF($A$2:A277,A277)=1))</f>
        <v/>
      </c>
      <c r="P277" s="4" t="str">
        <f>IF(A277="","",--(COUNTIFS($A$2:A277,A277,$F$2:F277,F277)=1))</f>
        <v/>
      </c>
    </row>
    <row r="278" spans="1:16">
      <c r="A278" s="5"/>
      <c r="O278" s="4" t="str">
        <f>IF(A278="","",--(COUNTIF($A$2:A278,A278)=1))</f>
        <v/>
      </c>
      <c r="P278" s="4" t="str">
        <f>IF(A278="","",--(COUNTIFS($A$2:A278,A278,$F$2:F278,F278)=1))</f>
        <v/>
      </c>
    </row>
    <row r="279" spans="1:16">
      <c r="A279" s="5"/>
      <c r="O279" s="4" t="str">
        <f>IF(A279="","",--(COUNTIF($A$2:A279,A279)=1))</f>
        <v/>
      </c>
      <c r="P279" s="4" t="str">
        <f>IF(A279="","",--(COUNTIFS($A$2:A279,A279,$F$2:F279,F279)=1))</f>
        <v/>
      </c>
    </row>
    <row r="280" spans="1:16">
      <c r="A280" s="5"/>
      <c r="O280" s="4" t="str">
        <f>IF(A280="","",--(COUNTIF($A$2:A280,A280)=1))</f>
        <v/>
      </c>
      <c r="P280" s="4" t="str">
        <f>IF(A280="","",--(COUNTIFS($A$2:A280,A280,$F$2:F280,F280)=1))</f>
        <v/>
      </c>
    </row>
    <row r="281" spans="1:16">
      <c r="A281" s="5"/>
      <c r="O281" s="4" t="str">
        <f>IF(A281="","",--(COUNTIF($A$2:A281,A281)=1))</f>
        <v/>
      </c>
      <c r="P281" s="4" t="str">
        <f>IF(A281="","",--(COUNTIFS($A$2:A281,A281,$F$2:F281,F281)=1))</f>
        <v/>
      </c>
    </row>
    <row r="282" spans="1:16">
      <c r="A282" s="5"/>
      <c r="O282" s="4" t="str">
        <f>IF(A282="","",--(COUNTIF($A$2:A282,A282)=1))</f>
        <v/>
      </c>
      <c r="P282" s="4" t="str">
        <f>IF(A282="","",--(COUNTIFS($A$2:A282,A282,$F$2:F282,F282)=1))</f>
        <v/>
      </c>
    </row>
    <row r="283" spans="1:16">
      <c r="A283" s="5"/>
      <c r="O283" s="4" t="str">
        <f>IF(A283="","",--(COUNTIF($A$2:A283,A283)=1))</f>
        <v/>
      </c>
      <c r="P283" s="4" t="str">
        <f>IF(A283="","",--(COUNTIFS($A$2:A283,A283,$F$2:F283,F283)=1))</f>
        <v/>
      </c>
    </row>
    <row r="284" spans="1:16">
      <c r="A284" s="5"/>
      <c r="O284" s="4" t="str">
        <f>IF(A284="","",--(COUNTIF($A$2:A284,A284)=1))</f>
        <v/>
      </c>
      <c r="P284" s="4" t="str">
        <f>IF(A284="","",--(COUNTIFS($A$2:A284,A284,$F$2:F284,F284)=1))</f>
        <v/>
      </c>
    </row>
    <row r="285" spans="1:16">
      <c r="A285" s="5"/>
      <c r="O285" s="4" t="str">
        <f>IF(A285="","",--(COUNTIF($A$2:A285,A285)=1))</f>
        <v/>
      </c>
      <c r="P285" s="4" t="str">
        <f>IF(A285="","",--(COUNTIFS($A$2:A285,A285,$F$2:F285,F285)=1))</f>
        <v/>
      </c>
    </row>
    <row r="286" spans="1:16">
      <c r="A286" s="5"/>
      <c r="O286" s="4" t="str">
        <f>IF(A286="","",--(COUNTIF($A$2:A286,A286)=1))</f>
        <v/>
      </c>
      <c r="P286" s="4" t="str">
        <f>IF(A286="","",--(COUNTIFS($A$2:A286,A286,$F$2:F286,F286)=1))</f>
        <v/>
      </c>
    </row>
    <row r="287" spans="1:16">
      <c r="A287" s="5"/>
      <c r="O287" s="4" t="str">
        <f>IF(A287="","",--(COUNTIF($A$2:A287,A287)=1))</f>
        <v/>
      </c>
      <c r="P287" s="4" t="str">
        <f>IF(A287="","",--(COUNTIFS($A$2:A287,A287,$F$2:F287,F287)=1))</f>
        <v/>
      </c>
    </row>
    <row r="288" spans="1:16">
      <c r="A288" s="5"/>
      <c r="O288" s="4" t="str">
        <f>IF(A288="","",--(COUNTIF($A$2:A288,A288)=1))</f>
        <v/>
      </c>
      <c r="P288" s="4" t="str">
        <f>IF(A288="","",--(COUNTIFS($A$2:A288,A288,$F$2:F288,F288)=1))</f>
        <v/>
      </c>
    </row>
    <row r="289" spans="1:16">
      <c r="A289" s="5"/>
      <c r="O289" s="4" t="str">
        <f>IF(A289="","",--(COUNTIF($A$2:A289,A289)=1))</f>
        <v/>
      </c>
      <c r="P289" s="4" t="str">
        <f>IF(A289="","",--(COUNTIFS($A$2:A289,A289,$F$2:F289,F289)=1))</f>
        <v/>
      </c>
    </row>
    <row r="290" spans="1:16">
      <c r="A290" s="5"/>
      <c r="O290" s="4" t="str">
        <f>IF(A290="","",--(COUNTIF($A$2:A290,A290)=1))</f>
        <v/>
      </c>
      <c r="P290" s="4" t="str">
        <f>IF(A290="","",--(COUNTIFS($A$2:A290,A290,$F$2:F290,F290)=1))</f>
        <v/>
      </c>
    </row>
    <row r="291" spans="1:16">
      <c r="A291" s="5"/>
      <c r="O291" s="4" t="str">
        <f>IF(A291="","",--(COUNTIF($A$2:A291,A291)=1))</f>
        <v/>
      </c>
      <c r="P291" s="4" t="str">
        <f>IF(A291="","",--(COUNTIFS($A$2:A291,A291,$F$2:F291,F291)=1))</f>
        <v/>
      </c>
    </row>
    <row r="292" spans="1:16">
      <c r="A292" s="5"/>
      <c r="O292" s="4" t="str">
        <f>IF(A292="","",--(COUNTIF($A$2:A292,A292)=1))</f>
        <v/>
      </c>
      <c r="P292" s="4" t="str">
        <f>IF(A292="","",--(COUNTIFS($A$2:A292,A292,$F$2:F292,F292)=1))</f>
        <v/>
      </c>
    </row>
    <row r="293" spans="1:16">
      <c r="A293" s="5"/>
      <c r="O293" s="4" t="str">
        <f>IF(A293="","",--(COUNTIF($A$2:A293,A293)=1))</f>
        <v/>
      </c>
      <c r="P293" s="4" t="str">
        <f>IF(A293="","",--(COUNTIFS($A$2:A293,A293,$F$2:F293,F293)=1))</f>
        <v/>
      </c>
    </row>
    <row r="294" spans="1:16">
      <c r="A294" s="5"/>
      <c r="O294" s="4" t="str">
        <f>IF(A294="","",--(COUNTIF($A$2:A294,A294)=1))</f>
        <v/>
      </c>
      <c r="P294" s="4" t="str">
        <f>IF(A294="","",--(COUNTIFS($A$2:A294,A294,$F$2:F294,F294)=1))</f>
        <v/>
      </c>
    </row>
    <row r="295" spans="1:16">
      <c r="A295" s="5"/>
      <c r="O295" s="4" t="str">
        <f>IF(A295="","",--(COUNTIF($A$2:A295,A295)=1))</f>
        <v/>
      </c>
      <c r="P295" s="4" t="str">
        <f>IF(A295="","",--(COUNTIFS($A$2:A295,A295,$F$2:F295,F295)=1))</f>
        <v/>
      </c>
    </row>
    <row r="296" spans="1:16">
      <c r="A296" s="5"/>
      <c r="O296" s="4" t="str">
        <f>IF(A296="","",--(COUNTIF($A$2:A296,A296)=1))</f>
        <v/>
      </c>
      <c r="P296" s="4" t="str">
        <f>IF(A296="","",--(COUNTIFS($A$2:A296,A296,$F$2:F296,F296)=1))</f>
        <v/>
      </c>
    </row>
    <row r="297" spans="1:16">
      <c r="A297" s="5"/>
      <c r="O297" s="4" t="str">
        <f>IF(A297="","",--(COUNTIF($A$2:A297,A297)=1))</f>
        <v/>
      </c>
      <c r="P297" s="4" t="str">
        <f>IF(A297="","",--(COUNTIFS($A$2:A297,A297,$F$2:F297,F297)=1))</f>
        <v/>
      </c>
    </row>
    <row r="298" spans="1:16">
      <c r="A298" s="5"/>
      <c r="O298" s="4" t="str">
        <f>IF(A298="","",--(COUNTIF($A$2:A298,A298)=1))</f>
        <v/>
      </c>
      <c r="P298" s="4" t="str">
        <f>IF(A298="","",--(COUNTIFS($A$2:A298,A298,$F$2:F298,F298)=1))</f>
        <v/>
      </c>
    </row>
    <row r="299" spans="1:16">
      <c r="A299" s="5"/>
      <c r="O299" s="4" t="str">
        <f>IF(A299="","",--(COUNTIF($A$2:A299,A299)=1))</f>
        <v/>
      </c>
      <c r="P299" s="4" t="str">
        <f>IF(A299="","",--(COUNTIFS($A$2:A299,A299,$F$2:F299,F299)=1))</f>
        <v/>
      </c>
    </row>
    <row r="300" spans="1:16">
      <c r="A300" s="5"/>
      <c r="O300" s="4" t="str">
        <f>IF(A300="","",--(COUNTIF($A$2:A300,A300)=1))</f>
        <v/>
      </c>
      <c r="P300" s="4" t="str">
        <f>IF(A300="","",--(COUNTIFS($A$2:A300,A300,$F$2:F300,F300)=1))</f>
        <v/>
      </c>
    </row>
    <row r="301" spans="1:16">
      <c r="A301" s="5"/>
      <c r="O301" s="4" t="str">
        <f>IF(A301="","",--(COUNTIF($A$2:A301,A301)=1))</f>
        <v/>
      </c>
      <c r="P301" s="4" t="str">
        <f>IF(A301="","",--(COUNTIFS($A$2:A301,A301,$F$2:F301,F301)=1))</f>
        <v/>
      </c>
    </row>
    <row r="302" spans="1:16">
      <c r="A302" s="5"/>
      <c r="O302" s="4" t="str">
        <f>IF(A302="","",--(COUNTIF($A$2:A302,A302)=1))</f>
        <v/>
      </c>
      <c r="P302" s="4" t="str">
        <f>IF(A302="","",--(COUNTIFS($A$2:A302,A302,$F$2:F302,F302)=1))</f>
        <v/>
      </c>
    </row>
    <row r="303" spans="1:16">
      <c r="A303" s="5"/>
      <c r="O303" s="4" t="str">
        <f>IF(A303="","",--(COUNTIF($A$2:A303,A303)=1))</f>
        <v/>
      </c>
      <c r="P303" s="4" t="str">
        <f>IF(A303="","",--(COUNTIFS($A$2:A303,A303,$F$2:F303,F303)=1))</f>
        <v/>
      </c>
    </row>
    <row r="304" spans="1:16">
      <c r="A304" s="5"/>
      <c r="O304" s="4" t="str">
        <f>IF(A304="","",--(COUNTIF($A$2:A304,A304)=1))</f>
        <v/>
      </c>
      <c r="P304" s="4" t="str">
        <f>IF(A304="","",--(COUNTIFS($A$2:A304,A304,$F$2:F304,F304)=1))</f>
        <v/>
      </c>
    </row>
    <row r="305" spans="1:16">
      <c r="A305" s="5"/>
      <c r="O305" s="4" t="str">
        <f>IF(A305="","",--(COUNTIF($A$2:A305,A305)=1))</f>
        <v/>
      </c>
      <c r="P305" s="4" t="str">
        <f>IF(A305="","",--(COUNTIFS($A$2:A305,A305,$F$2:F305,F305)=1))</f>
        <v/>
      </c>
    </row>
    <row r="306" spans="1:16">
      <c r="A306" s="5"/>
      <c r="O306" s="4" t="str">
        <f>IF(A306="","",--(COUNTIF($A$2:A306,A306)=1))</f>
        <v/>
      </c>
      <c r="P306" s="4" t="str">
        <f>IF(A306="","",--(COUNTIFS($A$2:A306,A306,$F$2:F306,F306)=1))</f>
        <v/>
      </c>
    </row>
    <row r="307" spans="1:16">
      <c r="A307" s="5"/>
      <c r="O307" s="4" t="str">
        <f>IF(A307="","",--(COUNTIF($A$2:A307,A307)=1))</f>
        <v/>
      </c>
      <c r="P307" s="4" t="str">
        <f>IF(A307="","",--(COUNTIFS($A$2:A307,A307,$F$2:F307,F307)=1))</f>
        <v/>
      </c>
    </row>
    <row r="308" spans="1:16">
      <c r="A308" s="5"/>
      <c r="O308" s="4" t="str">
        <f>IF(A308="","",--(COUNTIF($A$2:A308,A308)=1))</f>
        <v/>
      </c>
      <c r="P308" s="4" t="str">
        <f>IF(A308="","",--(COUNTIFS($A$2:A308,A308,$F$2:F308,F308)=1))</f>
        <v/>
      </c>
    </row>
    <row r="309" spans="1:16">
      <c r="A309" s="5"/>
      <c r="O309" s="4" t="str">
        <f>IF(A309="","",--(COUNTIF($A$2:A309,A309)=1))</f>
        <v/>
      </c>
      <c r="P309" s="4" t="str">
        <f>IF(A309="","",--(COUNTIFS($A$2:A309,A309,$F$2:F309,F309)=1))</f>
        <v/>
      </c>
    </row>
    <row r="310" spans="1:16">
      <c r="A310" s="5"/>
      <c r="O310" s="4" t="str">
        <f>IF(A310="","",--(COUNTIF($A$2:A310,A310)=1))</f>
        <v/>
      </c>
      <c r="P310" s="4" t="str">
        <f>IF(A310="","",--(COUNTIFS($A$2:A310,A310,$F$2:F310,F310)=1))</f>
        <v/>
      </c>
    </row>
    <row r="311" spans="1:16">
      <c r="A311" s="5"/>
      <c r="O311" s="4" t="str">
        <f>IF(A311="","",--(COUNTIF($A$2:A311,A311)=1))</f>
        <v/>
      </c>
      <c r="P311" s="4" t="str">
        <f>IF(A311="","",--(COUNTIFS($A$2:A311,A311,$F$2:F311,F311)=1))</f>
        <v/>
      </c>
    </row>
    <row r="312" spans="1:16">
      <c r="A312" s="5"/>
      <c r="O312" s="4" t="str">
        <f>IF(A312="","",--(COUNTIF($A$2:A312,A312)=1))</f>
        <v/>
      </c>
      <c r="P312" s="4" t="str">
        <f>IF(A312="","",--(COUNTIFS($A$2:A312,A312,$F$2:F312,F312)=1))</f>
        <v/>
      </c>
    </row>
    <row r="313" spans="1:16">
      <c r="A313" s="5"/>
      <c r="O313" s="4" t="str">
        <f>IF(A313="","",--(COUNTIF($A$2:A313,A313)=1))</f>
        <v/>
      </c>
      <c r="P313" s="4" t="str">
        <f>IF(A313="","",--(COUNTIFS($A$2:A313,A313,$F$2:F313,F313)=1))</f>
        <v/>
      </c>
    </row>
    <row r="314" spans="1:16">
      <c r="A314" s="5"/>
      <c r="O314" s="4" t="str">
        <f>IF(A314="","",--(COUNTIF($A$2:A314,A314)=1))</f>
        <v/>
      </c>
      <c r="P314" s="4" t="str">
        <f>IF(A314="","",--(COUNTIFS($A$2:A314,A314,$F$2:F314,F314)=1))</f>
        <v/>
      </c>
    </row>
    <row r="315" spans="1:16">
      <c r="A315" s="5"/>
      <c r="O315" s="4" t="str">
        <f>IF(A315="","",--(COUNTIF($A$2:A315,A315)=1))</f>
        <v/>
      </c>
      <c r="P315" s="4" t="str">
        <f>IF(A315="","",--(COUNTIFS($A$2:A315,A315,$F$2:F315,F315)=1))</f>
        <v/>
      </c>
    </row>
    <row r="316" spans="1:16">
      <c r="A316" s="5"/>
      <c r="O316" s="4" t="str">
        <f>IF(A316="","",--(COUNTIF($A$2:A316,A316)=1))</f>
        <v/>
      </c>
      <c r="P316" s="4" t="str">
        <f>IF(A316="","",--(COUNTIFS($A$2:A316,A316,$F$2:F316,F316)=1))</f>
        <v/>
      </c>
    </row>
    <row r="317" spans="1:16">
      <c r="A317" s="5"/>
      <c r="O317" s="4" t="str">
        <f>IF(A317="","",--(COUNTIF($A$2:A317,A317)=1))</f>
        <v/>
      </c>
      <c r="P317" s="4" t="str">
        <f>IF(A317="","",--(COUNTIFS($A$2:A317,A317,$F$2:F317,F317)=1))</f>
        <v/>
      </c>
    </row>
    <row r="318" spans="1:16">
      <c r="A318" s="5"/>
      <c r="O318" s="4" t="str">
        <f>IF(A318="","",--(COUNTIF($A$2:A318,A318)=1))</f>
        <v/>
      </c>
      <c r="P318" s="4" t="str">
        <f>IF(A318="","",--(COUNTIFS($A$2:A318,A318,$F$2:F318,F318)=1))</f>
        <v/>
      </c>
    </row>
    <row r="319" spans="1:16">
      <c r="A319" s="5"/>
      <c r="O319" s="4" t="str">
        <f>IF(A319="","",--(COUNTIF($A$2:A319,A319)=1))</f>
        <v/>
      </c>
      <c r="P319" s="4" t="str">
        <f>IF(A319="","",--(COUNTIFS($A$2:A319,A319,$F$2:F319,F319)=1))</f>
        <v/>
      </c>
    </row>
    <row r="320" spans="1:16">
      <c r="A320" s="5"/>
      <c r="O320" s="4" t="str">
        <f>IF(A320="","",--(COUNTIF($A$2:A320,A320)=1))</f>
        <v/>
      </c>
      <c r="P320" s="4" t="str">
        <f>IF(A320="","",--(COUNTIFS($A$2:A320,A320,$F$2:F320,F320)=1))</f>
        <v/>
      </c>
    </row>
    <row r="321" spans="1:16">
      <c r="A321" s="5"/>
      <c r="O321" s="4" t="str">
        <f>IF(A321="","",--(COUNTIF($A$2:A321,A321)=1))</f>
        <v/>
      </c>
      <c r="P321" s="4" t="str">
        <f>IF(A321="","",--(COUNTIFS($A$2:A321,A321,$F$2:F321,F321)=1))</f>
        <v/>
      </c>
    </row>
    <row r="322" spans="1:16">
      <c r="A322" s="5"/>
      <c r="O322" s="4" t="str">
        <f>IF(A322="","",--(COUNTIF($A$2:A322,A322)=1))</f>
        <v/>
      </c>
      <c r="P322" s="4" t="str">
        <f>IF(A322="","",--(COUNTIFS($A$2:A322,A322,$F$2:F322,F322)=1))</f>
        <v/>
      </c>
    </row>
    <row r="323" spans="1:16">
      <c r="A323" s="5"/>
      <c r="O323" s="4" t="str">
        <f>IF(A323="","",--(COUNTIF($A$2:A323,A323)=1))</f>
        <v/>
      </c>
      <c r="P323" s="4" t="str">
        <f>IF(A323="","",--(COUNTIFS($A$2:A323,A323,$F$2:F323,F323)=1))</f>
        <v/>
      </c>
    </row>
    <row r="324" spans="1:16">
      <c r="A324" s="5"/>
      <c r="O324" s="4" t="str">
        <f>IF(A324="","",--(COUNTIF($A$2:A324,A324)=1))</f>
        <v/>
      </c>
      <c r="P324" s="4" t="str">
        <f>IF(A324="","",--(COUNTIFS($A$2:A324,A324,$F$2:F324,F324)=1))</f>
        <v/>
      </c>
    </row>
    <row r="325" spans="1:16">
      <c r="A325" s="5"/>
      <c r="O325" s="4" t="str">
        <f>IF(A325="","",--(COUNTIF($A$2:A325,A325)=1))</f>
        <v/>
      </c>
      <c r="P325" s="4" t="str">
        <f>IF(A325="","",--(COUNTIFS($A$2:A325,A325,$F$2:F325,F325)=1))</f>
        <v/>
      </c>
    </row>
    <row r="326" spans="1:16">
      <c r="A326" s="5"/>
      <c r="O326" s="4" t="str">
        <f>IF(A326="","",--(COUNTIF($A$2:A326,A326)=1))</f>
        <v/>
      </c>
      <c r="P326" s="4" t="str">
        <f>IF(A326="","",--(COUNTIFS($A$2:A326,A326,$F$2:F326,F326)=1))</f>
        <v/>
      </c>
    </row>
    <row r="327" spans="1:16">
      <c r="A327" s="5"/>
      <c r="O327" s="4" t="str">
        <f>IF(A327="","",--(COUNTIF($A$2:A327,A327)=1))</f>
        <v/>
      </c>
      <c r="P327" s="4" t="str">
        <f>IF(A327="","",--(COUNTIFS($A$2:A327,A327,$F$2:F327,F327)=1))</f>
        <v/>
      </c>
    </row>
    <row r="328" spans="1:16">
      <c r="A328" s="5"/>
      <c r="O328" s="4" t="str">
        <f>IF(A328="","",--(COUNTIF($A$2:A328,A328)=1))</f>
        <v/>
      </c>
      <c r="P328" s="4" t="str">
        <f>IF(A328="","",--(COUNTIFS($A$2:A328,A328,$F$2:F328,F328)=1))</f>
        <v/>
      </c>
    </row>
    <row r="329" spans="1:16">
      <c r="A329" s="5"/>
      <c r="O329" s="4" t="str">
        <f>IF(A329="","",--(COUNTIF($A$2:A329,A329)=1))</f>
        <v/>
      </c>
      <c r="P329" s="4" t="str">
        <f>IF(A329="","",--(COUNTIFS($A$2:A329,A329,$F$2:F329,F329)=1))</f>
        <v/>
      </c>
    </row>
    <row r="330" spans="1:16">
      <c r="A330" s="5"/>
      <c r="O330" s="4" t="str">
        <f>IF(A330="","",--(COUNTIF($A$2:A330,A330)=1))</f>
        <v/>
      </c>
      <c r="P330" s="4" t="str">
        <f>IF(A330="","",--(COUNTIFS($A$2:A330,A330,$F$2:F330,F330)=1))</f>
        <v/>
      </c>
    </row>
    <row r="331" spans="1:16">
      <c r="A331" s="5"/>
      <c r="O331" s="4" t="str">
        <f>IF(A331="","",--(COUNTIF($A$2:A331,A331)=1))</f>
        <v/>
      </c>
      <c r="P331" s="4" t="str">
        <f>IF(A331="","",--(COUNTIFS($A$2:A331,A331,$F$2:F331,F331)=1))</f>
        <v/>
      </c>
    </row>
    <row r="332" spans="1:16">
      <c r="A332" s="5"/>
      <c r="O332" s="4" t="str">
        <f>IF(A332="","",--(COUNTIF($A$2:A332,A332)=1))</f>
        <v/>
      </c>
      <c r="P332" s="4" t="str">
        <f>IF(A332="","",--(COUNTIFS($A$2:A332,A332,$F$2:F332,F332)=1))</f>
        <v/>
      </c>
    </row>
    <row r="333" spans="1:16">
      <c r="A333" s="5"/>
      <c r="O333" s="4" t="str">
        <f>IF(A333="","",--(COUNTIF($A$2:A333,A333)=1))</f>
        <v/>
      </c>
      <c r="P333" s="4" t="str">
        <f>IF(A333="","",--(COUNTIFS($A$2:A333,A333,$F$2:F333,F333)=1))</f>
        <v/>
      </c>
    </row>
    <row r="334" spans="1:16">
      <c r="A334" s="5"/>
      <c r="O334" s="4" t="str">
        <f>IF(A334="","",--(COUNTIF($A$2:A334,A334)=1))</f>
        <v/>
      </c>
      <c r="P334" s="4" t="str">
        <f>IF(A334="","",--(COUNTIFS($A$2:A334,A334,$F$2:F334,F334)=1))</f>
        <v/>
      </c>
    </row>
    <row r="335" spans="1:16">
      <c r="A335" s="5"/>
      <c r="O335" s="4" t="str">
        <f>IF(A335="","",--(COUNTIF($A$2:A335,A335)=1))</f>
        <v/>
      </c>
      <c r="P335" s="4" t="str">
        <f>IF(A335="","",--(COUNTIFS($A$2:A335,A335,$F$2:F335,F335)=1))</f>
        <v/>
      </c>
    </row>
    <row r="336" spans="1:16">
      <c r="A336" s="5"/>
      <c r="O336" s="4" t="str">
        <f>IF(A336="","",--(COUNTIF($A$2:A336,A336)=1))</f>
        <v/>
      </c>
      <c r="P336" s="4" t="str">
        <f>IF(A336="","",--(COUNTIFS($A$2:A336,A336,$F$2:F336,F336)=1))</f>
        <v/>
      </c>
    </row>
    <row r="337" spans="1:16">
      <c r="A337" s="5"/>
      <c r="O337" s="4" t="str">
        <f>IF(A337="","",--(COUNTIF($A$2:A337,A337)=1))</f>
        <v/>
      </c>
      <c r="P337" s="4" t="str">
        <f>IF(A337="","",--(COUNTIFS($A$2:A337,A337,$F$2:F337,F337)=1))</f>
        <v/>
      </c>
    </row>
    <row r="338" spans="1:16">
      <c r="A338" s="5"/>
      <c r="O338" s="4" t="str">
        <f>IF(A338="","",--(COUNTIF($A$2:A338,A338)=1))</f>
        <v/>
      </c>
      <c r="P338" s="4" t="str">
        <f>IF(A338="","",--(COUNTIFS($A$2:A338,A338,$F$2:F338,F338)=1))</f>
        <v/>
      </c>
    </row>
    <row r="339" spans="1:16">
      <c r="A339" s="5"/>
      <c r="O339" s="4" t="str">
        <f>IF(A339="","",--(COUNTIF($A$2:A339,A339)=1))</f>
        <v/>
      </c>
      <c r="P339" s="4" t="str">
        <f>IF(A339="","",--(COUNTIFS($A$2:A339,A339,$F$2:F339,F339)=1))</f>
        <v/>
      </c>
    </row>
    <row r="340" spans="1:16">
      <c r="A340" s="5"/>
      <c r="O340" s="4" t="str">
        <f>IF(A340="","",--(COUNTIF($A$2:A340,A340)=1))</f>
        <v/>
      </c>
      <c r="P340" s="4" t="str">
        <f>IF(A340="","",--(COUNTIFS($A$2:A340,A340,$F$2:F340,F340)=1))</f>
        <v/>
      </c>
    </row>
    <row r="341" spans="1:16">
      <c r="A341" s="5"/>
      <c r="O341" s="4" t="str">
        <f>IF(A341="","",--(COUNTIF($A$2:A341,A341)=1))</f>
        <v/>
      </c>
      <c r="P341" s="4" t="str">
        <f>IF(A341="","",--(COUNTIFS($A$2:A341,A341,$F$2:F341,F341)=1))</f>
        <v/>
      </c>
    </row>
    <row r="342" spans="1:16">
      <c r="A342" s="5"/>
      <c r="O342" s="4" t="str">
        <f>IF(A342="","",--(COUNTIF($A$2:A342,A342)=1))</f>
        <v/>
      </c>
      <c r="P342" s="4" t="str">
        <f>IF(A342="","",--(COUNTIFS($A$2:A342,A342,$F$2:F342,F342)=1))</f>
        <v/>
      </c>
    </row>
    <row r="343" spans="1:16">
      <c r="A343" s="5"/>
      <c r="O343" s="4" t="str">
        <f>IF(A343="","",--(COUNTIF($A$2:A343,A343)=1))</f>
        <v/>
      </c>
      <c r="P343" s="4" t="str">
        <f>IF(A343="","",--(COUNTIFS($A$2:A343,A343,$F$2:F343,F343)=1))</f>
        <v/>
      </c>
    </row>
    <row r="344" spans="1:16">
      <c r="A344" s="5"/>
      <c r="O344" s="4" t="str">
        <f>IF(A344="","",--(COUNTIF($A$2:A344,A344)=1))</f>
        <v/>
      </c>
      <c r="P344" s="4" t="str">
        <f>IF(A344="","",--(COUNTIFS($A$2:A344,A344,$F$2:F344,F344)=1))</f>
        <v/>
      </c>
    </row>
    <row r="345" spans="1:16">
      <c r="A345" s="5"/>
      <c r="O345" s="4" t="str">
        <f>IF(A345="","",--(COUNTIF($A$2:A345,A345)=1))</f>
        <v/>
      </c>
      <c r="P345" s="4" t="str">
        <f>IF(A345="","",--(COUNTIFS($A$2:A345,A345,$F$2:F345,F345)=1))</f>
        <v/>
      </c>
    </row>
    <row r="346" spans="1:16">
      <c r="A346" s="5"/>
      <c r="O346" s="4" t="str">
        <f>IF(A346="","",--(COUNTIF($A$2:A346,A346)=1))</f>
        <v/>
      </c>
      <c r="P346" s="4" t="str">
        <f>IF(A346="","",--(COUNTIFS($A$2:A346,A346,$F$2:F346,F346)=1))</f>
        <v/>
      </c>
    </row>
    <row r="347" spans="1:16">
      <c r="A347" s="5"/>
      <c r="O347" s="4" t="str">
        <f>IF(A347="","",--(COUNTIF($A$2:A347,A347)=1))</f>
        <v/>
      </c>
      <c r="P347" s="4" t="str">
        <f>IF(A347="","",--(COUNTIFS($A$2:A347,A347,$F$2:F347,F347)=1))</f>
        <v/>
      </c>
    </row>
    <row r="348" spans="1:16">
      <c r="A348" s="5"/>
      <c r="O348" s="4" t="str">
        <f>IF(A348="","",--(COUNTIF($A$2:A348,A348)=1))</f>
        <v/>
      </c>
      <c r="P348" s="4" t="str">
        <f>IF(A348="","",--(COUNTIFS($A$2:A348,A348,$F$2:F348,F348)=1))</f>
        <v/>
      </c>
    </row>
    <row r="349" spans="1:16">
      <c r="A349" s="5"/>
      <c r="O349" s="4" t="str">
        <f>IF(A349="","",--(COUNTIF($A$2:A349,A349)=1))</f>
        <v/>
      </c>
      <c r="P349" s="4" t="str">
        <f>IF(A349="","",--(COUNTIFS($A$2:A349,A349,$F$2:F349,F349)=1))</f>
        <v/>
      </c>
    </row>
    <row r="350" spans="1:16">
      <c r="A350" s="5"/>
      <c r="O350" s="4" t="str">
        <f>IF(A350="","",--(COUNTIF($A$2:A350,A350)=1))</f>
        <v/>
      </c>
      <c r="P350" s="4" t="str">
        <f>IF(A350="","",--(COUNTIFS($A$2:A350,A350,$F$2:F350,F350)=1))</f>
        <v/>
      </c>
    </row>
    <row r="351" spans="1:16">
      <c r="A351" s="5"/>
      <c r="O351" s="4" t="str">
        <f>IF(A351="","",--(COUNTIF($A$2:A351,A351)=1))</f>
        <v/>
      </c>
      <c r="P351" s="4" t="str">
        <f>IF(A351="","",--(COUNTIFS($A$2:A351,A351,$F$2:F351,F351)=1))</f>
        <v/>
      </c>
    </row>
    <row r="352" spans="1:16">
      <c r="A352" s="5"/>
      <c r="O352" s="4" t="str">
        <f>IF(A352="","",--(COUNTIF($A$2:A352,A352)=1))</f>
        <v/>
      </c>
      <c r="P352" s="4" t="str">
        <f>IF(A352="","",--(COUNTIFS($A$2:A352,A352,$F$2:F352,F352)=1))</f>
        <v/>
      </c>
    </row>
    <row r="353" spans="1:16">
      <c r="A353" s="5"/>
      <c r="O353" s="4" t="str">
        <f>IF(A353="","",--(COUNTIF($A$2:A353,A353)=1))</f>
        <v/>
      </c>
      <c r="P353" s="4" t="str">
        <f>IF(A353="","",--(COUNTIFS($A$2:A353,A353,$F$2:F353,F353)=1))</f>
        <v/>
      </c>
    </row>
    <row r="354" spans="1:16">
      <c r="A354" s="5"/>
      <c r="O354" s="4" t="str">
        <f>IF(A354="","",--(COUNTIF($A$2:A354,A354)=1))</f>
        <v/>
      </c>
      <c r="P354" s="4" t="str">
        <f>IF(A354="","",--(COUNTIFS($A$2:A354,A354,$F$2:F354,F354)=1))</f>
        <v/>
      </c>
    </row>
    <row r="355" spans="1:16">
      <c r="A355" s="5"/>
      <c r="O355" s="4" t="str">
        <f>IF(A355="","",--(COUNTIF($A$2:A355,A355)=1))</f>
        <v/>
      </c>
      <c r="P355" s="4" t="str">
        <f>IF(A355="","",--(COUNTIFS($A$2:A355,A355,$F$2:F355,F355)=1))</f>
        <v/>
      </c>
    </row>
    <row r="356" spans="1:16">
      <c r="A356" s="5"/>
      <c r="O356" s="4" t="str">
        <f>IF(A356="","",--(COUNTIF($A$2:A356,A356)=1))</f>
        <v/>
      </c>
      <c r="P356" s="4" t="str">
        <f>IF(A356="","",--(COUNTIFS($A$2:A356,A356,$F$2:F356,F356)=1))</f>
        <v/>
      </c>
    </row>
    <row r="357" spans="1:16">
      <c r="A357" s="5"/>
      <c r="O357" s="4" t="str">
        <f>IF(A357="","",--(COUNTIF($A$2:A357,A357)=1))</f>
        <v/>
      </c>
      <c r="P357" s="4" t="str">
        <f>IF(A357="","",--(COUNTIFS($A$2:A357,A357,$F$2:F357,F357)=1))</f>
        <v/>
      </c>
    </row>
    <row r="358" spans="1:16">
      <c r="A358" s="5"/>
      <c r="O358" s="4" t="str">
        <f>IF(A358="","",--(COUNTIF($A$2:A358,A358)=1))</f>
        <v/>
      </c>
      <c r="P358" s="4" t="str">
        <f>IF(A358="","",--(COUNTIFS($A$2:A358,A358,$F$2:F358,F358)=1))</f>
        <v/>
      </c>
    </row>
    <row r="359" spans="1:16">
      <c r="A359" s="5"/>
      <c r="O359" s="4" t="str">
        <f>IF(A359="","",--(COUNTIF($A$2:A359,A359)=1))</f>
        <v/>
      </c>
      <c r="P359" s="4" t="str">
        <f>IF(A359="","",--(COUNTIFS($A$2:A359,A359,$F$2:F359,F359)=1))</f>
        <v/>
      </c>
    </row>
    <row r="360" spans="1:16">
      <c r="A360" s="5"/>
      <c r="O360" s="4" t="str">
        <f>IF(A360="","",--(COUNTIF($A$2:A360,A360)=1))</f>
        <v/>
      </c>
      <c r="P360" s="4" t="str">
        <f>IF(A360="","",--(COUNTIFS($A$2:A360,A360,$F$2:F360,F360)=1))</f>
        <v/>
      </c>
    </row>
    <row r="361" spans="1:16">
      <c r="A361" s="5"/>
      <c r="O361" s="4" t="str">
        <f>IF(A361="","",--(COUNTIF($A$2:A361,A361)=1))</f>
        <v/>
      </c>
      <c r="P361" s="4" t="str">
        <f>IF(A361="","",--(COUNTIFS($A$2:A361,A361,$F$2:F361,F361)=1))</f>
        <v/>
      </c>
    </row>
    <row r="362" spans="1:16">
      <c r="A362" s="5"/>
      <c r="O362" s="4" t="str">
        <f>IF(A362="","",--(COUNTIF($A$2:A362,A362)=1))</f>
        <v/>
      </c>
      <c r="P362" s="4" t="str">
        <f>IF(A362="","",--(COUNTIFS($A$2:A362,A362,$F$2:F362,F362)=1))</f>
        <v/>
      </c>
    </row>
    <row r="363" spans="1:16">
      <c r="A363" s="5"/>
      <c r="O363" s="4" t="str">
        <f>IF(A363="","",--(COUNTIF($A$2:A363,A363)=1))</f>
        <v/>
      </c>
      <c r="P363" s="4" t="str">
        <f>IF(A363="","",--(COUNTIFS($A$2:A363,A363,$F$2:F363,F363)=1))</f>
        <v/>
      </c>
    </row>
    <row r="364" spans="1:16">
      <c r="A364" s="5"/>
      <c r="O364" s="4" t="str">
        <f>IF(A364="","",--(COUNTIF($A$2:A364,A364)=1))</f>
        <v/>
      </c>
      <c r="P364" s="4" t="str">
        <f>IF(A364="","",--(COUNTIFS($A$2:A364,A364,$F$2:F364,F364)=1))</f>
        <v/>
      </c>
    </row>
    <row r="365" spans="1:16">
      <c r="A365" s="5"/>
      <c r="O365" s="4" t="str">
        <f>IF(A365="","",--(COUNTIF($A$2:A365,A365)=1))</f>
        <v/>
      </c>
      <c r="P365" s="4" t="str">
        <f>IF(A365="","",--(COUNTIFS($A$2:A365,A365,$F$2:F365,F365)=1))</f>
        <v/>
      </c>
    </row>
    <row r="366" spans="1:16">
      <c r="A366" s="5"/>
      <c r="O366" s="4" t="str">
        <f>IF(A366="","",--(COUNTIF($A$2:A366,A366)=1))</f>
        <v/>
      </c>
      <c r="P366" s="4" t="str">
        <f>IF(A366="","",--(COUNTIFS($A$2:A366,A366,$F$2:F366,F366)=1))</f>
        <v/>
      </c>
    </row>
    <row r="367" spans="1:16">
      <c r="A367" s="5"/>
      <c r="O367" s="4" t="str">
        <f>IF(A367="","",--(COUNTIF($A$2:A367,A367)=1))</f>
        <v/>
      </c>
      <c r="P367" s="4" t="str">
        <f>IF(A367="","",--(COUNTIFS($A$2:A367,A367,$F$2:F367,F367)=1))</f>
        <v/>
      </c>
    </row>
    <row r="368" spans="1:16">
      <c r="A368" s="5"/>
      <c r="O368" s="4" t="str">
        <f>IF(A368="","",--(COUNTIF($A$2:A368,A368)=1))</f>
        <v/>
      </c>
      <c r="P368" s="4" t="str">
        <f>IF(A368="","",--(COUNTIFS($A$2:A368,A368,$F$2:F368,F368)=1))</f>
        <v/>
      </c>
    </row>
    <row r="369" spans="1:16">
      <c r="A369" s="5"/>
      <c r="O369" s="4" t="str">
        <f>IF(A369="","",--(COUNTIF($A$2:A369,A369)=1))</f>
        <v/>
      </c>
      <c r="P369" s="4" t="str">
        <f>IF(A369="","",--(COUNTIFS($A$2:A369,A369,$F$2:F369,F369)=1))</f>
        <v/>
      </c>
    </row>
    <row r="370" spans="1:16">
      <c r="A370" s="5"/>
      <c r="O370" s="4" t="str">
        <f>IF(A370="","",--(COUNTIF($A$2:A370,A370)=1))</f>
        <v/>
      </c>
      <c r="P370" s="4" t="str">
        <f>IF(A370="","",--(COUNTIFS($A$2:A370,A370,$F$2:F370,F370)=1))</f>
        <v/>
      </c>
    </row>
    <row r="371" spans="1:16">
      <c r="A371" s="5"/>
      <c r="O371" s="4" t="str">
        <f>IF(A371="","",--(COUNTIF($A$2:A371,A371)=1))</f>
        <v/>
      </c>
      <c r="P371" s="4" t="str">
        <f>IF(A371="","",--(COUNTIFS($A$2:A371,A371,$F$2:F371,F371)=1))</f>
        <v/>
      </c>
    </row>
    <row r="372" spans="1:16">
      <c r="A372" s="5"/>
      <c r="O372" s="4" t="str">
        <f>IF(A372="","",--(COUNTIF($A$2:A372,A372)=1))</f>
        <v/>
      </c>
      <c r="P372" s="4" t="str">
        <f>IF(A372="","",--(COUNTIFS($A$2:A372,A372,$F$2:F372,F372)=1))</f>
        <v/>
      </c>
    </row>
    <row r="373" spans="1:16">
      <c r="A373" s="5"/>
      <c r="O373" s="4" t="str">
        <f>IF(A373="","",--(COUNTIF($A$2:A373,A373)=1))</f>
        <v/>
      </c>
      <c r="P373" s="4" t="str">
        <f>IF(A373="","",--(COUNTIFS($A$2:A373,A373,$F$2:F373,F373)=1))</f>
        <v/>
      </c>
    </row>
    <row r="374" spans="1:16">
      <c r="A374" s="5"/>
      <c r="O374" s="4" t="str">
        <f>IF(A374="","",--(COUNTIF($A$2:A374,A374)=1))</f>
        <v/>
      </c>
      <c r="P374" s="4" t="str">
        <f>IF(A374="","",--(COUNTIFS($A$2:A374,A374,$F$2:F374,F374)=1))</f>
        <v/>
      </c>
    </row>
    <row r="375" spans="1:16">
      <c r="A375" s="5"/>
      <c r="O375" s="4" t="str">
        <f>IF(A375="","",--(COUNTIF($A$2:A375,A375)=1))</f>
        <v/>
      </c>
      <c r="P375" s="4" t="str">
        <f>IF(A375="","",--(COUNTIFS($A$2:A375,A375,$F$2:F375,F375)=1))</f>
        <v/>
      </c>
    </row>
    <row r="376" spans="1:16">
      <c r="A376" s="5"/>
      <c r="O376" s="4" t="str">
        <f>IF(A376="","",--(COUNTIF($A$2:A376,A376)=1))</f>
        <v/>
      </c>
      <c r="P376" s="4" t="str">
        <f>IF(A376="","",--(COUNTIFS($A$2:A376,A376,$F$2:F376,F376)=1))</f>
        <v/>
      </c>
    </row>
    <row r="377" spans="1:16">
      <c r="A377" s="5"/>
      <c r="O377" s="4" t="str">
        <f>IF(A377="","",--(COUNTIF($A$2:A377,A377)=1))</f>
        <v/>
      </c>
      <c r="P377" s="4" t="str">
        <f>IF(A377="","",--(COUNTIFS($A$2:A377,A377,$F$2:F377,F377)=1))</f>
        <v/>
      </c>
    </row>
    <row r="378" spans="1:16">
      <c r="A378" s="5"/>
      <c r="O378" s="4" t="str">
        <f>IF(A378="","",--(COUNTIF($A$2:A378,A378)=1))</f>
        <v/>
      </c>
      <c r="P378" s="4" t="str">
        <f>IF(A378="","",--(COUNTIFS($A$2:A378,A378,$F$2:F378,F378)=1))</f>
        <v/>
      </c>
    </row>
    <row r="379" spans="1:16">
      <c r="A379" s="5"/>
      <c r="O379" s="4" t="str">
        <f>IF(A379="","",--(COUNTIF($A$2:A379,A379)=1))</f>
        <v/>
      </c>
      <c r="P379" s="4" t="str">
        <f>IF(A379="","",--(COUNTIFS($A$2:A379,A379,$F$2:F379,F379)=1))</f>
        <v/>
      </c>
    </row>
    <row r="380" spans="1:16">
      <c r="A380" s="5"/>
      <c r="O380" s="4" t="str">
        <f>IF(A380="","",--(COUNTIF($A$2:A380,A380)=1))</f>
        <v/>
      </c>
      <c r="P380" s="4" t="str">
        <f>IF(A380="","",--(COUNTIFS($A$2:A380,A380,$F$2:F380,F380)=1))</f>
        <v/>
      </c>
    </row>
    <row r="381" spans="1:16">
      <c r="A381" s="5"/>
      <c r="O381" s="4" t="str">
        <f>IF(A381="","",--(COUNTIF($A$2:A381,A381)=1))</f>
        <v/>
      </c>
      <c r="P381" s="4" t="str">
        <f>IF(A381="","",--(COUNTIFS($A$2:A381,A381,$F$2:F381,F381)=1))</f>
        <v/>
      </c>
    </row>
    <row r="382" spans="1:16">
      <c r="A382" s="5"/>
      <c r="O382" s="4" t="str">
        <f>IF(A382="","",--(COUNTIF($A$2:A382,A382)=1))</f>
        <v/>
      </c>
      <c r="P382" s="4" t="str">
        <f>IF(A382="","",--(COUNTIFS($A$2:A382,A382,$F$2:F382,F382)=1))</f>
        <v/>
      </c>
    </row>
    <row r="383" spans="1:16">
      <c r="A383" s="5"/>
      <c r="O383" s="4" t="str">
        <f>IF(A383="","",--(COUNTIF($A$2:A383,A383)=1))</f>
        <v/>
      </c>
      <c r="P383" s="4" t="str">
        <f>IF(A383="","",--(COUNTIFS($A$2:A383,A383,$F$2:F383,F383)=1))</f>
        <v/>
      </c>
    </row>
    <row r="384" spans="1:16">
      <c r="A384" s="5"/>
      <c r="O384" s="4" t="str">
        <f>IF(A384="","",--(COUNTIF($A$2:A384,A384)=1))</f>
        <v/>
      </c>
      <c r="P384" s="4" t="str">
        <f>IF(A384="","",--(COUNTIFS($A$2:A384,A384,$F$2:F384,F384)=1))</f>
        <v/>
      </c>
    </row>
    <row r="385" spans="1:16">
      <c r="A385" s="5"/>
      <c r="O385" s="4" t="str">
        <f>IF(A385="","",--(COUNTIF($A$2:A385,A385)=1))</f>
        <v/>
      </c>
      <c r="P385" s="4" t="str">
        <f>IF(A385="","",--(COUNTIFS($A$2:A385,A385,$F$2:F385,F385)=1))</f>
        <v/>
      </c>
    </row>
    <row r="386" spans="1:16">
      <c r="A386" s="5"/>
      <c r="O386" s="4" t="str">
        <f>IF(A386="","",--(COUNTIF($A$2:A386,A386)=1))</f>
        <v/>
      </c>
      <c r="P386" s="4" t="str">
        <f>IF(A386="","",--(COUNTIFS($A$2:A386,A386,$F$2:F386,F386)=1))</f>
        <v/>
      </c>
    </row>
    <row r="387" spans="1:16">
      <c r="A387" s="5"/>
      <c r="O387" s="4" t="str">
        <f>IF(A387="","",--(COUNTIF($A$2:A387,A387)=1))</f>
        <v/>
      </c>
      <c r="P387" s="4" t="str">
        <f>IF(A387="","",--(COUNTIFS($A$2:A387,A387,$F$2:F387,F387)=1))</f>
        <v/>
      </c>
    </row>
    <row r="388" spans="1:16">
      <c r="A388" s="5"/>
      <c r="O388" s="4" t="str">
        <f>IF(A388="","",--(COUNTIF($A$2:A388,A388)=1))</f>
        <v/>
      </c>
      <c r="P388" s="4" t="str">
        <f>IF(A388="","",--(COUNTIFS($A$2:A388,A388,$F$2:F388,F388)=1))</f>
        <v/>
      </c>
    </row>
    <row r="389" spans="1:16">
      <c r="A389" s="5"/>
      <c r="O389" s="4" t="str">
        <f>IF(A389="","",--(COUNTIF($A$2:A389,A389)=1))</f>
        <v/>
      </c>
      <c r="P389" s="4" t="str">
        <f>IF(A389="","",--(COUNTIFS($A$2:A389,A389,$F$2:F389,F389)=1))</f>
        <v/>
      </c>
    </row>
    <row r="390" spans="1:16">
      <c r="A390" s="5"/>
      <c r="O390" s="4" t="str">
        <f>IF(A390="","",--(COUNTIF($A$2:A390,A390)=1))</f>
        <v/>
      </c>
      <c r="P390" s="4" t="str">
        <f>IF(A390="","",--(COUNTIFS($A$2:A390,A390,$F$2:F390,F390)=1))</f>
        <v/>
      </c>
    </row>
    <row r="391" spans="1:16">
      <c r="A391" s="5"/>
      <c r="O391" s="4" t="str">
        <f>IF(A391="","",--(COUNTIF($A$2:A391,A391)=1))</f>
        <v/>
      </c>
      <c r="P391" s="4" t="str">
        <f>IF(A391="","",--(COUNTIFS($A$2:A391,A391,$F$2:F391,F391)=1))</f>
        <v/>
      </c>
    </row>
    <row r="392" spans="1:16">
      <c r="A392" s="5"/>
      <c r="O392" s="4" t="str">
        <f>IF(A392="","",--(COUNTIF($A$2:A392,A392)=1))</f>
        <v/>
      </c>
      <c r="P392" s="4" t="str">
        <f>IF(A392="","",--(COUNTIFS($A$2:A392,A392,$F$2:F392,F392)=1))</f>
        <v/>
      </c>
    </row>
    <row r="393" spans="1:16">
      <c r="A393" s="5"/>
      <c r="O393" s="4" t="str">
        <f>IF(A393="","",--(COUNTIF($A$2:A393,A393)=1))</f>
        <v/>
      </c>
      <c r="P393" s="4" t="str">
        <f>IF(A393="","",--(COUNTIFS($A$2:A393,A393,$F$2:F393,F393)=1))</f>
        <v/>
      </c>
    </row>
    <row r="394" spans="1:16">
      <c r="A394" s="5"/>
      <c r="O394" s="4" t="str">
        <f>IF(A394="","",--(COUNTIF($A$2:A394,A394)=1))</f>
        <v/>
      </c>
      <c r="P394" s="4" t="str">
        <f>IF(A394="","",--(COUNTIFS($A$2:A394,A394,$F$2:F394,F394)=1))</f>
        <v/>
      </c>
    </row>
    <row r="395" spans="1:16">
      <c r="A395" s="5"/>
      <c r="O395" s="4" t="str">
        <f>IF(A395="","",--(COUNTIF($A$2:A395,A395)=1))</f>
        <v/>
      </c>
      <c r="P395" s="4" t="str">
        <f>IF(A395="","",--(COUNTIFS($A$2:A395,A395,$F$2:F395,F395)=1))</f>
        <v/>
      </c>
    </row>
    <row r="396" spans="1:16">
      <c r="A396" s="5"/>
      <c r="O396" s="4" t="str">
        <f>IF(A396="","",--(COUNTIF($A$2:A396,A396)=1))</f>
        <v/>
      </c>
      <c r="P396" s="4" t="str">
        <f>IF(A396="","",--(COUNTIFS($A$2:A396,A396,$F$2:F396,F396)=1))</f>
        <v/>
      </c>
    </row>
    <row r="397" spans="1:16">
      <c r="A397" s="5"/>
      <c r="O397" s="4" t="str">
        <f>IF(A397="","",--(COUNTIF($A$2:A397,A397)=1))</f>
        <v/>
      </c>
      <c r="P397" s="4" t="str">
        <f>IF(A397="","",--(COUNTIFS($A$2:A397,A397,$F$2:F397,F397)=1))</f>
        <v/>
      </c>
    </row>
    <row r="398" spans="1:16">
      <c r="A398" s="5"/>
      <c r="O398" s="4" t="str">
        <f>IF(A398="","",--(COUNTIF($A$2:A398,A398)=1))</f>
        <v/>
      </c>
      <c r="P398" s="4" t="str">
        <f>IF(A398="","",--(COUNTIFS($A$2:A398,A398,$F$2:F398,F398)=1))</f>
        <v/>
      </c>
    </row>
    <row r="399" spans="1:16">
      <c r="A399" s="5"/>
      <c r="O399" s="4" t="str">
        <f>IF(A399="","",--(COUNTIF($A$2:A399,A399)=1))</f>
        <v/>
      </c>
      <c r="P399" s="4" t="str">
        <f>IF(A399="","",--(COUNTIFS($A$2:A399,A399,$F$2:F399,F399)=1))</f>
        <v/>
      </c>
    </row>
    <row r="400" spans="1:16">
      <c r="A400" s="5"/>
      <c r="O400" s="4" t="str">
        <f>IF(A400="","",--(COUNTIF($A$2:A400,A400)=1))</f>
        <v/>
      </c>
      <c r="P400" s="4" t="str">
        <f>IF(A400="","",--(COUNTIFS($A$2:A400,A400,$F$2:F400,F400)=1))</f>
        <v/>
      </c>
    </row>
    <row r="401" spans="1:16">
      <c r="A401" s="5"/>
      <c r="O401" s="4" t="str">
        <f>IF(A401="","",--(COUNTIF($A$2:A401,A401)=1))</f>
        <v/>
      </c>
      <c r="P401" s="4" t="str">
        <f>IF(A401="","",--(COUNTIFS($A$2:A401,A401,$F$2:F401,F401)=1))</f>
        <v/>
      </c>
    </row>
    <row r="402" spans="1:16">
      <c r="A402" s="5"/>
      <c r="O402" s="4" t="str">
        <f>IF(A402="","",--(COUNTIF($A$2:A402,A402)=1))</f>
        <v/>
      </c>
      <c r="P402" s="4" t="str">
        <f>IF(A402="","",--(COUNTIFS($A$2:A402,A402,$F$2:F402,F402)=1))</f>
        <v/>
      </c>
    </row>
    <row r="403" spans="1:16">
      <c r="A403" s="5"/>
      <c r="O403" s="4" t="str">
        <f>IF(A403="","",--(COUNTIF($A$2:A403,A403)=1))</f>
        <v/>
      </c>
      <c r="P403" s="4" t="str">
        <f>IF(A403="","",--(COUNTIFS($A$2:A403,A403,$F$2:F403,F403)=1))</f>
        <v/>
      </c>
    </row>
    <row r="404" spans="1:16">
      <c r="A404" s="5"/>
      <c r="O404" s="4" t="str">
        <f>IF(A404="","",--(COUNTIF($A$2:A404,A404)=1))</f>
        <v/>
      </c>
      <c r="P404" s="4" t="str">
        <f>IF(A404="","",--(COUNTIFS($A$2:A404,A404,$F$2:F404,F404)=1))</f>
        <v/>
      </c>
    </row>
    <row r="405" spans="1:16">
      <c r="A405" s="5"/>
      <c r="O405" s="4" t="str">
        <f>IF(A405="","",--(COUNTIF($A$2:A405,A405)=1))</f>
        <v/>
      </c>
      <c r="P405" s="4" t="str">
        <f>IF(A405="","",--(COUNTIFS($A$2:A405,A405,$F$2:F405,F405)=1))</f>
        <v/>
      </c>
    </row>
    <row r="406" spans="1:16">
      <c r="A406" s="5"/>
      <c r="O406" s="4" t="str">
        <f>IF(A406="","",--(COUNTIF($A$2:A406,A406)=1))</f>
        <v/>
      </c>
      <c r="P406" s="4" t="str">
        <f>IF(A406="","",--(COUNTIFS($A$2:A406,A406,$F$2:F406,F406)=1))</f>
        <v/>
      </c>
    </row>
    <row r="407" spans="1:16">
      <c r="A407" s="5"/>
      <c r="O407" s="4" t="str">
        <f>IF(A407="","",--(COUNTIF($A$2:A407,A407)=1))</f>
        <v/>
      </c>
      <c r="P407" s="4" t="str">
        <f>IF(A407="","",--(COUNTIFS($A$2:A407,A407,$F$2:F407,F407)=1))</f>
        <v/>
      </c>
    </row>
    <row r="408" spans="1:16">
      <c r="A408" s="5"/>
      <c r="O408" s="4" t="str">
        <f>IF(A408="","",--(COUNTIF($A$2:A408,A408)=1))</f>
        <v/>
      </c>
      <c r="P408" s="4" t="str">
        <f>IF(A408="","",--(COUNTIFS($A$2:A408,A408,$F$2:F408,F408)=1))</f>
        <v/>
      </c>
    </row>
    <row r="409" spans="1:16">
      <c r="A409" s="5"/>
      <c r="O409" s="4" t="str">
        <f>IF(A409="","",--(COUNTIF($A$2:A409,A409)=1))</f>
        <v/>
      </c>
      <c r="P409" s="4" t="str">
        <f>IF(A409="","",--(COUNTIFS($A$2:A409,A409,$F$2:F409,F409)=1))</f>
        <v/>
      </c>
    </row>
    <row r="410" spans="1:16">
      <c r="A410" s="5"/>
      <c r="O410" s="4" t="str">
        <f>IF(A410="","",--(COUNTIF($A$2:A410,A410)=1))</f>
        <v/>
      </c>
      <c r="P410" s="4" t="str">
        <f>IF(A410="","",--(COUNTIFS($A$2:A410,A410,$F$2:F410,F410)=1))</f>
        <v/>
      </c>
    </row>
    <row r="411" spans="1:16">
      <c r="A411" s="5"/>
      <c r="O411" s="4" t="str">
        <f>IF(A411="","",--(COUNTIF($A$2:A411,A411)=1))</f>
        <v/>
      </c>
      <c r="P411" s="4" t="str">
        <f>IF(A411="","",--(COUNTIFS($A$2:A411,A411,$F$2:F411,F411)=1))</f>
        <v/>
      </c>
    </row>
    <row r="412" spans="1:16">
      <c r="A412" s="5"/>
      <c r="O412" s="4" t="str">
        <f>IF(A412="","",--(COUNTIF($A$2:A412,A412)=1))</f>
        <v/>
      </c>
      <c r="P412" s="4" t="str">
        <f>IF(A412="","",--(COUNTIFS($A$2:A412,A412,$F$2:F412,F412)=1))</f>
        <v/>
      </c>
    </row>
    <row r="413" spans="1:16">
      <c r="A413" s="5"/>
      <c r="O413" s="4" t="str">
        <f>IF(A413="","",--(COUNTIF($A$2:A413,A413)=1))</f>
        <v/>
      </c>
      <c r="P413" s="4" t="str">
        <f>IF(A413="","",--(COUNTIFS($A$2:A413,A413,$F$2:F413,F413)=1))</f>
        <v/>
      </c>
    </row>
    <row r="414" spans="1:16">
      <c r="A414" s="5"/>
      <c r="O414" s="4" t="str">
        <f>IF(A414="","",--(COUNTIF($A$2:A414,A414)=1))</f>
        <v/>
      </c>
      <c r="P414" s="4" t="str">
        <f>IF(A414="","",--(COUNTIFS($A$2:A414,A414,$F$2:F414,F414)=1))</f>
        <v/>
      </c>
    </row>
    <row r="415" spans="1:16">
      <c r="A415" s="5"/>
      <c r="O415" s="4" t="str">
        <f>IF(A415="","",--(COUNTIF($A$2:A415,A415)=1))</f>
        <v/>
      </c>
      <c r="P415" s="4" t="str">
        <f>IF(A415="","",--(COUNTIFS($A$2:A415,A415,$F$2:F415,F415)=1))</f>
        <v/>
      </c>
    </row>
    <row r="416" spans="1:16">
      <c r="A416" s="5"/>
      <c r="O416" s="4" t="str">
        <f>IF(A416="","",--(COUNTIF($A$2:A416,A416)=1))</f>
        <v/>
      </c>
      <c r="P416" s="4" t="str">
        <f>IF(A416="","",--(COUNTIFS($A$2:A416,A416,$F$2:F416,F416)=1))</f>
        <v/>
      </c>
    </row>
    <row r="417" spans="1:16">
      <c r="A417" s="5"/>
      <c r="O417" s="4" t="str">
        <f>IF(A417="","",--(COUNTIF($A$2:A417,A417)=1))</f>
        <v/>
      </c>
      <c r="P417" s="4" t="str">
        <f>IF(A417="","",--(COUNTIFS($A$2:A417,A417,$F$2:F417,F417)=1))</f>
        <v/>
      </c>
    </row>
    <row r="418" spans="1:16">
      <c r="A418" s="5"/>
      <c r="O418" s="4" t="str">
        <f>IF(A418="","",--(COUNTIF($A$2:A418,A418)=1))</f>
        <v/>
      </c>
      <c r="P418" s="4" t="str">
        <f>IF(A418="","",--(COUNTIFS($A$2:A418,A418,$F$2:F418,F418)=1))</f>
        <v/>
      </c>
    </row>
    <row r="419" spans="1:16">
      <c r="A419" s="5"/>
      <c r="O419" s="4" t="str">
        <f>IF(A419="","",--(COUNTIF($A$2:A419,A419)=1))</f>
        <v/>
      </c>
      <c r="P419" s="4" t="str">
        <f>IF(A419="","",--(COUNTIFS($A$2:A419,A419,$F$2:F419,F419)=1))</f>
        <v/>
      </c>
    </row>
    <row r="420" spans="1:16">
      <c r="A420" s="5"/>
      <c r="O420" s="4" t="str">
        <f>IF(A420="","",--(COUNTIF($A$2:A420,A420)=1))</f>
        <v/>
      </c>
      <c r="P420" s="4" t="str">
        <f>IF(A420="","",--(COUNTIFS($A$2:A420,A420,$F$2:F420,F420)=1))</f>
        <v/>
      </c>
    </row>
    <row r="421" spans="1:16">
      <c r="A421" s="5"/>
      <c r="O421" s="4" t="str">
        <f>IF(A421="","",--(COUNTIF($A$2:A421,A421)=1))</f>
        <v/>
      </c>
      <c r="P421" s="4" t="str">
        <f>IF(A421="","",--(COUNTIFS($A$2:A421,A421,$F$2:F421,F421)=1))</f>
        <v/>
      </c>
    </row>
    <row r="422" spans="1:16">
      <c r="A422" s="5"/>
      <c r="O422" s="4" t="str">
        <f>IF(A422="","",--(COUNTIF($A$2:A422,A422)=1))</f>
        <v/>
      </c>
      <c r="P422" s="4" t="str">
        <f>IF(A422="","",--(COUNTIFS($A$2:A422,A422,$F$2:F422,F422)=1))</f>
        <v/>
      </c>
    </row>
    <row r="423" spans="1:16">
      <c r="A423" s="5"/>
      <c r="O423" s="4" t="str">
        <f>IF(A423="","",--(COUNTIF($A$2:A423,A423)=1))</f>
        <v/>
      </c>
      <c r="P423" s="4" t="str">
        <f>IF(A423="","",--(COUNTIFS($A$2:A423,A423,$F$2:F423,F423)=1))</f>
        <v/>
      </c>
    </row>
    <row r="424" spans="1:16">
      <c r="A424" s="5"/>
      <c r="O424" s="4" t="str">
        <f>IF(A424="","",--(COUNTIF($A$2:A424,A424)=1))</f>
        <v/>
      </c>
      <c r="P424" s="4" t="str">
        <f>IF(A424="","",--(COUNTIFS($A$2:A424,A424,$F$2:F424,F424)=1))</f>
        <v/>
      </c>
    </row>
    <row r="425" spans="1:16">
      <c r="A425" s="5"/>
      <c r="O425" s="4" t="str">
        <f>IF(A425="","",--(COUNTIF($A$2:A425,A425)=1))</f>
        <v/>
      </c>
      <c r="P425" s="4" t="str">
        <f>IF(A425="","",--(COUNTIFS($A$2:A425,A425,$F$2:F425,F425)=1))</f>
        <v/>
      </c>
    </row>
    <row r="426" spans="1:16">
      <c r="A426" s="5"/>
      <c r="O426" s="4" t="str">
        <f>IF(A426="","",--(COUNTIF($A$2:A426,A426)=1))</f>
        <v/>
      </c>
      <c r="P426" s="4" t="str">
        <f>IF(A426="","",--(COUNTIFS($A$2:A426,A426,$F$2:F426,F426)=1))</f>
        <v/>
      </c>
    </row>
    <row r="427" spans="1:16">
      <c r="A427" s="5"/>
      <c r="O427" s="4" t="str">
        <f>IF(A427="","",--(COUNTIF($A$2:A427,A427)=1))</f>
        <v/>
      </c>
      <c r="P427" s="4" t="str">
        <f>IF(A427="","",--(COUNTIFS($A$2:A427,A427,$F$2:F427,F427)=1))</f>
        <v/>
      </c>
    </row>
    <row r="428" spans="1:16">
      <c r="A428" s="5"/>
      <c r="O428" s="4" t="str">
        <f>IF(A428="","",--(COUNTIF($A$2:A428,A428)=1))</f>
        <v/>
      </c>
      <c r="P428" s="4" t="str">
        <f>IF(A428="","",--(COUNTIFS($A$2:A428,A428,$F$2:F428,F428)=1))</f>
        <v/>
      </c>
    </row>
    <row r="429" spans="1:16">
      <c r="A429" s="5"/>
      <c r="O429" s="4" t="str">
        <f>IF(A429="","",--(COUNTIF($A$2:A429,A429)=1))</f>
        <v/>
      </c>
      <c r="P429" s="4" t="str">
        <f>IF(A429="","",--(COUNTIFS($A$2:A429,A429,$F$2:F429,F429)=1))</f>
        <v/>
      </c>
    </row>
    <row r="430" spans="1:16">
      <c r="A430" s="5"/>
      <c r="O430" s="4" t="str">
        <f>IF(A430="","",--(COUNTIF($A$2:A430,A430)=1))</f>
        <v/>
      </c>
      <c r="P430" s="4" t="str">
        <f>IF(A430="","",--(COUNTIFS($A$2:A430,A430,$F$2:F430,F430)=1))</f>
        <v/>
      </c>
    </row>
    <row r="431" spans="1:16">
      <c r="A431" s="5"/>
      <c r="O431" s="4" t="str">
        <f>IF(A431="","",--(COUNTIF($A$2:A431,A431)=1))</f>
        <v/>
      </c>
      <c r="P431" s="4" t="str">
        <f>IF(A431="","",--(COUNTIFS($A$2:A431,A431,$F$2:F431,F431)=1))</f>
        <v/>
      </c>
    </row>
    <row r="432" spans="1:16">
      <c r="A432" s="5"/>
      <c r="O432" s="4" t="str">
        <f>IF(A432="","",--(COUNTIF($A$2:A432,A432)=1))</f>
        <v/>
      </c>
      <c r="P432" s="4" t="str">
        <f>IF(A432="","",--(COUNTIFS($A$2:A432,A432,$F$2:F432,F432)=1))</f>
        <v/>
      </c>
    </row>
    <row r="433" spans="1:16">
      <c r="A433" s="5"/>
      <c r="O433" s="4" t="str">
        <f>IF(A433="","",--(COUNTIF($A$2:A433,A433)=1))</f>
        <v/>
      </c>
      <c r="P433" s="4" t="str">
        <f>IF(A433="","",--(COUNTIFS($A$2:A433,A433,$F$2:F433,F433)=1))</f>
        <v/>
      </c>
    </row>
    <row r="434" spans="1:16">
      <c r="A434" s="5"/>
      <c r="O434" s="4" t="str">
        <f>IF(A434="","",--(COUNTIF($A$2:A434,A434)=1))</f>
        <v/>
      </c>
      <c r="P434" s="4" t="str">
        <f>IF(A434="","",--(COUNTIFS($A$2:A434,A434,$F$2:F434,F434)=1))</f>
        <v/>
      </c>
    </row>
    <row r="435" spans="1:16">
      <c r="A435" s="5"/>
      <c r="O435" s="4" t="str">
        <f>IF(A435="","",--(COUNTIF($A$2:A435,A435)=1))</f>
        <v/>
      </c>
      <c r="P435" s="4" t="str">
        <f>IF(A435="","",--(COUNTIFS($A$2:A435,A435,$F$2:F435,F435)=1))</f>
        <v/>
      </c>
    </row>
    <row r="436" spans="1:16">
      <c r="A436" s="5"/>
      <c r="O436" s="4" t="str">
        <f>IF(A436="","",--(COUNTIF($A$2:A436,A436)=1))</f>
        <v/>
      </c>
      <c r="P436" s="4" t="str">
        <f>IF(A436="","",--(COUNTIFS($A$2:A436,A436,$F$2:F436,F436)=1))</f>
        <v/>
      </c>
    </row>
    <row r="437" spans="1:16">
      <c r="A437" s="5"/>
      <c r="O437" s="4" t="str">
        <f>IF(A437="","",--(COUNTIF($A$2:A437,A437)=1))</f>
        <v/>
      </c>
      <c r="P437" s="4" t="str">
        <f>IF(A437="","",--(COUNTIFS($A$2:A437,A437,$F$2:F437,F437)=1))</f>
        <v/>
      </c>
    </row>
    <row r="438" spans="1:16">
      <c r="A438" s="5"/>
      <c r="O438" s="4" t="str">
        <f>IF(A438="","",--(COUNTIF($A$2:A438,A438)=1))</f>
        <v/>
      </c>
      <c r="P438" s="4" t="str">
        <f>IF(A438="","",--(COUNTIFS($A$2:A438,A438,$F$2:F438,F438)=1))</f>
        <v/>
      </c>
    </row>
    <row r="439" spans="1:16">
      <c r="A439" s="5"/>
      <c r="O439" s="4" t="str">
        <f>IF(A439="","",--(COUNTIF($A$2:A439,A439)=1))</f>
        <v/>
      </c>
      <c r="P439" s="4" t="str">
        <f>IF(A439="","",--(COUNTIFS($A$2:A439,A439,$F$2:F439,F439)=1))</f>
        <v/>
      </c>
    </row>
    <row r="440" spans="1:16">
      <c r="A440" s="5"/>
      <c r="O440" s="4" t="str">
        <f>IF(A440="","",--(COUNTIF($A$2:A440,A440)=1))</f>
        <v/>
      </c>
      <c r="P440" s="4" t="str">
        <f>IF(A440="","",--(COUNTIFS($A$2:A440,A440,$F$2:F440,F440)=1))</f>
        <v/>
      </c>
    </row>
    <row r="441" spans="1:16">
      <c r="A441" s="5"/>
      <c r="O441" s="4" t="str">
        <f>IF(A441="","",--(COUNTIF($A$2:A441,A441)=1))</f>
        <v/>
      </c>
      <c r="P441" s="4" t="str">
        <f>IF(A441="","",--(COUNTIFS($A$2:A441,A441,$F$2:F441,F441)=1))</f>
        <v/>
      </c>
    </row>
    <row r="442" spans="1:16">
      <c r="A442" s="5"/>
      <c r="O442" s="4" t="str">
        <f>IF(A442="","",--(COUNTIF($A$2:A442,A442)=1))</f>
        <v/>
      </c>
      <c r="P442" s="4" t="str">
        <f>IF(A442="","",--(COUNTIFS($A$2:A442,A442,$F$2:F442,F442)=1))</f>
        <v/>
      </c>
    </row>
    <row r="443" spans="1:16">
      <c r="A443" s="5"/>
      <c r="O443" s="4" t="str">
        <f>IF(A443="","",--(COUNTIF($A$2:A443,A443)=1))</f>
        <v/>
      </c>
      <c r="P443" s="4" t="str">
        <f>IF(A443="","",--(COUNTIFS($A$2:A443,A443,$F$2:F443,F443)=1))</f>
        <v/>
      </c>
    </row>
    <row r="444" spans="1:16">
      <c r="A444" s="5"/>
      <c r="O444" s="4" t="str">
        <f>IF(A444="","",--(COUNTIF($A$2:A444,A444)=1))</f>
        <v/>
      </c>
      <c r="P444" s="4" t="str">
        <f>IF(A444="","",--(COUNTIFS($A$2:A444,A444,$F$2:F444,F444)=1))</f>
        <v/>
      </c>
    </row>
    <row r="445" spans="1:16">
      <c r="A445" s="5"/>
      <c r="O445" s="4" t="str">
        <f>IF(A445="","",--(COUNTIF($A$2:A445,A445)=1))</f>
        <v/>
      </c>
      <c r="P445" s="4" t="str">
        <f>IF(A445="","",--(COUNTIFS($A$2:A445,A445,$F$2:F445,F445)=1))</f>
        <v/>
      </c>
    </row>
    <row r="446" spans="1:16">
      <c r="A446" s="5"/>
      <c r="O446" s="4" t="str">
        <f>IF(A446="","",--(COUNTIF($A$2:A446,A446)=1))</f>
        <v/>
      </c>
      <c r="P446" s="4" t="str">
        <f>IF(A446="","",--(COUNTIFS($A$2:A446,A446,$F$2:F446,F446)=1))</f>
        <v/>
      </c>
    </row>
    <row r="447" spans="1:16">
      <c r="A447" s="5"/>
      <c r="O447" s="4" t="str">
        <f>IF(A447="","",--(COUNTIF($A$2:A447,A447)=1))</f>
        <v/>
      </c>
      <c r="P447" s="4" t="str">
        <f>IF(A447="","",--(COUNTIFS($A$2:A447,A447,$F$2:F447,F447)=1))</f>
        <v/>
      </c>
    </row>
    <row r="448" spans="1:16">
      <c r="A448" s="5"/>
      <c r="O448" s="4" t="str">
        <f>IF(A448="","",--(COUNTIF($A$2:A448,A448)=1))</f>
        <v/>
      </c>
      <c r="P448" s="4" t="str">
        <f>IF(A448="","",--(COUNTIFS($A$2:A448,A448,$F$2:F448,F448)=1))</f>
        <v/>
      </c>
    </row>
    <row r="449" spans="1:16">
      <c r="A449" s="5"/>
      <c r="O449" s="4" t="str">
        <f>IF(A449="","",--(COUNTIF($A$2:A449,A449)=1))</f>
        <v/>
      </c>
      <c r="P449" s="4" t="str">
        <f>IF(A449="","",--(COUNTIFS($A$2:A449,A449,$F$2:F449,F449)=1))</f>
        <v/>
      </c>
    </row>
    <row r="450" spans="1:16">
      <c r="A450" s="5"/>
      <c r="O450" s="4" t="str">
        <f>IF(A450="","",--(COUNTIF($A$2:A450,A450)=1))</f>
        <v/>
      </c>
      <c r="P450" s="4" t="str">
        <f>IF(A450="","",--(COUNTIFS($A$2:A450,A450,$F$2:F450,F450)=1))</f>
        <v/>
      </c>
    </row>
    <row r="451" spans="1:16">
      <c r="A451" s="5"/>
      <c r="O451" s="4" t="str">
        <f>IF(A451="","",--(COUNTIF($A$2:A451,A451)=1))</f>
        <v/>
      </c>
      <c r="P451" s="4" t="str">
        <f>IF(A451="","",--(COUNTIFS($A$2:A451,A451,$F$2:F451,F451)=1))</f>
        <v/>
      </c>
    </row>
    <row r="452" spans="1:16">
      <c r="A452" s="5"/>
      <c r="O452" s="4" t="str">
        <f>IF(A452="","",--(COUNTIF($A$2:A452,A452)=1))</f>
        <v/>
      </c>
      <c r="P452" s="4" t="str">
        <f>IF(A452="","",--(COUNTIFS($A$2:A452,A452,$F$2:F452,F452)=1))</f>
        <v/>
      </c>
    </row>
    <row r="453" spans="1:16">
      <c r="A453" s="5"/>
      <c r="O453" s="4" t="str">
        <f>IF(A453="","",--(COUNTIF($A$2:A453,A453)=1))</f>
        <v/>
      </c>
      <c r="P453" s="4" t="str">
        <f>IF(A453="","",--(COUNTIFS($A$2:A453,A453,$F$2:F453,F453)=1))</f>
        <v/>
      </c>
    </row>
    <row r="454" spans="1:16">
      <c r="A454" s="5"/>
      <c r="O454" s="4" t="str">
        <f>IF(A454="","",--(COUNTIF($A$2:A454,A454)=1))</f>
        <v/>
      </c>
      <c r="P454" s="4" t="str">
        <f>IF(A454="","",--(COUNTIFS($A$2:A454,A454,$F$2:F454,F454)=1))</f>
        <v/>
      </c>
    </row>
    <row r="455" spans="1:16">
      <c r="A455" s="5"/>
      <c r="O455" s="4" t="str">
        <f>IF(A455="","",--(COUNTIF($A$2:A455,A455)=1))</f>
        <v/>
      </c>
      <c r="P455" s="4" t="str">
        <f>IF(A455="","",--(COUNTIFS($A$2:A455,A455,$F$2:F455,F455)=1))</f>
        <v/>
      </c>
    </row>
    <row r="456" spans="1:16">
      <c r="A456" s="5"/>
      <c r="O456" s="4" t="str">
        <f>IF(A456="","",--(COUNTIF($A$2:A456,A456)=1))</f>
        <v/>
      </c>
      <c r="P456" s="4" t="str">
        <f>IF(A456="","",--(COUNTIFS($A$2:A456,A456,$F$2:F456,F456)=1))</f>
        <v/>
      </c>
    </row>
    <row r="457" spans="1:16">
      <c r="A457" s="5"/>
      <c r="O457" s="4" t="str">
        <f>IF(A457="","",--(COUNTIF($A$2:A457,A457)=1))</f>
        <v/>
      </c>
      <c r="P457" s="4" t="str">
        <f>IF(A457="","",--(COUNTIFS($A$2:A457,A457,$F$2:F457,F457)=1))</f>
        <v/>
      </c>
    </row>
    <row r="458" spans="1:16">
      <c r="A458" s="5"/>
      <c r="O458" s="4" t="str">
        <f>IF(A458="","",--(COUNTIF($A$2:A458,A458)=1))</f>
        <v/>
      </c>
      <c r="P458" s="4" t="str">
        <f>IF(A458="","",--(COUNTIFS($A$2:A458,A458,$F$2:F458,F458)=1))</f>
        <v/>
      </c>
    </row>
    <row r="459" spans="1:16">
      <c r="A459" s="5"/>
      <c r="O459" s="4" t="str">
        <f>IF(A459="","",--(COUNTIF($A$2:A459,A459)=1))</f>
        <v/>
      </c>
      <c r="P459" s="4" t="str">
        <f>IF(A459="","",--(COUNTIFS($A$2:A459,A459,$F$2:F459,F459)=1))</f>
        <v/>
      </c>
    </row>
    <row r="460" spans="1:16">
      <c r="A460" s="5"/>
      <c r="O460" s="4" t="str">
        <f>IF(A460="","",--(COUNTIF($A$2:A460,A460)=1))</f>
        <v/>
      </c>
      <c r="P460" s="4" t="str">
        <f>IF(A460="","",--(COUNTIFS($A$2:A460,A460,$F$2:F460,F460)=1))</f>
        <v/>
      </c>
    </row>
    <row r="461" spans="1:16">
      <c r="A461" s="5"/>
      <c r="O461" s="4" t="str">
        <f>IF(A461="","",--(COUNTIF($A$2:A461,A461)=1))</f>
        <v/>
      </c>
      <c r="P461" s="4" t="str">
        <f>IF(A461="","",--(COUNTIFS($A$2:A461,A461,$F$2:F461,F461)=1))</f>
        <v/>
      </c>
    </row>
    <row r="462" spans="1:16">
      <c r="A462" s="5"/>
      <c r="O462" s="4" t="str">
        <f>IF(A462="","",--(COUNTIF($A$2:A462,A462)=1))</f>
        <v/>
      </c>
      <c r="P462" s="4" t="str">
        <f>IF(A462="","",--(COUNTIFS($A$2:A462,A462,$F$2:F462,F462)=1))</f>
        <v/>
      </c>
    </row>
    <row r="463" spans="1:16">
      <c r="A463" s="5"/>
      <c r="O463" s="4" t="str">
        <f>IF(A463="","",--(COUNTIF($A$2:A463,A463)=1))</f>
        <v/>
      </c>
      <c r="P463" s="4" t="str">
        <f>IF(A463="","",--(COUNTIFS($A$2:A463,A463,$F$2:F463,F463)=1))</f>
        <v/>
      </c>
    </row>
    <row r="464" spans="1:16">
      <c r="A464" s="5"/>
      <c r="O464" s="4" t="str">
        <f>IF(A464="","",--(COUNTIF($A$2:A464,A464)=1))</f>
        <v/>
      </c>
      <c r="P464" s="4" t="str">
        <f>IF(A464="","",--(COUNTIFS($A$2:A464,A464,$F$2:F464,F464)=1))</f>
        <v/>
      </c>
    </row>
    <row r="465" spans="1:16">
      <c r="A465" s="5"/>
      <c r="O465" s="4" t="str">
        <f>IF(A465="","",--(COUNTIF($A$2:A465,A465)=1))</f>
        <v/>
      </c>
      <c r="P465" s="4" t="str">
        <f>IF(A465="","",--(COUNTIFS($A$2:A465,A465,$F$2:F465,F465)=1))</f>
        <v/>
      </c>
    </row>
    <row r="466" spans="1:16">
      <c r="A466" s="5"/>
      <c r="O466" s="4" t="str">
        <f>IF(A466="","",--(COUNTIF($A$2:A466,A466)=1))</f>
        <v/>
      </c>
      <c r="P466" s="4" t="str">
        <f>IF(A466="","",--(COUNTIFS($A$2:A466,A466,$F$2:F466,F466)=1))</f>
        <v/>
      </c>
    </row>
    <row r="467" spans="1:16">
      <c r="A467" s="5"/>
      <c r="O467" s="4" t="str">
        <f>IF(A467="","",--(COUNTIF($A$2:A467,A467)=1))</f>
        <v/>
      </c>
      <c r="P467" s="4" t="str">
        <f>IF(A467="","",--(COUNTIFS($A$2:A467,A467,$F$2:F467,F467)=1))</f>
        <v/>
      </c>
    </row>
    <row r="468" spans="1:16">
      <c r="A468" s="5"/>
      <c r="O468" s="4" t="str">
        <f>IF(A468="","",--(COUNTIF($A$2:A468,A468)=1))</f>
        <v/>
      </c>
      <c r="P468" s="4" t="str">
        <f>IF(A468="","",--(COUNTIFS($A$2:A468,A468,$F$2:F468,F468)=1))</f>
        <v/>
      </c>
    </row>
    <row r="469" spans="1:16">
      <c r="A469" s="5"/>
      <c r="O469" s="4" t="str">
        <f>IF(A469="","",--(COUNTIF($A$2:A469,A469)=1))</f>
        <v/>
      </c>
      <c r="P469" s="4" t="str">
        <f>IF(A469="","",--(COUNTIFS($A$2:A469,A469,$F$2:F469,F469)=1))</f>
        <v/>
      </c>
    </row>
    <row r="470" spans="1:16">
      <c r="A470" s="5"/>
      <c r="O470" s="4" t="str">
        <f>IF(A470="","",--(COUNTIF($A$2:A470,A470)=1))</f>
        <v/>
      </c>
      <c r="P470" s="4" t="str">
        <f>IF(A470="","",--(COUNTIFS($A$2:A470,A470,$F$2:F470,F470)=1))</f>
        <v/>
      </c>
    </row>
    <row r="471" spans="1:16">
      <c r="A471" s="5"/>
      <c r="O471" s="4" t="str">
        <f>IF(A471="","",--(COUNTIF($A$2:A471,A471)=1))</f>
        <v/>
      </c>
      <c r="P471" s="4" t="str">
        <f>IF(A471="","",--(COUNTIFS($A$2:A471,A471,$F$2:F471,F471)=1))</f>
        <v/>
      </c>
    </row>
    <row r="472" spans="1:16">
      <c r="A472" s="5"/>
      <c r="O472" s="4" t="str">
        <f>IF(A472="","",--(COUNTIF($A$2:A472,A472)=1))</f>
        <v/>
      </c>
      <c r="P472" s="4" t="str">
        <f>IF(A472="","",--(COUNTIFS($A$2:A472,A472,$F$2:F472,F472)=1))</f>
        <v/>
      </c>
    </row>
    <row r="473" spans="1:16">
      <c r="A473" s="5"/>
      <c r="O473" s="4" t="str">
        <f>IF(A473="","",--(COUNTIF($A$2:A473,A473)=1))</f>
        <v/>
      </c>
      <c r="P473" s="4" t="str">
        <f>IF(A473="","",--(COUNTIFS($A$2:A473,A473,$F$2:F473,F473)=1))</f>
        <v/>
      </c>
    </row>
    <row r="474" spans="1:16">
      <c r="A474" s="5"/>
      <c r="O474" s="4" t="str">
        <f>IF(A474="","",--(COUNTIF($A$2:A474,A474)=1))</f>
        <v/>
      </c>
      <c r="P474" s="4" t="str">
        <f>IF(A474="","",--(COUNTIFS($A$2:A474,A474,$F$2:F474,F474)=1))</f>
        <v/>
      </c>
    </row>
    <row r="475" spans="1:16">
      <c r="A475" s="5"/>
      <c r="O475" s="4" t="str">
        <f>IF(A475="","",--(COUNTIF($A$2:A475,A475)=1))</f>
        <v/>
      </c>
      <c r="P475" s="4" t="str">
        <f>IF(A475="","",--(COUNTIFS($A$2:A475,A475,$F$2:F475,F475)=1))</f>
        <v/>
      </c>
    </row>
    <row r="476" spans="1:16">
      <c r="A476" s="5"/>
      <c r="O476" s="4" t="str">
        <f>IF(A476="","",--(COUNTIF($A$2:A476,A476)=1))</f>
        <v/>
      </c>
      <c r="P476" s="4" t="str">
        <f>IF(A476="","",--(COUNTIFS($A$2:A476,A476,$F$2:F476,F476)=1))</f>
        <v/>
      </c>
    </row>
    <row r="477" spans="1:16">
      <c r="A477" s="5"/>
      <c r="O477" s="4" t="str">
        <f>IF(A477="","",--(COUNTIF($A$2:A477,A477)=1))</f>
        <v/>
      </c>
      <c r="P477" s="4" t="str">
        <f>IF(A477="","",--(COUNTIFS($A$2:A477,A477,$F$2:F477,F477)=1))</f>
        <v/>
      </c>
    </row>
    <row r="478" spans="1:16">
      <c r="A478" s="5"/>
      <c r="O478" s="4" t="str">
        <f>IF(A478="","",--(COUNTIF($A$2:A478,A478)=1))</f>
        <v/>
      </c>
      <c r="P478" s="4" t="str">
        <f>IF(A478="","",--(COUNTIFS($A$2:A478,A478,$F$2:F478,F478)=1))</f>
        <v/>
      </c>
    </row>
    <row r="479" spans="1:16">
      <c r="A479" s="5"/>
      <c r="O479" s="4" t="str">
        <f>IF(A479="","",--(COUNTIF($A$2:A479,A479)=1))</f>
        <v/>
      </c>
      <c r="P479" s="4" t="str">
        <f>IF(A479="","",--(COUNTIFS($A$2:A479,A479,$F$2:F479,F479)=1))</f>
        <v/>
      </c>
    </row>
    <row r="480" spans="1:16">
      <c r="A480" s="5"/>
      <c r="O480" s="4" t="str">
        <f>IF(A480="","",--(COUNTIF($A$2:A480,A480)=1))</f>
        <v/>
      </c>
      <c r="P480" s="4" t="str">
        <f>IF(A480="","",--(COUNTIFS($A$2:A480,A480,$F$2:F480,F480)=1))</f>
        <v/>
      </c>
    </row>
    <row r="481" spans="1:16">
      <c r="A481" s="5"/>
      <c r="O481" s="4" t="str">
        <f>IF(A481="","",--(COUNTIF($A$2:A481,A481)=1))</f>
        <v/>
      </c>
      <c r="P481" s="4" t="str">
        <f>IF(A481="","",--(COUNTIFS($A$2:A481,A481,$F$2:F481,F481)=1))</f>
        <v/>
      </c>
    </row>
    <row r="482" spans="1:16">
      <c r="A482" s="5"/>
      <c r="O482" s="4" t="str">
        <f>IF(A482="","",--(COUNTIF($A$2:A482,A482)=1))</f>
        <v/>
      </c>
      <c r="P482" s="4" t="str">
        <f>IF(A482="","",--(COUNTIFS($A$2:A482,A482,$F$2:F482,F482)=1))</f>
        <v/>
      </c>
    </row>
    <row r="483" spans="1:16">
      <c r="A483" s="5"/>
      <c r="O483" s="4" t="str">
        <f>IF(A483="","",--(COUNTIF($A$2:A483,A483)=1))</f>
        <v/>
      </c>
      <c r="P483" s="4" t="str">
        <f>IF(A483="","",--(COUNTIFS($A$2:A483,A483,$F$2:F483,F483)=1))</f>
        <v/>
      </c>
    </row>
    <row r="484" spans="1:16">
      <c r="A484" s="5"/>
      <c r="O484" s="4" t="str">
        <f>IF(A484="","",--(COUNTIF($A$2:A484,A484)=1))</f>
        <v/>
      </c>
      <c r="P484" s="4" t="str">
        <f>IF(A484="","",--(COUNTIFS($A$2:A484,A484,$F$2:F484,F484)=1))</f>
        <v/>
      </c>
    </row>
    <row r="485" spans="1:16">
      <c r="A485" s="5"/>
      <c r="O485" s="4" t="str">
        <f>IF(A485="","",--(COUNTIF($A$2:A485,A485)=1))</f>
        <v/>
      </c>
      <c r="P485" s="4" t="str">
        <f>IF(A485="","",--(COUNTIFS($A$2:A485,A485,$F$2:F485,F485)=1))</f>
        <v/>
      </c>
    </row>
    <row r="486" spans="1:16">
      <c r="A486" s="5"/>
      <c r="O486" s="4" t="str">
        <f>IF(A486="","",--(COUNTIF($A$2:A486,A486)=1))</f>
        <v/>
      </c>
      <c r="P486" s="4" t="str">
        <f>IF(A486="","",--(COUNTIFS($A$2:A486,A486,$F$2:F486,F486)=1))</f>
        <v/>
      </c>
    </row>
    <row r="487" spans="1:16">
      <c r="A487" s="5"/>
      <c r="O487" s="4" t="str">
        <f>IF(A487="","",--(COUNTIF($A$2:A487,A487)=1))</f>
        <v/>
      </c>
      <c r="P487" s="4" t="str">
        <f>IF(A487="","",--(COUNTIFS($A$2:A487,A487,$F$2:F487,F487)=1))</f>
        <v/>
      </c>
    </row>
    <row r="488" spans="1:16">
      <c r="A488" s="5"/>
      <c r="O488" s="4" t="str">
        <f>IF(A488="","",--(COUNTIF($A$2:A488,A488)=1))</f>
        <v/>
      </c>
      <c r="P488" s="4" t="str">
        <f>IF(A488="","",--(COUNTIFS($A$2:A488,A488,$F$2:F488,F488)=1))</f>
        <v/>
      </c>
    </row>
    <row r="489" spans="1:16">
      <c r="A489" s="5"/>
      <c r="O489" s="4" t="str">
        <f>IF(A489="","",--(COUNTIF($A$2:A489,A489)=1))</f>
        <v/>
      </c>
      <c r="P489" s="4" t="str">
        <f>IF(A489="","",--(COUNTIFS($A$2:A489,A489,$F$2:F489,F489)=1))</f>
        <v/>
      </c>
    </row>
    <row r="490" spans="1:16">
      <c r="A490" s="5"/>
      <c r="O490" s="4" t="str">
        <f>IF(A490="","",--(COUNTIF($A$2:A490,A490)=1))</f>
        <v/>
      </c>
      <c r="P490" s="4" t="str">
        <f>IF(A490="","",--(COUNTIFS($A$2:A490,A490,$F$2:F490,F490)=1))</f>
        <v/>
      </c>
    </row>
    <row r="491" spans="1:16">
      <c r="A491" s="5"/>
      <c r="O491" s="4" t="str">
        <f>IF(A491="","",--(COUNTIF($A$2:A491,A491)=1))</f>
        <v/>
      </c>
      <c r="P491" s="4" t="str">
        <f>IF(A491="","",--(COUNTIFS($A$2:A491,A491,$F$2:F491,F491)=1))</f>
        <v/>
      </c>
    </row>
    <row r="492" spans="1:16">
      <c r="A492" s="5"/>
      <c r="O492" s="4" t="str">
        <f>IF(A492="","",--(COUNTIF($A$2:A492,A492)=1))</f>
        <v/>
      </c>
      <c r="P492" s="4" t="str">
        <f>IF(A492="","",--(COUNTIFS($A$2:A492,A492,$F$2:F492,F492)=1))</f>
        <v/>
      </c>
    </row>
    <row r="493" spans="1:16">
      <c r="A493" s="5"/>
      <c r="O493" s="4" t="str">
        <f>IF(A493="","",--(COUNTIF($A$2:A493,A493)=1))</f>
        <v/>
      </c>
      <c r="P493" s="4" t="str">
        <f>IF(A493="","",--(COUNTIFS($A$2:A493,A493,$F$2:F493,F493)=1))</f>
        <v/>
      </c>
    </row>
    <row r="494" spans="1:16">
      <c r="A494" s="5"/>
      <c r="O494" s="4" t="str">
        <f>IF(A494="","",--(COUNTIF($A$2:A494,A494)=1))</f>
        <v/>
      </c>
      <c r="P494" s="4" t="str">
        <f>IF(A494="","",--(COUNTIFS($A$2:A494,A494,$F$2:F494,F494)=1))</f>
        <v/>
      </c>
    </row>
    <row r="495" spans="1:16">
      <c r="A495" s="5"/>
      <c r="O495" s="4" t="str">
        <f>IF(A495="","",--(COUNTIF($A$2:A495,A495)=1))</f>
        <v/>
      </c>
      <c r="P495" s="4" t="str">
        <f>IF(A495="","",--(COUNTIFS($A$2:A495,A495,$F$2:F495,F495)=1))</f>
        <v/>
      </c>
    </row>
    <row r="496" spans="1:16">
      <c r="A496" s="5"/>
      <c r="O496" s="4" t="str">
        <f>IF(A496="","",--(COUNTIF($A$2:A496,A496)=1))</f>
        <v/>
      </c>
      <c r="P496" s="4" t="str">
        <f>IF(A496="","",--(COUNTIFS($A$2:A496,A496,$F$2:F496,F496)=1))</f>
        <v/>
      </c>
    </row>
    <row r="497" spans="1:16">
      <c r="A497" s="5"/>
      <c r="O497" s="4" t="str">
        <f>IF(A497="","",--(COUNTIF($A$2:A497,A497)=1))</f>
        <v/>
      </c>
      <c r="P497" s="4" t="str">
        <f>IF(A497="","",--(COUNTIFS($A$2:A497,A497,$F$2:F497,F497)=1))</f>
        <v/>
      </c>
    </row>
    <row r="498" spans="1:16">
      <c r="A498" s="5"/>
      <c r="O498" s="4" t="str">
        <f>IF(A498="","",--(COUNTIF($A$2:A498,A498)=1))</f>
        <v/>
      </c>
      <c r="P498" s="4" t="str">
        <f>IF(A498="","",--(COUNTIFS($A$2:A498,A498,$F$2:F498,F498)=1))</f>
        <v/>
      </c>
    </row>
    <row r="499" spans="1:16">
      <c r="A499" s="5"/>
      <c r="O499" s="4" t="str">
        <f>IF(A499="","",--(COUNTIF($A$2:A499,A499)=1))</f>
        <v/>
      </c>
      <c r="P499" s="4" t="str">
        <f>IF(A499="","",--(COUNTIFS($A$2:A499,A499,$F$2:F499,F499)=1))</f>
        <v/>
      </c>
    </row>
    <row r="500" spans="1:16">
      <c r="A500" s="5"/>
      <c r="O500" s="4" t="str">
        <f>IF(A500="","",--(COUNTIF($A$2:A500,A500)=1))</f>
        <v/>
      </c>
      <c r="P500" s="4" t="str">
        <f>IF(A500="","",--(COUNTIFS($A$2:A500,A500,$F$2:F500,F500)=1))</f>
        <v/>
      </c>
    </row>
    <row r="501" spans="1:16">
      <c r="A501" s="5"/>
      <c r="O501" s="4" t="str">
        <f>IF(A501="","",--(COUNTIF($A$2:A501,A501)=1))</f>
        <v/>
      </c>
      <c r="P501" s="4" t="str">
        <f>IF(A501="","",--(COUNTIFS($A$2:A501,A501,$F$2:F501,F501)=1))</f>
        <v/>
      </c>
    </row>
    <row r="502" spans="1:16">
      <c r="A502" s="5"/>
      <c r="O502" s="4" t="str">
        <f>IF(A502="","",--(COUNTIF($A$2:A502,A502)=1))</f>
        <v/>
      </c>
      <c r="P502" s="4" t="str">
        <f>IF(A502="","",--(COUNTIFS($A$2:A502,A502,$F$2:F502,F502)=1))</f>
        <v/>
      </c>
    </row>
    <row r="503" spans="1:16">
      <c r="A503" s="5"/>
      <c r="O503" s="4" t="str">
        <f>IF(A503="","",--(COUNTIF($A$2:A503,A503)=1))</f>
        <v/>
      </c>
      <c r="P503" s="4" t="str">
        <f>IF(A503="","",--(COUNTIFS($A$2:A503,A503,$F$2:F503,F503)=1))</f>
        <v/>
      </c>
    </row>
    <row r="504" spans="1:16">
      <c r="A504" s="5"/>
      <c r="O504" s="4" t="str">
        <f>IF(A504="","",--(COUNTIF($A$2:A504,A504)=1))</f>
        <v/>
      </c>
      <c r="P504" s="4" t="str">
        <f>IF(A504="","",--(COUNTIFS($A$2:A504,A504,$F$2:F504,F504)=1))</f>
        <v/>
      </c>
    </row>
    <row r="505" spans="1:16">
      <c r="A505" s="5"/>
      <c r="O505" s="4" t="str">
        <f>IF(A505="","",--(COUNTIF($A$2:A505,A505)=1))</f>
        <v/>
      </c>
      <c r="P505" s="4" t="str">
        <f>IF(A505="","",--(COUNTIFS($A$2:A505,A505,$F$2:F505,F505)=1))</f>
        <v/>
      </c>
    </row>
    <row r="506" spans="1:16">
      <c r="A506" s="5"/>
      <c r="O506" s="4" t="str">
        <f>IF(A506="","",--(COUNTIF($A$2:A506,A506)=1))</f>
        <v/>
      </c>
      <c r="P506" s="4" t="str">
        <f>IF(A506="","",--(COUNTIFS($A$2:A506,A506,$F$2:F506,F506)=1))</f>
        <v/>
      </c>
    </row>
    <row r="507" spans="1:16">
      <c r="A507" s="5"/>
      <c r="O507" s="4" t="str">
        <f>IF(A507="","",--(COUNTIF($A$2:A507,A507)=1))</f>
        <v/>
      </c>
      <c r="P507" s="4" t="str">
        <f>IF(A507="","",--(COUNTIFS($A$2:A507,A507,$F$2:F507,F507)=1))</f>
        <v/>
      </c>
    </row>
    <row r="508" spans="1:16">
      <c r="A508" s="5"/>
      <c r="O508" s="4" t="str">
        <f>IF(A508="","",--(COUNTIF($A$2:A508,A508)=1))</f>
        <v/>
      </c>
      <c r="P508" s="4" t="str">
        <f>IF(A508="","",--(COUNTIFS($A$2:A508,A508,$F$2:F508,F508)=1))</f>
        <v/>
      </c>
    </row>
    <row r="509" spans="1:16">
      <c r="A509" s="5"/>
      <c r="O509" s="4" t="str">
        <f>IF(A509="","",--(COUNTIF($A$2:A509,A509)=1))</f>
        <v/>
      </c>
      <c r="P509" s="4" t="str">
        <f>IF(A509="","",--(COUNTIFS($A$2:A509,A509,$F$2:F509,F509)=1))</f>
        <v/>
      </c>
    </row>
    <row r="510" spans="1:16">
      <c r="A510" s="5"/>
      <c r="O510" s="4" t="str">
        <f>IF(A510="","",--(COUNTIF($A$2:A510,A510)=1))</f>
        <v/>
      </c>
      <c r="P510" s="4" t="str">
        <f>IF(A510="","",--(COUNTIFS($A$2:A510,A510,$F$2:F510,F510)=1))</f>
        <v/>
      </c>
    </row>
    <row r="511" spans="1:16">
      <c r="A511" s="5"/>
      <c r="O511" s="4" t="str">
        <f>IF(A511="","",--(COUNTIF($A$2:A511,A511)=1))</f>
        <v/>
      </c>
      <c r="P511" s="4" t="str">
        <f>IF(A511="","",--(COUNTIFS($A$2:A511,A511,$F$2:F511,F511)=1))</f>
        <v/>
      </c>
    </row>
    <row r="512" spans="1:16">
      <c r="A512" s="5"/>
      <c r="O512" s="4" t="str">
        <f>IF(A512="","",--(COUNTIF($A$2:A512,A512)=1))</f>
        <v/>
      </c>
      <c r="P512" s="4" t="str">
        <f>IF(A512="","",--(COUNTIFS($A$2:A512,A512,$F$2:F512,F512)=1))</f>
        <v/>
      </c>
    </row>
    <row r="513" spans="1:16">
      <c r="A513" s="5"/>
      <c r="O513" s="4" t="str">
        <f>IF(A513="","",--(COUNTIF($A$2:A513,A513)=1))</f>
        <v/>
      </c>
      <c r="P513" s="4" t="str">
        <f>IF(A513="","",--(COUNTIFS($A$2:A513,A513,$F$2:F513,F513)=1))</f>
        <v/>
      </c>
    </row>
    <row r="514" spans="1:16">
      <c r="A514" s="5"/>
      <c r="O514" s="4" t="str">
        <f>IF(A514="","",--(COUNTIF($A$2:A514,A514)=1))</f>
        <v/>
      </c>
      <c r="P514" s="4" t="str">
        <f>IF(A514="","",--(COUNTIFS($A$2:A514,A514,$F$2:F514,F514)=1))</f>
        <v/>
      </c>
    </row>
    <row r="515" spans="1:16">
      <c r="A515" s="5"/>
      <c r="O515" s="4" t="str">
        <f>IF(A515="","",--(COUNTIF($A$2:A515,A515)=1))</f>
        <v/>
      </c>
      <c r="P515" s="4" t="str">
        <f>IF(A515="","",--(COUNTIFS($A$2:A515,A515,$F$2:F515,F515)=1))</f>
        <v/>
      </c>
    </row>
    <row r="516" spans="1:16">
      <c r="A516" s="5"/>
      <c r="O516" s="4" t="str">
        <f>IF(A516="","",--(COUNTIF($A$2:A516,A516)=1))</f>
        <v/>
      </c>
      <c r="P516" s="4" t="str">
        <f>IF(A516="","",--(COUNTIFS($A$2:A516,A516,$F$2:F516,F516)=1))</f>
        <v/>
      </c>
    </row>
    <row r="517" spans="1:16">
      <c r="A517" s="5"/>
      <c r="O517" s="4" t="str">
        <f>IF(A517="","",--(COUNTIF($A$2:A517,A517)=1))</f>
        <v/>
      </c>
      <c r="P517" s="4" t="str">
        <f>IF(A517="","",--(COUNTIFS($A$2:A517,A517,$F$2:F517,F517)=1))</f>
        <v/>
      </c>
    </row>
    <row r="518" spans="1:16">
      <c r="A518" s="5"/>
      <c r="O518" s="4" t="str">
        <f>IF(A518="","",--(COUNTIF($A$2:A518,A518)=1))</f>
        <v/>
      </c>
      <c r="P518" s="4" t="str">
        <f>IF(A518="","",--(COUNTIFS($A$2:A518,A518,$F$2:F518,F518)=1))</f>
        <v/>
      </c>
    </row>
    <row r="519" spans="1:16">
      <c r="A519" s="5"/>
      <c r="O519" s="4" t="str">
        <f>IF(A519="","",--(COUNTIF($A$2:A519,A519)=1))</f>
        <v/>
      </c>
      <c r="P519" s="4" t="str">
        <f>IF(A519="","",--(COUNTIFS($A$2:A519,A519,$F$2:F519,F519)=1))</f>
        <v/>
      </c>
    </row>
    <row r="520" spans="1:16">
      <c r="A520" s="5"/>
      <c r="O520" s="4" t="str">
        <f>IF(A520="","",--(COUNTIF($A$2:A520,A520)=1))</f>
        <v/>
      </c>
      <c r="P520" s="4" t="str">
        <f>IF(A520="","",--(COUNTIFS($A$2:A520,A520,$F$2:F520,F520)=1))</f>
        <v/>
      </c>
    </row>
    <row r="521" spans="1:16">
      <c r="A521" s="5"/>
      <c r="O521" s="4" t="str">
        <f>IF(A521="","",--(COUNTIF($A$2:A521,A521)=1))</f>
        <v/>
      </c>
      <c r="P521" s="4" t="str">
        <f>IF(A521="","",--(COUNTIFS($A$2:A521,A521,$F$2:F521,F521)=1))</f>
        <v/>
      </c>
    </row>
    <row r="522" spans="1:16">
      <c r="A522" s="5"/>
      <c r="O522" s="4" t="str">
        <f>IF(A522="","",--(COUNTIF($A$2:A522,A522)=1))</f>
        <v/>
      </c>
      <c r="P522" s="4" t="str">
        <f>IF(A522="","",--(COUNTIFS($A$2:A522,A522,$F$2:F522,F522)=1))</f>
        <v/>
      </c>
    </row>
    <row r="523" spans="1:16">
      <c r="A523" s="5"/>
      <c r="O523" s="4" t="str">
        <f>IF(A523="","",--(COUNTIF($A$2:A523,A523)=1))</f>
        <v/>
      </c>
      <c r="P523" s="4" t="str">
        <f>IF(A523="","",--(COUNTIFS($A$2:A523,A523,$F$2:F523,F523)=1))</f>
        <v/>
      </c>
    </row>
    <row r="524" spans="1:16">
      <c r="A524" s="5"/>
      <c r="O524" s="4" t="str">
        <f>IF(A524="","",--(COUNTIF($A$2:A524,A524)=1))</f>
        <v/>
      </c>
      <c r="P524" s="4" t="str">
        <f>IF(A524="","",--(COUNTIFS($A$2:A524,A524,$F$2:F524,F524)=1))</f>
        <v/>
      </c>
    </row>
    <row r="525" spans="1:16">
      <c r="A525" s="5"/>
      <c r="O525" s="4" t="str">
        <f>IF(A525="","",--(COUNTIF($A$2:A525,A525)=1))</f>
        <v/>
      </c>
      <c r="P525" s="4" t="str">
        <f>IF(A525="","",--(COUNTIFS($A$2:A525,A525,$F$2:F525,F525)=1))</f>
        <v/>
      </c>
    </row>
    <row r="526" spans="1:16">
      <c r="A526" s="5"/>
      <c r="O526" s="4" t="str">
        <f>IF(A526="","",--(COUNTIF($A$2:A526,A526)=1))</f>
        <v/>
      </c>
      <c r="P526" s="4" t="str">
        <f>IF(A526="","",--(COUNTIFS($A$2:A526,A526,$F$2:F526,F526)=1))</f>
        <v/>
      </c>
    </row>
    <row r="527" spans="1:16">
      <c r="A527" s="5"/>
      <c r="O527" s="4" t="str">
        <f>IF(A527="","",--(COUNTIF($A$2:A527,A527)=1))</f>
        <v/>
      </c>
      <c r="P527" s="4" t="str">
        <f>IF(A527="","",--(COUNTIFS($A$2:A527,A527,$F$2:F527,F527)=1))</f>
        <v/>
      </c>
    </row>
    <row r="528" spans="1:16">
      <c r="A528" s="5"/>
      <c r="O528" s="4" t="str">
        <f>IF(A528="","",--(COUNTIF($A$2:A528,A528)=1))</f>
        <v/>
      </c>
      <c r="P528" s="4" t="str">
        <f>IF(A528="","",--(COUNTIFS($A$2:A528,A528,$F$2:F528,F528)=1))</f>
        <v/>
      </c>
    </row>
    <row r="529" spans="1:16">
      <c r="A529" s="5"/>
      <c r="O529" s="4" t="str">
        <f>IF(A529="","",--(COUNTIF($A$2:A529,A529)=1))</f>
        <v/>
      </c>
      <c r="P529" s="4" t="str">
        <f>IF(A529="","",--(COUNTIFS($A$2:A529,A529,$F$2:F529,F529)=1))</f>
        <v/>
      </c>
    </row>
    <row r="530" spans="1:16">
      <c r="A530" s="5"/>
      <c r="O530" s="4" t="str">
        <f>IF(A530="","",--(COUNTIF($A$2:A530,A530)=1))</f>
        <v/>
      </c>
      <c r="P530" s="4" t="str">
        <f>IF(A530="","",--(COUNTIFS($A$2:A530,A530,$F$2:F530,F530)=1))</f>
        <v/>
      </c>
    </row>
    <row r="531" spans="1:16">
      <c r="A531" s="5"/>
      <c r="O531" s="4" t="str">
        <f>IF(A531="","",--(COUNTIF($A$2:A531,A531)=1))</f>
        <v/>
      </c>
      <c r="P531" s="4" t="str">
        <f>IF(A531="","",--(COUNTIFS($A$2:A531,A531,$F$2:F531,F531)=1))</f>
        <v/>
      </c>
    </row>
    <row r="532" spans="1:16">
      <c r="A532" s="5"/>
      <c r="O532" s="4" t="str">
        <f>IF(A532="","",--(COUNTIF($A$2:A532,A532)=1))</f>
        <v/>
      </c>
      <c r="P532" s="4" t="str">
        <f>IF(A532="","",--(COUNTIFS($A$2:A532,A532,$F$2:F532,F532)=1))</f>
        <v/>
      </c>
    </row>
    <row r="533" spans="1:16">
      <c r="A533" s="5"/>
      <c r="O533" s="4" t="str">
        <f>IF(A533="","",--(COUNTIF($A$2:A533,A533)=1))</f>
        <v/>
      </c>
      <c r="P533" s="4" t="str">
        <f>IF(A533="","",--(COUNTIFS($A$2:A533,A533,$F$2:F533,F533)=1))</f>
        <v/>
      </c>
    </row>
    <row r="534" spans="1:16">
      <c r="A534" s="5"/>
      <c r="O534" s="4" t="str">
        <f>IF(A534="","",--(COUNTIF($A$2:A534,A534)=1))</f>
        <v/>
      </c>
      <c r="P534" s="4" t="str">
        <f>IF(A534="","",--(COUNTIFS($A$2:A534,A534,$F$2:F534,F534)=1))</f>
        <v/>
      </c>
    </row>
    <row r="535" spans="1:16">
      <c r="A535" s="5"/>
      <c r="O535" s="4" t="str">
        <f>IF(A535="","",--(COUNTIF($A$2:A535,A535)=1))</f>
        <v/>
      </c>
      <c r="P535" s="4" t="str">
        <f>IF(A535="","",--(COUNTIFS($A$2:A535,A535,$F$2:F535,F535)=1))</f>
        <v/>
      </c>
    </row>
    <row r="536" spans="1:16">
      <c r="A536" s="5"/>
      <c r="O536" s="4" t="str">
        <f>IF(A536="","",--(COUNTIF($A$2:A536,A536)=1))</f>
        <v/>
      </c>
      <c r="P536" s="4" t="str">
        <f>IF(A536="","",--(COUNTIFS($A$2:A536,A536,$F$2:F536,F536)=1))</f>
        <v/>
      </c>
    </row>
    <row r="537" spans="1:16">
      <c r="A537" s="5"/>
      <c r="O537" s="4" t="str">
        <f>IF(A537="","",--(COUNTIF($A$2:A537,A537)=1))</f>
        <v/>
      </c>
      <c r="P537" s="4" t="str">
        <f>IF(A537="","",--(COUNTIFS($A$2:A537,A537,$F$2:F537,F537)=1))</f>
        <v/>
      </c>
    </row>
    <row r="538" spans="1:16">
      <c r="A538" s="5"/>
      <c r="O538" s="4" t="str">
        <f>IF(A538="","",--(COUNTIF($A$2:A538,A538)=1))</f>
        <v/>
      </c>
      <c r="P538" s="4" t="str">
        <f>IF(A538="","",--(COUNTIFS($A$2:A538,A538,$F$2:F538,F538)=1))</f>
        <v/>
      </c>
    </row>
    <row r="539" spans="1:16">
      <c r="A539" s="5"/>
      <c r="O539" s="4" t="str">
        <f>IF(A539="","",--(COUNTIF($A$2:A539,A539)=1))</f>
        <v/>
      </c>
      <c r="P539" s="4" t="str">
        <f>IF(A539="","",--(COUNTIFS($A$2:A539,A539,$F$2:F539,F539)=1))</f>
        <v/>
      </c>
    </row>
    <row r="540" spans="1:16">
      <c r="A540" s="5"/>
      <c r="O540" s="4" t="str">
        <f>IF(A540="","",--(COUNTIF($A$2:A540,A540)=1))</f>
        <v/>
      </c>
      <c r="P540" s="4" t="str">
        <f>IF(A540="","",--(COUNTIFS($A$2:A540,A540,$F$2:F540,F540)=1))</f>
        <v/>
      </c>
    </row>
    <row r="541" spans="1:16">
      <c r="A541" s="5"/>
      <c r="O541" s="4" t="str">
        <f>IF(A541="","",--(COUNTIF($A$2:A541,A541)=1))</f>
        <v/>
      </c>
      <c r="P541" s="4" t="str">
        <f>IF(A541="","",--(COUNTIFS($A$2:A541,A541,$F$2:F541,F541)=1))</f>
        <v/>
      </c>
    </row>
    <row r="542" spans="1:16">
      <c r="A542" s="5"/>
      <c r="O542" s="4" t="str">
        <f>IF(A542="","",--(COUNTIF($A$2:A542,A542)=1))</f>
        <v/>
      </c>
      <c r="P542" s="4" t="str">
        <f>IF(A542="","",--(COUNTIFS($A$2:A542,A542,$F$2:F542,F542)=1))</f>
        <v/>
      </c>
    </row>
    <row r="543" spans="1:16">
      <c r="A543" s="5"/>
      <c r="O543" s="4" t="str">
        <f>IF(A543="","",--(COUNTIF($A$2:A543,A543)=1))</f>
        <v/>
      </c>
      <c r="P543" s="4" t="str">
        <f>IF(A543="","",--(COUNTIFS($A$2:A543,A543,$F$2:F543,F543)=1))</f>
        <v/>
      </c>
    </row>
    <row r="544" spans="1:16">
      <c r="A544" s="5"/>
      <c r="O544" s="4" t="str">
        <f>IF(A544="","",--(COUNTIF($A$2:A544,A544)=1))</f>
        <v/>
      </c>
      <c r="P544" s="4" t="str">
        <f>IF(A544="","",--(COUNTIFS($A$2:A544,A544,$F$2:F544,F544)=1))</f>
        <v/>
      </c>
    </row>
    <row r="545" spans="1:16">
      <c r="A545" s="5"/>
      <c r="O545" s="4" t="str">
        <f>IF(A545="","",--(COUNTIF($A$2:A545,A545)=1))</f>
        <v/>
      </c>
      <c r="P545" s="4" t="str">
        <f>IF(A545="","",--(COUNTIFS($A$2:A545,A545,$F$2:F545,F545)=1))</f>
        <v/>
      </c>
    </row>
    <row r="546" spans="1:16">
      <c r="A546" s="5"/>
      <c r="O546" s="4" t="str">
        <f>IF(A546="","",--(COUNTIF($A$2:A546,A546)=1))</f>
        <v/>
      </c>
      <c r="P546" s="4" t="str">
        <f>IF(A546="","",--(COUNTIFS($A$2:A546,A546,$F$2:F546,F546)=1))</f>
        <v/>
      </c>
    </row>
    <row r="547" spans="1:16">
      <c r="A547" s="5"/>
      <c r="O547" s="4" t="str">
        <f>IF(A547="","",--(COUNTIF($A$2:A547,A547)=1))</f>
        <v/>
      </c>
      <c r="P547" s="4" t="str">
        <f>IF(A547="","",--(COUNTIFS($A$2:A547,A547,$F$2:F547,F547)=1))</f>
        <v/>
      </c>
    </row>
    <row r="548" spans="1:16">
      <c r="A548" s="5"/>
      <c r="O548" s="4" t="str">
        <f>IF(A548="","",--(COUNTIF($A$2:A548,A548)=1))</f>
        <v/>
      </c>
      <c r="P548" s="4" t="str">
        <f>IF(A548="","",--(COUNTIFS($A$2:A548,A548,$F$2:F548,F548)=1))</f>
        <v/>
      </c>
    </row>
    <row r="549" spans="1:16">
      <c r="A549" s="5"/>
      <c r="O549" s="4" t="str">
        <f>IF(A549="","",--(COUNTIF($A$2:A549,A549)=1))</f>
        <v/>
      </c>
      <c r="P549" s="4" t="str">
        <f>IF(A549="","",--(COUNTIFS($A$2:A549,A549,$F$2:F549,F549)=1))</f>
        <v/>
      </c>
    </row>
    <row r="550" spans="1:16">
      <c r="A550" s="5"/>
      <c r="O550" s="4" t="str">
        <f>IF(A550="","",--(COUNTIF($A$2:A550,A550)=1))</f>
        <v/>
      </c>
      <c r="P550" s="4" t="str">
        <f>IF(A550="","",--(COUNTIFS($A$2:A550,A550,$F$2:F550,F550)=1))</f>
        <v/>
      </c>
    </row>
    <row r="551" spans="1:16">
      <c r="A551" s="5"/>
      <c r="O551" s="4" t="str">
        <f>IF(A551="","",--(COUNTIF($A$2:A551,A551)=1))</f>
        <v/>
      </c>
      <c r="P551" s="4" t="str">
        <f>IF(A551="","",--(COUNTIFS($A$2:A551,A551,$F$2:F551,F551)=1))</f>
        <v/>
      </c>
    </row>
    <row r="552" spans="1:16">
      <c r="A552" s="5"/>
      <c r="O552" s="4" t="str">
        <f>IF(A552="","",--(COUNTIF($A$2:A552,A552)=1))</f>
        <v/>
      </c>
      <c r="P552" s="4" t="str">
        <f>IF(A552="","",--(COUNTIFS($A$2:A552,A552,$F$2:F552,F552)=1))</f>
        <v/>
      </c>
    </row>
    <row r="553" spans="1:16">
      <c r="A553" s="5"/>
      <c r="O553" s="4" t="str">
        <f>IF(A553="","",--(COUNTIF($A$2:A553,A553)=1))</f>
        <v/>
      </c>
      <c r="P553" s="4" t="str">
        <f>IF(A553="","",--(COUNTIFS($A$2:A553,A553,$F$2:F553,F553)=1))</f>
        <v/>
      </c>
    </row>
    <row r="554" spans="1:16">
      <c r="A554" s="5"/>
      <c r="O554" s="4" t="str">
        <f>IF(A554="","",--(COUNTIF($A$2:A554,A554)=1))</f>
        <v/>
      </c>
      <c r="P554" s="4" t="str">
        <f>IF(A554="","",--(COUNTIFS($A$2:A554,A554,$F$2:F554,F554)=1))</f>
        <v/>
      </c>
    </row>
    <row r="555" spans="1:16">
      <c r="A555" s="5"/>
      <c r="O555" s="4" t="str">
        <f>IF(A555="","",--(COUNTIF($A$2:A555,A555)=1))</f>
        <v/>
      </c>
      <c r="P555" s="4" t="str">
        <f>IF(A555="","",--(COUNTIFS($A$2:A555,A555,$F$2:F555,F555)=1))</f>
        <v/>
      </c>
    </row>
    <row r="556" spans="1:16">
      <c r="A556" s="5"/>
      <c r="O556" s="4" t="str">
        <f>IF(A556="","",--(COUNTIF($A$2:A556,A556)=1))</f>
        <v/>
      </c>
      <c r="P556" s="4" t="str">
        <f>IF(A556="","",--(COUNTIFS($A$2:A556,A556,$F$2:F556,F556)=1))</f>
        <v/>
      </c>
    </row>
    <row r="557" spans="1:16">
      <c r="A557" s="5"/>
      <c r="O557" s="4" t="str">
        <f>IF(A557="","",--(COUNTIF($A$2:A557,A557)=1))</f>
        <v/>
      </c>
      <c r="P557" s="4" t="str">
        <f>IF(A557="","",--(COUNTIFS($A$2:A557,A557,$F$2:F557,F557)=1))</f>
        <v/>
      </c>
    </row>
    <row r="558" spans="1:16">
      <c r="A558" s="5"/>
      <c r="O558" s="4" t="str">
        <f>IF(A558="","",--(COUNTIF($A$2:A558,A558)=1))</f>
        <v/>
      </c>
      <c r="P558" s="4" t="str">
        <f>IF(A558="","",--(COUNTIFS($A$2:A558,A558,$F$2:F558,F558)=1))</f>
        <v/>
      </c>
    </row>
    <row r="559" spans="1:16">
      <c r="A559" s="5"/>
      <c r="O559" s="4" t="str">
        <f>IF(A559="","",--(COUNTIF($A$2:A559,A559)=1))</f>
        <v/>
      </c>
      <c r="P559" s="4" t="str">
        <f>IF(A559="","",--(COUNTIFS($A$2:A559,A559,$F$2:F559,F559)=1))</f>
        <v/>
      </c>
    </row>
    <row r="560" spans="1:16">
      <c r="A560" s="5"/>
      <c r="O560" s="4" t="str">
        <f>IF(A560="","",--(COUNTIF($A$2:A560,A560)=1))</f>
        <v/>
      </c>
      <c r="P560" s="4" t="str">
        <f>IF(A560="","",--(COUNTIFS($A$2:A560,A560,$F$2:F560,F560)=1))</f>
        <v/>
      </c>
    </row>
    <row r="561" spans="1:16">
      <c r="A561" s="5"/>
      <c r="O561" s="4" t="str">
        <f>IF(A561="","",--(COUNTIF($A$2:A561,A561)=1))</f>
        <v/>
      </c>
      <c r="P561" s="4" t="str">
        <f>IF(A561="","",--(COUNTIFS($A$2:A561,A561,$F$2:F561,F561)=1))</f>
        <v/>
      </c>
    </row>
    <row r="562" spans="1:16">
      <c r="A562" s="5"/>
      <c r="O562" s="4" t="str">
        <f>IF(A562="","",--(COUNTIF($A$2:A562,A562)=1))</f>
        <v/>
      </c>
      <c r="P562" s="4" t="str">
        <f>IF(A562="","",--(COUNTIFS($A$2:A562,A562,$F$2:F562,F562)=1))</f>
        <v/>
      </c>
    </row>
    <row r="563" spans="1:16">
      <c r="A563" s="5"/>
      <c r="O563" s="4" t="str">
        <f>IF(A563="","",--(COUNTIF($A$2:A563,A563)=1))</f>
        <v/>
      </c>
      <c r="P563" s="4" t="str">
        <f>IF(A563="","",--(COUNTIFS($A$2:A563,A563,$F$2:F563,F563)=1))</f>
        <v/>
      </c>
    </row>
    <row r="564" spans="1:16">
      <c r="A564" s="5"/>
      <c r="O564" s="4" t="str">
        <f>IF(A564="","",--(COUNTIF($A$2:A564,A564)=1))</f>
        <v/>
      </c>
      <c r="P564" s="4" t="str">
        <f>IF(A564="","",--(COUNTIFS($A$2:A564,A564,$F$2:F564,F564)=1))</f>
        <v/>
      </c>
    </row>
    <row r="565" spans="1:16">
      <c r="A565" s="5"/>
      <c r="O565" s="4" t="str">
        <f>IF(A565="","",--(COUNTIF($A$2:A565,A565)=1))</f>
        <v/>
      </c>
      <c r="P565" s="4" t="str">
        <f>IF(A565="","",--(COUNTIFS($A$2:A565,A565,$F$2:F565,F565)=1))</f>
        <v/>
      </c>
    </row>
    <row r="566" spans="1:16">
      <c r="A566" s="5"/>
      <c r="O566" s="4" t="str">
        <f>IF(A566="","",--(COUNTIF($A$2:A566,A566)=1))</f>
        <v/>
      </c>
      <c r="P566" s="4" t="str">
        <f>IF(A566="","",--(COUNTIFS($A$2:A566,A566,$F$2:F566,F566)=1))</f>
        <v/>
      </c>
    </row>
    <row r="567" spans="1:16">
      <c r="A567" s="5"/>
      <c r="O567" s="4" t="str">
        <f>IF(A567="","",--(COUNTIF($A$2:A567,A567)=1))</f>
        <v/>
      </c>
      <c r="P567" s="4" t="str">
        <f>IF(A567="","",--(COUNTIFS($A$2:A567,A567,$F$2:F567,F567)=1))</f>
        <v/>
      </c>
    </row>
    <row r="568" spans="1:16">
      <c r="A568" s="5"/>
      <c r="O568" s="4" t="str">
        <f>IF(A568="","",--(COUNTIF($A$2:A568,A568)=1))</f>
        <v/>
      </c>
      <c r="P568" s="4" t="str">
        <f>IF(A568="","",--(COUNTIFS($A$2:A568,A568,$F$2:F568,F568)=1))</f>
        <v/>
      </c>
    </row>
    <row r="569" spans="1:16">
      <c r="A569" s="5"/>
      <c r="O569" s="4" t="str">
        <f>IF(A569="","",--(COUNTIF($A$2:A569,A569)=1))</f>
        <v/>
      </c>
      <c r="P569" s="4" t="str">
        <f>IF(A569="","",--(COUNTIFS($A$2:A569,A569,$F$2:F569,F569)=1))</f>
        <v/>
      </c>
    </row>
    <row r="570" spans="1:16">
      <c r="A570" s="5"/>
      <c r="O570" s="4" t="str">
        <f>IF(A570="","",--(COUNTIF($A$2:A570,A570)=1))</f>
        <v/>
      </c>
      <c r="P570" s="4" t="str">
        <f>IF(A570="","",--(COUNTIFS($A$2:A570,A570,$F$2:F570,F570)=1))</f>
        <v/>
      </c>
    </row>
    <row r="571" spans="1:16">
      <c r="A571" s="5"/>
      <c r="O571" s="4" t="str">
        <f>IF(A571="","",--(COUNTIF($A$2:A571,A571)=1))</f>
        <v/>
      </c>
      <c r="P571" s="4" t="str">
        <f>IF(A571="","",--(COUNTIFS($A$2:A571,A571,$F$2:F571,F571)=1))</f>
        <v/>
      </c>
    </row>
    <row r="572" spans="1:16">
      <c r="A572" s="5"/>
      <c r="O572" s="4" t="str">
        <f>IF(A572="","",--(COUNTIF($A$2:A572,A572)=1))</f>
        <v/>
      </c>
      <c r="P572" s="4" t="str">
        <f>IF(A572="","",--(COUNTIFS($A$2:A572,A572,$F$2:F572,F572)=1))</f>
        <v/>
      </c>
    </row>
    <row r="573" spans="1:16">
      <c r="A573" s="5"/>
      <c r="O573" s="4" t="str">
        <f>IF(A573="","",--(COUNTIF($A$2:A573,A573)=1))</f>
        <v/>
      </c>
      <c r="P573" s="4" t="str">
        <f>IF(A573="","",--(COUNTIFS($A$2:A573,A573,$F$2:F573,F573)=1))</f>
        <v/>
      </c>
    </row>
    <row r="574" spans="1:16">
      <c r="A574" s="5"/>
      <c r="O574" s="4" t="str">
        <f>IF(A574="","",--(COUNTIF($A$2:A574,A574)=1))</f>
        <v/>
      </c>
      <c r="P574" s="4" t="str">
        <f>IF(A574="","",--(COUNTIFS($A$2:A574,A574,$F$2:F574,F574)=1))</f>
        <v/>
      </c>
    </row>
    <row r="575" spans="1:16">
      <c r="A575" s="5"/>
      <c r="O575" s="4" t="str">
        <f>IF(A575="","",--(COUNTIF($A$2:A575,A575)=1))</f>
        <v/>
      </c>
      <c r="P575" s="4" t="str">
        <f>IF(A575="","",--(COUNTIFS($A$2:A575,A575,$F$2:F575,F575)=1))</f>
        <v/>
      </c>
    </row>
    <row r="576" spans="1:16">
      <c r="A576" s="5"/>
      <c r="O576" s="4" t="str">
        <f>IF(A576="","",--(COUNTIF($A$2:A576,A576)=1))</f>
        <v/>
      </c>
      <c r="P576" s="4" t="str">
        <f>IF(A576="","",--(COUNTIFS($A$2:A576,A576,$F$2:F576,F576)=1))</f>
        <v/>
      </c>
    </row>
    <row r="577" spans="1:16">
      <c r="A577" s="5"/>
      <c r="O577" s="4" t="str">
        <f>IF(A577="","",--(COUNTIF($A$2:A577,A577)=1))</f>
        <v/>
      </c>
      <c r="P577" s="4" t="str">
        <f>IF(A577="","",--(COUNTIFS($A$2:A577,A577,$F$2:F577,F577)=1))</f>
        <v/>
      </c>
    </row>
    <row r="578" spans="1:16">
      <c r="A578" s="5"/>
      <c r="O578" s="4" t="str">
        <f>IF(A578="","",--(COUNTIF($A$2:A578,A578)=1))</f>
        <v/>
      </c>
      <c r="P578" s="4" t="str">
        <f>IF(A578="","",--(COUNTIFS($A$2:A578,A578,$F$2:F578,F578)=1))</f>
        <v/>
      </c>
    </row>
    <row r="579" spans="1:16">
      <c r="A579" s="5"/>
      <c r="O579" s="4" t="str">
        <f>IF(A579="","",--(COUNTIF($A$2:A579,A579)=1))</f>
        <v/>
      </c>
      <c r="P579" s="4" t="str">
        <f>IF(A579="","",--(COUNTIFS($A$2:A579,A579,$F$2:F579,F579)=1))</f>
        <v/>
      </c>
    </row>
    <row r="580" spans="1:16">
      <c r="A580" s="5"/>
      <c r="O580" s="4" t="str">
        <f>IF(A580="","",--(COUNTIF($A$2:A580,A580)=1))</f>
        <v/>
      </c>
      <c r="P580" s="4" t="str">
        <f>IF(A580="","",--(COUNTIFS($A$2:A580,A580,$F$2:F580,F580)=1))</f>
        <v/>
      </c>
    </row>
    <row r="581" spans="1:16">
      <c r="A581" s="5"/>
      <c r="O581" s="4" t="str">
        <f>IF(A581="","",--(COUNTIF($A$2:A581,A581)=1))</f>
        <v/>
      </c>
      <c r="P581" s="4" t="str">
        <f>IF(A581="","",--(COUNTIFS($A$2:A581,A581,$F$2:F581,F581)=1))</f>
        <v/>
      </c>
    </row>
    <row r="582" spans="1:16">
      <c r="A582" s="5"/>
      <c r="O582" s="4" t="str">
        <f>IF(A582="","",--(COUNTIF($A$2:A582,A582)=1))</f>
        <v/>
      </c>
      <c r="P582" s="4" t="str">
        <f>IF(A582="","",--(COUNTIFS($A$2:A582,A582,$F$2:F582,F582)=1))</f>
        <v/>
      </c>
    </row>
    <row r="583" spans="1:16">
      <c r="A583" s="5"/>
      <c r="O583" s="4" t="str">
        <f>IF(A583="","",--(COUNTIF($A$2:A583,A583)=1))</f>
        <v/>
      </c>
      <c r="P583" s="4" t="str">
        <f>IF(A583="","",--(COUNTIFS($A$2:A583,A583,$F$2:F583,F583)=1))</f>
        <v/>
      </c>
    </row>
    <row r="584" spans="1:16">
      <c r="A584" s="5"/>
      <c r="O584" s="4" t="str">
        <f>IF(A584="","",--(COUNTIF($A$2:A584,A584)=1))</f>
        <v/>
      </c>
      <c r="P584" s="4" t="str">
        <f>IF(A584="","",--(COUNTIFS($A$2:A584,A584,$F$2:F584,F584)=1))</f>
        <v/>
      </c>
    </row>
    <row r="585" spans="1:16">
      <c r="A585" s="5"/>
      <c r="O585" s="4" t="str">
        <f>IF(A585="","",--(COUNTIF($A$2:A585,A585)=1))</f>
        <v/>
      </c>
      <c r="P585" s="4" t="str">
        <f>IF(A585="","",--(COUNTIFS($A$2:A585,A585,$F$2:F585,F585)=1))</f>
        <v/>
      </c>
    </row>
    <row r="586" spans="1:16">
      <c r="A586" s="5"/>
      <c r="O586" s="4" t="str">
        <f>IF(A586="","",--(COUNTIF($A$2:A586,A586)=1))</f>
        <v/>
      </c>
      <c r="P586" s="4" t="str">
        <f>IF(A586="","",--(COUNTIFS($A$2:A586,A586,$F$2:F586,F586)=1))</f>
        <v/>
      </c>
    </row>
    <row r="587" spans="1:16">
      <c r="A587" s="5"/>
      <c r="O587" s="4" t="str">
        <f>IF(A587="","",--(COUNTIF($A$2:A587,A587)=1))</f>
        <v/>
      </c>
      <c r="P587" s="4" t="str">
        <f>IF(A587="","",--(COUNTIFS($A$2:A587,A587,$F$2:F587,F587)=1))</f>
        <v/>
      </c>
    </row>
    <row r="588" spans="1:16">
      <c r="A588" s="5"/>
      <c r="O588" s="4" t="str">
        <f>IF(A588="","",--(COUNTIF($A$2:A588,A588)=1))</f>
        <v/>
      </c>
      <c r="P588" s="4" t="str">
        <f>IF(A588="","",--(COUNTIFS($A$2:A588,A588,$F$2:F588,F588)=1))</f>
        <v/>
      </c>
    </row>
    <row r="589" spans="1:16">
      <c r="A589" s="5"/>
      <c r="O589" s="4" t="str">
        <f>IF(A589="","",--(COUNTIF($A$2:A589,A589)=1))</f>
        <v/>
      </c>
      <c r="P589" s="4" t="str">
        <f>IF(A589="","",--(COUNTIFS($A$2:A589,A589,$F$2:F589,F589)=1))</f>
        <v/>
      </c>
    </row>
    <row r="590" spans="1:16">
      <c r="A590" s="5"/>
      <c r="O590" s="4" t="str">
        <f>IF(A590="","",--(COUNTIF($A$2:A590,A590)=1))</f>
        <v/>
      </c>
      <c r="P590" s="4" t="str">
        <f>IF(A590="","",--(COUNTIFS($A$2:A590,A590,$F$2:F590,F590)=1))</f>
        <v/>
      </c>
    </row>
    <row r="591" spans="1:16">
      <c r="A591" s="5"/>
      <c r="O591" s="4" t="str">
        <f>IF(A591="","",--(COUNTIF($A$2:A591,A591)=1))</f>
        <v/>
      </c>
      <c r="P591" s="4" t="str">
        <f>IF(A591="","",--(COUNTIFS($A$2:A591,A591,$F$2:F591,F591)=1))</f>
        <v/>
      </c>
    </row>
    <row r="592" spans="1:16">
      <c r="A592" s="5"/>
      <c r="O592" s="4" t="str">
        <f>IF(A592="","",--(COUNTIF($A$2:A592,A592)=1))</f>
        <v/>
      </c>
      <c r="P592" s="4" t="str">
        <f>IF(A592="","",--(COUNTIFS($A$2:A592,A592,$F$2:F592,F592)=1))</f>
        <v/>
      </c>
    </row>
    <row r="593" spans="1:16">
      <c r="A593" s="5"/>
      <c r="O593" s="4" t="str">
        <f>IF(A593="","",--(COUNTIF($A$2:A593,A593)=1))</f>
        <v/>
      </c>
      <c r="P593" s="4" t="str">
        <f>IF(A593="","",--(COUNTIFS($A$2:A593,A593,$F$2:F593,F593)=1))</f>
        <v/>
      </c>
    </row>
    <row r="594" spans="1:16">
      <c r="A594" s="5"/>
      <c r="O594" s="4" t="str">
        <f>IF(A594="","",--(COUNTIF($A$2:A594,A594)=1))</f>
        <v/>
      </c>
      <c r="P594" s="4" t="str">
        <f>IF(A594="","",--(COUNTIFS($A$2:A594,A594,$F$2:F594,F594)=1))</f>
        <v/>
      </c>
    </row>
    <row r="595" spans="1:16">
      <c r="A595" s="5"/>
      <c r="O595" s="4" t="str">
        <f>IF(A595="","",--(COUNTIF($A$2:A595,A595)=1))</f>
        <v/>
      </c>
      <c r="P595" s="4" t="str">
        <f>IF(A595="","",--(COUNTIFS($A$2:A595,A595,$F$2:F595,F595)=1))</f>
        <v/>
      </c>
    </row>
    <row r="596" spans="1:16">
      <c r="A596" s="5"/>
      <c r="O596" s="4" t="str">
        <f>IF(A596="","",--(COUNTIF($A$2:A596,A596)=1))</f>
        <v/>
      </c>
      <c r="P596" s="4" t="str">
        <f>IF(A596="","",--(COUNTIFS($A$2:A596,A596,$F$2:F596,F596)=1))</f>
        <v/>
      </c>
    </row>
    <row r="597" spans="1:16">
      <c r="A597" s="5"/>
      <c r="O597" s="4" t="str">
        <f>IF(A597="","",--(COUNTIF($A$2:A597,A597)=1))</f>
        <v/>
      </c>
      <c r="P597" s="4" t="str">
        <f>IF(A597="","",--(COUNTIFS($A$2:A597,A597,$F$2:F597,F597)=1))</f>
        <v/>
      </c>
    </row>
    <row r="598" spans="1:16">
      <c r="A598" s="5"/>
      <c r="O598" s="4" t="str">
        <f>IF(A598="","",--(COUNTIF($A$2:A598,A598)=1))</f>
        <v/>
      </c>
      <c r="P598" s="4" t="str">
        <f>IF(A598="","",--(COUNTIFS($A$2:A598,A598,$F$2:F598,F598)=1))</f>
        <v/>
      </c>
    </row>
    <row r="599" spans="1:16">
      <c r="A599" s="5"/>
      <c r="O599" s="4" t="str">
        <f>IF(A599="","",--(COUNTIF($A$2:A599,A599)=1))</f>
        <v/>
      </c>
      <c r="P599" s="4" t="str">
        <f>IF(A599="","",--(COUNTIFS($A$2:A599,A599,$F$2:F599,F599)=1))</f>
        <v/>
      </c>
    </row>
    <row r="600" spans="1:16">
      <c r="A600" s="5"/>
      <c r="O600" s="4" t="str">
        <f>IF(A600="","",--(COUNTIF($A$2:A600,A600)=1))</f>
        <v/>
      </c>
      <c r="P600" s="4" t="str">
        <f>IF(A600="","",--(COUNTIFS($A$2:A600,A600,$F$2:F600,F600)=1))</f>
        <v/>
      </c>
    </row>
  </sheetData>
  <autoFilter ref="A1:P104" xr:uid="{00000000-0001-0000-0200-000000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LISTAS!$B$3:$B$11</xm:f>
          </x14:formula1>
          <xm:sqref>F105:F600</xm:sqref>
        </x14:dataValidation>
        <x14:dataValidation type="list" xr:uid="{00000000-0002-0000-0200-000001000000}">
          <x14:formula1>
            <xm:f>LISTAS!$D$2:$D$3</xm:f>
          </x14:formula1>
          <xm:sqref>I2:I600</xm:sqref>
        </x14:dataValidation>
        <x14:dataValidation type="list" xr:uid="{00000000-0002-0000-0200-000002000000}">
          <x14:formula1>
            <xm:f>LISTAS!$C$2:$C$5</xm:f>
          </x14:formula1>
          <xm:sqref>K2:K600</xm:sqref>
        </x14:dataValidation>
        <x14:dataValidation type="list" xr:uid="{00000000-0002-0000-0200-000003000000}">
          <x14:formula1>
            <xm:f>LISTAS!$E$2:$E$3</xm:f>
          </x14:formula1>
          <xm:sqref>M2:M600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00"/>
  <sheetViews>
    <sheetView topLeftCell="D1" workbookViewId="0">
      <selection activeCell="D7" sqref="D4:L7"/>
    </sheetView>
  </sheetViews>
  <sheetFormatPr defaultRowHeight="14.25"/>
  <cols>
    <col min="1" max="3" width="35.875" bestFit="1" customWidth="1"/>
    <col min="4" max="4" width="16.875" bestFit="1" customWidth="1"/>
    <col min="5" max="5" width="15.5" bestFit="1" customWidth="1"/>
    <col min="6" max="6" width="10.75" bestFit="1" customWidth="1"/>
    <col min="7" max="7" width="8.375" bestFit="1" customWidth="1"/>
    <col min="8" max="8" width="19.375" bestFit="1" customWidth="1"/>
    <col min="9" max="9" width="11.125" bestFit="1" customWidth="1"/>
    <col min="10" max="10" width="21.375" bestFit="1" customWidth="1"/>
    <col min="11" max="11" width="14" bestFit="1" customWidth="1"/>
    <col min="12" max="12" width="12" bestFit="1" customWidth="1"/>
    <col min="13" max="13" width="13.875" bestFit="1" customWidth="1"/>
    <col min="14" max="14" width="9.5" bestFit="1" customWidth="1"/>
    <col min="15" max="15" width="11.625" bestFit="1" customWidth="1"/>
    <col min="16" max="16" width="10.25" bestFit="1" customWidth="1"/>
  </cols>
  <sheetData>
    <row r="1" spans="1:16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22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2" t="s">
        <v>51</v>
      </c>
      <c r="O1" s="3" t="s">
        <v>52</v>
      </c>
      <c r="P1" s="3" t="s">
        <v>53</v>
      </c>
    </row>
    <row r="2" spans="1:16">
      <c r="A2" s="5" t="s">
        <v>289</v>
      </c>
      <c r="B2" t="s">
        <v>289</v>
      </c>
      <c r="C2" t="s">
        <v>289</v>
      </c>
      <c r="D2" t="s">
        <v>54</v>
      </c>
      <c r="F2" t="s">
        <v>25</v>
      </c>
      <c r="K2" t="s">
        <v>3</v>
      </c>
      <c r="O2" s="4"/>
      <c r="P2" s="4"/>
    </row>
    <row r="3" spans="1:16">
      <c r="A3" s="5" t="s">
        <v>290</v>
      </c>
      <c r="B3" t="s">
        <v>290</v>
      </c>
      <c r="C3" t="s">
        <v>290</v>
      </c>
      <c r="D3" t="s">
        <v>54</v>
      </c>
      <c r="F3" t="s">
        <v>25</v>
      </c>
      <c r="K3" t="s">
        <v>3</v>
      </c>
      <c r="O3" s="4"/>
      <c r="P3" s="4"/>
    </row>
    <row r="4" spans="1:16">
      <c r="A4" s="5" t="s">
        <v>291</v>
      </c>
      <c r="B4" t="s">
        <v>291</v>
      </c>
      <c r="C4" t="s">
        <v>291</v>
      </c>
      <c r="D4" t="s">
        <v>54</v>
      </c>
      <c r="F4" t="s">
        <v>25</v>
      </c>
      <c r="K4" t="s">
        <v>3</v>
      </c>
      <c r="O4" s="4"/>
      <c r="P4" s="4"/>
    </row>
    <row r="5" spans="1:16">
      <c r="A5" s="5" t="s">
        <v>292</v>
      </c>
      <c r="B5" t="s">
        <v>292</v>
      </c>
      <c r="C5" t="s">
        <v>292</v>
      </c>
      <c r="D5" t="s">
        <v>54</v>
      </c>
      <c r="F5" t="s">
        <v>25</v>
      </c>
      <c r="K5" t="s">
        <v>3</v>
      </c>
      <c r="O5" s="4"/>
      <c r="P5" s="4"/>
    </row>
    <row r="6" spans="1:16">
      <c r="A6" s="5" t="s">
        <v>293</v>
      </c>
      <c r="B6" t="s">
        <v>293</v>
      </c>
      <c r="C6" t="s">
        <v>293</v>
      </c>
      <c r="D6" t="s">
        <v>54</v>
      </c>
      <c r="F6" t="s">
        <v>25</v>
      </c>
      <c r="K6" t="s">
        <v>3</v>
      </c>
      <c r="O6" s="4"/>
      <c r="P6" s="4"/>
    </row>
    <row r="7" spans="1:16">
      <c r="A7" s="5" t="s">
        <v>294</v>
      </c>
      <c r="B7" t="s">
        <v>294</v>
      </c>
      <c r="C7" t="s">
        <v>294</v>
      </c>
      <c r="D7" t="s">
        <v>54</v>
      </c>
      <c r="F7" t="s">
        <v>25</v>
      </c>
      <c r="K7" t="s">
        <v>3</v>
      </c>
      <c r="O7" s="4"/>
      <c r="P7" s="4"/>
    </row>
    <row r="8" spans="1:16">
      <c r="A8" s="5" t="s">
        <v>295</v>
      </c>
      <c r="B8" t="s">
        <v>295</v>
      </c>
      <c r="C8" t="s">
        <v>295</v>
      </c>
      <c r="D8" t="s">
        <v>54</v>
      </c>
      <c r="F8" t="s">
        <v>25</v>
      </c>
      <c r="K8" t="s">
        <v>3</v>
      </c>
      <c r="O8" s="4"/>
      <c r="P8" s="4"/>
    </row>
    <row r="9" spans="1:16">
      <c r="A9" s="5" t="s">
        <v>296</v>
      </c>
      <c r="B9" t="s">
        <v>296</v>
      </c>
      <c r="C9" t="s">
        <v>296</v>
      </c>
      <c r="D9" t="s">
        <v>54</v>
      </c>
      <c r="F9" t="s">
        <v>25</v>
      </c>
      <c r="K9" t="s">
        <v>3</v>
      </c>
      <c r="O9" s="4"/>
      <c r="P9" s="4"/>
    </row>
    <row r="10" spans="1:16">
      <c r="A10" s="5" t="s">
        <v>297</v>
      </c>
      <c r="B10" t="s">
        <v>297</v>
      </c>
      <c r="C10" t="s">
        <v>297</v>
      </c>
      <c r="D10" t="s">
        <v>54</v>
      </c>
      <c r="F10" t="s">
        <v>25</v>
      </c>
      <c r="K10" t="s">
        <v>3</v>
      </c>
      <c r="O10" s="4"/>
      <c r="P10" s="4"/>
    </row>
    <row r="11" spans="1:16">
      <c r="A11" s="5" t="s">
        <v>298</v>
      </c>
      <c r="B11" t="s">
        <v>298</v>
      </c>
      <c r="C11" t="s">
        <v>298</v>
      </c>
      <c r="D11" t="s">
        <v>54</v>
      </c>
      <c r="F11" t="s">
        <v>25</v>
      </c>
      <c r="K11" t="s">
        <v>3</v>
      </c>
      <c r="O11" s="4"/>
      <c r="P11" s="4"/>
    </row>
    <row r="12" spans="1:16">
      <c r="A12" s="5" t="s">
        <v>299</v>
      </c>
      <c r="B12" t="s">
        <v>299</v>
      </c>
      <c r="C12" t="s">
        <v>299</v>
      </c>
      <c r="D12" t="s">
        <v>54</v>
      </c>
      <c r="F12" t="s">
        <v>25</v>
      </c>
      <c r="K12" t="s">
        <v>3</v>
      </c>
      <c r="O12" s="4"/>
      <c r="P12" s="4"/>
    </row>
    <row r="13" spans="1:16">
      <c r="A13" s="5" t="s">
        <v>300</v>
      </c>
      <c r="B13" t="s">
        <v>300</v>
      </c>
      <c r="C13" t="s">
        <v>300</v>
      </c>
      <c r="D13" t="s">
        <v>54</v>
      </c>
      <c r="F13" t="s">
        <v>25</v>
      </c>
      <c r="K13" t="s">
        <v>3</v>
      </c>
      <c r="O13" s="4"/>
      <c r="P13" s="4"/>
    </row>
    <row r="14" spans="1:16">
      <c r="A14" s="5" t="s">
        <v>301</v>
      </c>
      <c r="B14" t="s">
        <v>301</v>
      </c>
      <c r="C14" t="s">
        <v>301</v>
      </c>
      <c r="D14" t="s">
        <v>54</v>
      </c>
      <c r="F14" t="s">
        <v>25</v>
      </c>
      <c r="K14" t="s">
        <v>3</v>
      </c>
      <c r="O14" s="4"/>
      <c r="P14" s="4"/>
    </row>
    <row r="15" spans="1:16">
      <c r="A15" s="5" t="s">
        <v>302</v>
      </c>
      <c r="B15" t="s">
        <v>302</v>
      </c>
      <c r="C15" t="s">
        <v>302</v>
      </c>
      <c r="D15" t="s">
        <v>54</v>
      </c>
      <c r="F15" t="s">
        <v>25</v>
      </c>
      <c r="K15" t="s">
        <v>3</v>
      </c>
      <c r="O15" s="4"/>
      <c r="P15" s="4"/>
    </row>
    <row r="16" spans="1:16">
      <c r="A16" s="5" t="s">
        <v>303</v>
      </c>
      <c r="B16" t="s">
        <v>303</v>
      </c>
      <c r="C16" t="s">
        <v>303</v>
      </c>
      <c r="D16" t="s">
        <v>54</v>
      </c>
      <c r="F16" t="s">
        <v>25</v>
      </c>
      <c r="K16" t="s">
        <v>3</v>
      </c>
      <c r="O16" s="4"/>
      <c r="P16" s="4"/>
    </row>
    <row r="17" spans="1:16">
      <c r="A17" s="5" t="s">
        <v>304</v>
      </c>
      <c r="B17" t="s">
        <v>304</v>
      </c>
      <c r="C17" t="s">
        <v>304</v>
      </c>
      <c r="D17" t="s">
        <v>54</v>
      </c>
      <c r="F17" t="s">
        <v>25</v>
      </c>
      <c r="K17" t="s">
        <v>3</v>
      </c>
      <c r="O17" s="4"/>
      <c r="P17" s="4"/>
    </row>
    <row r="18" spans="1:16">
      <c r="A18" s="5" t="s">
        <v>305</v>
      </c>
      <c r="B18" t="s">
        <v>305</v>
      </c>
      <c r="C18" t="s">
        <v>305</v>
      </c>
      <c r="D18" t="s">
        <v>54</v>
      </c>
      <c r="F18" t="s">
        <v>25</v>
      </c>
      <c r="K18" t="s">
        <v>3</v>
      </c>
      <c r="O18" s="4"/>
      <c r="P18" s="4"/>
    </row>
    <row r="19" spans="1:16">
      <c r="A19" s="5" t="s">
        <v>306</v>
      </c>
      <c r="B19" t="s">
        <v>306</v>
      </c>
      <c r="C19" t="s">
        <v>306</v>
      </c>
      <c r="D19" t="s">
        <v>54</v>
      </c>
      <c r="F19" t="s">
        <v>25</v>
      </c>
      <c r="K19" t="s">
        <v>3</v>
      </c>
      <c r="O19" s="4"/>
      <c r="P19" s="4"/>
    </row>
    <row r="20" spans="1:16">
      <c r="A20" s="5" t="s">
        <v>307</v>
      </c>
      <c r="B20" t="s">
        <v>307</v>
      </c>
      <c r="C20" t="s">
        <v>307</v>
      </c>
      <c r="D20" t="s">
        <v>54</v>
      </c>
      <c r="F20" t="s">
        <v>25</v>
      </c>
      <c r="K20" t="s">
        <v>3</v>
      </c>
      <c r="O20" s="4"/>
      <c r="P20" s="4"/>
    </row>
    <row r="21" spans="1:16">
      <c r="A21" s="5" t="s">
        <v>308</v>
      </c>
      <c r="B21" t="s">
        <v>308</v>
      </c>
      <c r="C21" t="s">
        <v>308</v>
      </c>
      <c r="D21" t="s">
        <v>54</v>
      </c>
      <c r="F21" t="s">
        <v>25</v>
      </c>
      <c r="K21" t="s">
        <v>3</v>
      </c>
      <c r="O21" s="4"/>
      <c r="P21" s="4"/>
    </row>
    <row r="22" spans="1:16">
      <c r="A22" s="5" t="s">
        <v>309</v>
      </c>
      <c r="B22" t="s">
        <v>309</v>
      </c>
      <c r="C22" t="s">
        <v>309</v>
      </c>
      <c r="D22" t="s">
        <v>54</v>
      </c>
      <c r="F22" t="s">
        <v>25</v>
      </c>
      <c r="K22" t="s">
        <v>3</v>
      </c>
      <c r="O22" s="4"/>
      <c r="P22" s="4"/>
    </row>
    <row r="23" spans="1:16">
      <c r="A23" s="5" t="s">
        <v>310</v>
      </c>
      <c r="B23" t="s">
        <v>310</v>
      </c>
      <c r="C23" t="s">
        <v>310</v>
      </c>
      <c r="D23" t="s">
        <v>54</v>
      </c>
      <c r="F23" t="s">
        <v>25</v>
      </c>
      <c r="K23" t="s">
        <v>3</v>
      </c>
      <c r="O23" s="4"/>
      <c r="P23" s="4"/>
    </row>
    <row r="24" spans="1:16">
      <c r="A24" s="5" t="s">
        <v>311</v>
      </c>
      <c r="B24" t="s">
        <v>311</v>
      </c>
      <c r="C24" t="s">
        <v>311</v>
      </c>
      <c r="D24" t="s">
        <v>54</v>
      </c>
      <c r="F24" t="s">
        <v>25</v>
      </c>
      <c r="K24" t="s">
        <v>3</v>
      </c>
      <c r="O24" s="4"/>
      <c r="P24" s="4"/>
    </row>
    <row r="25" spans="1:16">
      <c r="A25" s="5" t="s">
        <v>312</v>
      </c>
      <c r="B25" t="s">
        <v>312</v>
      </c>
      <c r="C25" t="s">
        <v>312</v>
      </c>
      <c r="D25" t="s">
        <v>54</v>
      </c>
      <c r="F25" t="s">
        <v>25</v>
      </c>
      <c r="K25" t="s">
        <v>3</v>
      </c>
      <c r="O25" s="4"/>
      <c r="P25" s="4"/>
    </row>
    <row r="26" spans="1:16">
      <c r="A26" s="5" t="s">
        <v>313</v>
      </c>
      <c r="B26" t="s">
        <v>313</v>
      </c>
      <c r="C26" t="s">
        <v>313</v>
      </c>
      <c r="D26" t="s">
        <v>54</v>
      </c>
      <c r="F26" t="s">
        <v>25</v>
      </c>
      <c r="K26" t="s">
        <v>3</v>
      </c>
      <c r="O26" s="4"/>
      <c r="P26" s="4"/>
    </row>
    <row r="27" spans="1:16">
      <c r="A27" s="5" t="s">
        <v>314</v>
      </c>
      <c r="B27" t="s">
        <v>314</v>
      </c>
      <c r="C27" t="s">
        <v>314</v>
      </c>
      <c r="D27" t="s">
        <v>54</v>
      </c>
      <c r="F27" t="s">
        <v>25</v>
      </c>
      <c r="K27" t="s">
        <v>3</v>
      </c>
      <c r="O27" s="4"/>
      <c r="P27" s="4"/>
    </row>
    <row r="28" spans="1:16">
      <c r="A28" s="5" t="s">
        <v>315</v>
      </c>
      <c r="B28" t="s">
        <v>315</v>
      </c>
      <c r="C28" t="s">
        <v>315</v>
      </c>
      <c r="D28" t="s">
        <v>54</v>
      </c>
      <c r="F28" t="s">
        <v>25</v>
      </c>
      <c r="K28" t="s">
        <v>3</v>
      </c>
      <c r="O28" s="4"/>
      <c r="P28" s="4"/>
    </row>
    <row r="29" spans="1:16">
      <c r="A29" s="5" t="s">
        <v>316</v>
      </c>
      <c r="B29" t="s">
        <v>316</v>
      </c>
      <c r="C29" t="s">
        <v>316</v>
      </c>
      <c r="D29" t="s">
        <v>54</v>
      </c>
      <c r="F29" t="s">
        <v>25</v>
      </c>
      <c r="K29" t="s">
        <v>68</v>
      </c>
      <c r="O29" s="4"/>
      <c r="P29" s="4"/>
    </row>
    <row r="30" spans="1:16">
      <c r="A30" s="5" t="s">
        <v>317</v>
      </c>
      <c r="B30" t="s">
        <v>317</v>
      </c>
      <c r="C30" t="s">
        <v>317</v>
      </c>
      <c r="D30" t="s">
        <v>54</v>
      </c>
      <c r="F30" t="s">
        <v>25</v>
      </c>
      <c r="K30" t="s">
        <v>68</v>
      </c>
      <c r="O30" s="4"/>
      <c r="P30" s="4"/>
    </row>
    <row r="31" spans="1:16">
      <c r="A31" s="5" t="s">
        <v>318</v>
      </c>
      <c r="B31" t="s">
        <v>318</v>
      </c>
      <c r="C31" t="s">
        <v>318</v>
      </c>
      <c r="D31" t="s">
        <v>54</v>
      </c>
      <c r="F31" t="s">
        <v>25</v>
      </c>
      <c r="K31" t="s">
        <v>68</v>
      </c>
      <c r="O31" s="4"/>
      <c r="P31" s="4"/>
    </row>
    <row r="32" spans="1:16">
      <c r="A32" s="5" t="s">
        <v>319</v>
      </c>
      <c r="B32" t="s">
        <v>319</v>
      </c>
      <c r="C32" t="s">
        <v>319</v>
      </c>
      <c r="D32" t="s">
        <v>54</v>
      </c>
      <c r="F32" t="s">
        <v>25</v>
      </c>
      <c r="K32" t="s">
        <v>68</v>
      </c>
      <c r="O32" s="4"/>
      <c r="P32" s="4"/>
    </row>
    <row r="33" spans="1:16">
      <c r="A33" s="5" t="s">
        <v>320</v>
      </c>
      <c r="B33" t="s">
        <v>320</v>
      </c>
      <c r="C33" t="s">
        <v>320</v>
      </c>
      <c r="D33" t="s">
        <v>54</v>
      </c>
      <c r="F33" t="s">
        <v>25</v>
      </c>
      <c r="K33" t="s">
        <v>68</v>
      </c>
      <c r="O33" s="4"/>
      <c r="P33" s="4"/>
    </row>
    <row r="34" spans="1:16">
      <c r="A34" s="5" t="s">
        <v>321</v>
      </c>
      <c r="B34" t="s">
        <v>321</v>
      </c>
      <c r="C34" t="s">
        <v>321</v>
      </c>
      <c r="D34" t="s">
        <v>54</v>
      </c>
      <c r="F34" t="s">
        <v>25</v>
      </c>
      <c r="K34" t="s">
        <v>68</v>
      </c>
      <c r="O34" s="4"/>
      <c r="P34" s="4"/>
    </row>
    <row r="35" spans="1:16">
      <c r="A35" s="5" t="s">
        <v>322</v>
      </c>
      <c r="B35" t="s">
        <v>322</v>
      </c>
      <c r="C35" t="s">
        <v>322</v>
      </c>
      <c r="D35" t="s">
        <v>54</v>
      </c>
      <c r="F35" t="s">
        <v>25</v>
      </c>
      <c r="K35" t="s">
        <v>68</v>
      </c>
      <c r="O35" s="4"/>
      <c r="P35" s="4"/>
    </row>
    <row r="36" spans="1:16">
      <c r="A36" s="5" t="s">
        <v>323</v>
      </c>
      <c r="B36" t="s">
        <v>323</v>
      </c>
      <c r="C36" t="s">
        <v>323</v>
      </c>
      <c r="D36" t="s">
        <v>54</v>
      </c>
      <c r="F36" t="s">
        <v>25</v>
      </c>
      <c r="K36" t="s">
        <v>68</v>
      </c>
      <c r="O36" s="4"/>
      <c r="P36" s="4"/>
    </row>
    <row r="37" spans="1:16">
      <c r="A37" s="5"/>
      <c r="O37" s="4"/>
      <c r="P37" s="4"/>
    </row>
    <row r="38" spans="1:16">
      <c r="A38" s="5"/>
      <c r="O38" s="4"/>
      <c r="P38" s="4"/>
    </row>
    <row r="39" spans="1:16">
      <c r="A39" s="5"/>
      <c r="O39" s="4"/>
      <c r="P39" s="4"/>
    </row>
    <row r="40" spans="1:16">
      <c r="A40" s="5"/>
      <c r="O40" s="4"/>
      <c r="P40" s="4"/>
    </row>
    <row r="41" spans="1:16">
      <c r="A41" s="5"/>
      <c r="O41" s="4"/>
      <c r="P41" s="4"/>
    </row>
    <row r="42" spans="1:16">
      <c r="A42" s="5"/>
      <c r="O42" s="4"/>
      <c r="P42" s="4"/>
    </row>
    <row r="43" spans="1:16">
      <c r="A43" s="5"/>
      <c r="O43" s="4"/>
      <c r="P43" s="4"/>
    </row>
    <row r="44" spans="1:16">
      <c r="A44" s="5"/>
      <c r="O44" s="4"/>
      <c r="P44" s="4"/>
    </row>
    <row r="45" spans="1:16">
      <c r="A45" s="5"/>
      <c r="O45" s="4"/>
      <c r="P45" s="4"/>
    </row>
    <row r="46" spans="1:16">
      <c r="A46" s="5"/>
      <c r="O46" s="4"/>
      <c r="P46" s="4"/>
    </row>
    <row r="47" spans="1:16">
      <c r="A47" s="5"/>
      <c r="O47" s="4"/>
      <c r="P47" s="4"/>
    </row>
    <row r="48" spans="1:16">
      <c r="A48" s="5"/>
      <c r="O48" s="4"/>
      <c r="P48" s="4"/>
    </row>
    <row r="49" spans="1:16">
      <c r="A49" s="5"/>
      <c r="O49" s="4"/>
      <c r="P49" s="4"/>
    </row>
    <row r="50" spans="1:16">
      <c r="A50" s="5"/>
      <c r="O50" s="4"/>
      <c r="P50" s="4"/>
    </row>
    <row r="51" spans="1:16">
      <c r="A51" s="5"/>
      <c r="O51" s="4"/>
      <c r="P51" s="4"/>
    </row>
    <row r="52" spans="1:16">
      <c r="A52" s="5"/>
      <c r="O52" s="4"/>
      <c r="P52" s="4"/>
    </row>
    <row r="53" spans="1:16">
      <c r="A53" s="5"/>
      <c r="O53" s="4"/>
      <c r="P53" s="4"/>
    </row>
    <row r="54" spans="1:16">
      <c r="A54" s="5"/>
      <c r="O54" s="4"/>
      <c r="P54" s="4"/>
    </row>
    <row r="55" spans="1:16">
      <c r="A55" s="5"/>
      <c r="O55" s="4"/>
      <c r="P55" s="4"/>
    </row>
    <row r="56" spans="1:16">
      <c r="A56" s="5"/>
      <c r="O56" s="4"/>
      <c r="P56" s="4"/>
    </row>
    <row r="57" spans="1:16">
      <c r="A57" s="5"/>
      <c r="O57" s="4"/>
      <c r="P57" s="4"/>
    </row>
    <row r="58" spans="1:16">
      <c r="A58" s="5"/>
      <c r="O58" s="4"/>
      <c r="P58" s="4"/>
    </row>
    <row r="59" spans="1:16">
      <c r="A59" s="5"/>
      <c r="O59" s="4"/>
      <c r="P59" s="4"/>
    </row>
    <row r="60" spans="1:16">
      <c r="A60" s="5"/>
      <c r="O60" s="4"/>
      <c r="P60" s="4"/>
    </row>
    <row r="61" spans="1:16">
      <c r="A61" s="5"/>
      <c r="O61" s="4"/>
      <c r="P61" s="4"/>
    </row>
    <row r="62" spans="1:16">
      <c r="A62" s="5"/>
      <c r="O62" s="4"/>
      <c r="P62" s="4"/>
    </row>
    <row r="63" spans="1:16">
      <c r="A63" s="5"/>
      <c r="O63" s="4"/>
      <c r="P63" s="4"/>
    </row>
    <row r="64" spans="1:16">
      <c r="A64" s="5"/>
      <c r="O64" s="4"/>
      <c r="P64" s="4"/>
    </row>
    <row r="65" spans="1:16">
      <c r="A65" s="5"/>
      <c r="O65" s="4"/>
      <c r="P65" s="4"/>
    </row>
    <row r="66" spans="1:16">
      <c r="A66" s="5"/>
      <c r="O66" s="4"/>
      <c r="P66" s="4"/>
    </row>
    <row r="67" spans="1:16">
      <c r="A67" s="5"/>
      <c r="O67" s="4"/>
      <c r="P67" s="4"/>
    </row>
    <row r="68" spans="1:16">
      <c r="A68" s="5"/>
      <c r="O68" s="4"/>
      <c r="P68" s="4"/>
    </row>
    <row r="69" spans="1:16">
      <c r="A69" s="5"/>
      <c r="O69" s="4"/>
      <c r="P69" s="4"/>
    </row>
    <row r="70" spans="1:16">
      <c r="A70" s="5"/>
      <c r="O70" s="4"/>
      <c r="P70" s="4"/>
    </row>
    <row r="71" spans="1:16">
      <c r="A71" s="5"/>
      <c r="O71" s="4"/>
      <c r="P71" s="4"/>
    </row>
    <row r="72" spans="1:16">
      <c r="A72" s="5"/>
      <c r="O72" s="4"/>
      <c r="P72" s="4"/>
    </row>
    <row r="73" spans="1:16">
      <c r="A73" s="5"/>
      <c r="O73" s="4"/>
      <c r="P73" s="4"/>
    </row>
    <row r="74" spans="1:16">
      <c r="A74" s="5"/>
      <c r="O74" s="4"/>
      <c r="P74" s="4"/>
    </row>
    <row r="75" spans="1:16">
      <c r="A75" s="5"/>
      <c r="O75" s="4"/>
      <c r="P75" s="4"/>
    </row>
    <row r="76" spans="1:16">
      <c r="A76" s="5"/>
      <c r="O76" s="4"/>
      <c r="P76" s="4"/>
    </row>
    <row r="77" spans="1:16">
      <c r="A77" s="5"/>
      <c r="O77" s="4"/>
      <c r="P77" s="4"/>
    </row>
    <row r="78" spans="1:16">
      <c r="A78" s="5"/>
      <c r="O78" s="4"/>
      <c r="P78" s="4"/>
    </row>
    <row r="79" spans="1:16">
      <c r="A79" s="5"/>
      <c r="O79" s="4"/>
      <c r="P79" s="4"/>
    </row>
    <row r="80" spans="1:16">
      <c r="A80" s="5"/>
      <c r="O80" s="4"/>
      <c r="P80" s="4"/>
    </row>
    <row r="81" spans="1:16">
      <c r="A81" s="5"/>
      <c r="O81" s="4"/>
      <c r="P81" s="4"/>
    </row>
    <row r="82" spans="1:16">
      <c r="A82" s="5"/>
      <c r="O82" s="4"/>
      <c r="P82" s="4"/>
    </row>
    <row r="83" spans="1:16">
      <c r="A83" s="5"/>
      <c r="O83" s="4"/>
      <c r="P83" s="4"/>
    </row>
    <row r="84" spans="1:16">
      <c r="A84" s="5"/>
      <c r="O84" s="4"/>
      <c r="P84" s="4"/>
    </row>
    <row r="85" spans="1:16">
      <c r="A85" s="5"/>
      <c r="O85" s="4"/>
      <c r="P85" s="4"/>
    </row>
    <row r="86" spans="1:16">
      <c r="A86" s="5"/>
      <c r="O86" s="4"/>
      <c r="P86" s="4"/>
    </row>
    <row r="87" spans="1:16">
      <c r="A87" s="5"/>
      <c r="O87" s="4"/>
      <c r="P87" s="4"/>
    </row>
    <row r="88" spans="1:16">
      <c r="A88" s="5"/>
      <c r="O88" s="4"/>
      <c r="P88" s="4"/>
    </row>
    <row r="89" spans="1:16">
      <c r="A89" s="5"/>
      <c r="O89" s="4"/>
      <c r="P89" s="4"/>
    </row>
    <row r="90" spans="1:16">
      <c r="A90" s="5"/>
      <c r="O90" s="4"/>
      <c r="P90" s="4"/>
    </row>
    <row r="91" spans="1:16">
      <c r="A91" s="5"/>
      <c r="O91" s="4"/>
      <c r="P91" s="4"/>
    </row>
    <row r="92" spans="1:16">
      <c r="A92" s="5"/>
      <c r="O92" s="4"/>
      <c r="P92" s="4"/>
    </row>
    <row r="93" spans="1:16">
      <c r="A93" s="5"/>
      <c r="O93" s="4"/>
      <c r="P93" s="4"/>
    </row>
    <row r="94" spans="1:16">
      <c r="A94" s="5"/>
      <c r="O94" s="4"/>
      <c r="P94" s="4"/>
    </row>
    <row r="95" spans="1:16">
      <c r="A95" s="5"/>
      <c r="O95" s="4"/>
      <c r="P95" s="4"/>
    </row>
    <row r="96" spans="1:16">
      <c r="A96" s="5"/>
      <c r="O96" s="4"/>
      <c r="P96" s="4"/>
    </row>
    <row r="97" spans="1:16">
      <c r="A97" s="5"/>
      <c r="O97" s="4"/>
      <c r="P97" s="4"/>
    </row>
    <row r="98" spans="1:16">
      <c r="A98" s="5"/>
      <c r="O98" s="4"/>
      <c r="P98" s="4"/>
    </row>
    <row r="99" spans="1:16">
      <c r="A99" s="5"/>
      <c r="O99" s="4"/>
      <c r="P99" s="4"/>
    </row>
    <row r="100" spans="1:16">
      <c r="A100" s="5"/>
      <c r="O100" s="4"/>
      <c r="P100" s="4"/>
    </row>
    <row r="101" spans="1:16">
      <c r="A101" s="5"/>
      <c r="O101" s="4"/>
      <c r="P101" s="4"/>
    </row>
    <row r="102" spans="1:16">
      <c r="A102" s="5"/>
      <c r="O102" s="4"/>
      <c r="P102" s="4"/>
    </row>
    <row r="103" spans="1:16">
      <c r="A103" s="5"/>
      <c r="O103" s="4"/>
      <c r="P103" s="4"/>
    </row>
    <row r="104" spans="1:16">
      <c r="A104" s="5"/>
      <c r="O104" s="4"/>
      <c r="P104" s="4"/>
    </row>
    <row r="105" spans="1:16">
      <c r="A105" s="5"/>
      <c r="O105" s="4"/>
      <c r="P105" s="4"/>
    </row>
    <row r="106" spans="1:16">
      <c r="A106" s="5"/>
      <c r="O106" s="4"/>
      <c r="P106" s="4"/>
    </row>
    <row r="107" spans="1:16">
      <c r="A107" s="5"/>
      <c r="O107" s="4"/>
      <c r="P107" s="4"/>
    </row>
    <row r="108" spans="1:16">
      <c r="A108" s="5"/>
      <c r="O108" s="4"/>
      <c r="P108" s="4"/>
    </row>
    <row r="109" spans="1:16">
      <c r="A109" s="5"/>
      <c r="O109" s="4"/>
      <c r="P109" s="4"/>
    </row>
    <row r="110" spans="1:16">
      <c r="A110" s="5"/>
      <c r="O110" s="4"/>
      <c r="P110" s="4"/>
    </row>
    <row r="111" spans="1:16">
      <c r="A111" s="5"/>
      <c r="O111" s="4"/>
      <c r="P111" s="4"/>
    </row>
    <row r="112" spans="1:16">
      <c r="A112" s="5"/>
      <c r="O112" s="4"/>
      <c r="P112" s="4"/>
    </row>
    <row r="113" spans="1:16">
      <c r="A113" s="5"/>
      <c r="O113" s="4"/>
      <c r="P113" s="4"/>
    </row>
    <row r="114" spans="1:16">
      <c r="A114" s="5"/>
      <c r="O114" s="4"/>
      <c r="P114" s="4"/>
    </row>
    <row r="115" spans="1:16">
      <c r="A115" s="5"/>
      <c r="O115" s="4"/>
      <c r="P115" s="4"/>
    </row>
    <row r="116" spans="1:16">
      <c r="A116" s="5"/>
      <c r="O116" s="4"/>
      <c r="P116" s="4"/>
    </row>
    <row r="117" spans="1:16">
      <c r="A117" s="5"/>
      <c r="O117" s="4"/>
      <c r="P117" s="4"/>
    </row>
    <row r="118" spans="1:16">
      <c r="A118" s="5"/>
      <c r="O118" s="4"/>
      <c r="P118" s="4"/>
    </row>
    <row r="119" spans="1:16">
      <c r="A119" s="5"/>
      <c r="O119" s="4"/>
      <c r="P119" s="4"/>
    </row>
    <row r="120" spans="1:16">
      <c r="A120" s="5"/>
      <c r="O120" s="4"/>
      <c r="P120" s="4"/>
    </row>
    <row r="121" spans="1:16">
      <c r="A121" s="5"/>
      <c r="O121" s="4"/>
      <c r="P121" s="4"/>
    </row>
    <row r="122" spans="1:16">
      <c r="A122" s="5"/>
      <c r="O122" s="4"/>
      <c r="P122" s="4"/>
    </row>
    <row r="123" spans="1:16">
      <c r="A123" s="5"/>
      <c r="O123" s="4"/>
      <c r="P123" s="4"/>
    </row>
    <row r="124" spans="1:16">
      <c r="A124" s="5"/>
      <c r="O124" s="4"/>
      <c r="P124" s="4"/>
    </row>
    <row r="125" spans="1:16">
      <c r="A125" s="5"/>
      <c r="O125" s="4"/>
      <c r="P125" s="4"/>
    </row>
    <row r="126" spans="1:16">
      <c r="A126" s="5"/>
      <c r="O126" s="4"/>
      <c r="P126" s="4"/>
    </row>
    <row r="127" spans="1:16">
      <c r="A127" s="5"/>
      <c r="O127" s="4"/>
      <c r="P127" s="4"/>
    </row>
    <row r="128" spans="1:16">
      <c r="A128" s="5"/>
      <c r="O128" s="4"/>
      <c r="P128" s="4"/>
    </row>
    <row r="129" spans="1:16">
      <c r="A129" s="5"/>
      <c r="O129" s="4"/>
      <c r="P129" s="4"/>
    </row>
    <row r="130" spans="1:16">
      <c r="A130" s="5"/>
      <c r="O130" s="4"/>
      <c r="P130" s="4"/>
    </row>
    <row r="131" spans="1:16">
      <c r="A131" s="5"/>
      <c r="O131" s="4"/>
      <c r="P131" s="4"/>
    </row>
    <row r="132" spans="1:16">
      <c r="A132" s="5"/>
      <c r="O132" s="4"/>
      <c r="P132" s="4"/>
    </row>
    <row r="133" spans="1:16">
      <c r="A133" s="5"/>
      <c r="O133" s="4"/>
      <c r="P133" s="4"/>
    </row>
    <row r="134" spans="1:16">
      <c r="A134" s="5"/>
      <c r="O134" s="4"/>
      <c r="P134" s="4"/>
    </row>
    <row r="135" spans="1:16">
      <c r="A135" s="5"/>
      <c r="O135" s="4"/>
      <c r="P135" s="4"/>
    </row>
    <row r="136" spans="1:16">
      <c r="A136" s="5"/>
      <c r="O136" s="4"/>
      <c r="P136" s="4"/>
    </row>
    <row r="137" spans="1:16">
      <c r="A137" s="5"/>
      <c r="O137" s="4"/>
      <c r="P137" s="4"/>
    </row>
    <row r="138" spans="1:16">
      <c r="A138" s="5"/>
      <c r="O138" s="4"/>
      <c r="P138" s="4"/>
    </row>
    <row r="139" spans="1:16">
      <c r="A139" s="5"/>
      <c r="O139" s="4"/>
      <c r="P139" s="4"/>
    </row>
    <row r="140" spans="1:16">
      <c r="A140" s="5"/>
      <c r="O140" s="4"/>
      <c r="P140" s="4"/>
    </row>
    <row r="141" spans="1:16">
      <c r="A141" s="5"/>
      <c r="O141" s="4"/>
      <c r="P141" s="4"/>
    </row>
    <row r="142" spans="1:16">
      <c r="A142" s="5"/>
      <c r="O142" s="4"/>
      <c r="P142" s="4"/>
    </row>
    <row r="143" spans="1:16">
      <c r="A143" s="5"/>
      <c r="O143" s="4"/>
      <c r="P143" s="4"/>
    </row>
    <row r="144" spans="1:16">
      <c r="A144" s="5"/>
      <c r="O144" s="4"/>
      <c r="P144" s="4"/>
    </row>
    <row r="145" spans="1:16">
      <c r="A145" s="5"/>
      <c r="O145" s="4"/>
      <c r="P145" s="4"/>
    </row>
    <row r="146" spans="1:16">
      <c r="A146" s="5"/>
      <c r="O146" s="4" t="str">
        <f>IF(A146="","",--(COUNTIF($A$2:A146,A146)=1))</f>
        <v/>
      </c>
      <c r="P146" s="4" t="str">
        <f>IF(A146="","",--(COUNTIFS($A$2:A146,A146,$F$2:F146,F146)=1))</f>
        <v/>
      </c>
    </row>
    <row r="147" spans="1:16">
      <c r="A147" s="5"/>
      <c r="O147" s="4" t="str">
        <f>IF(A147="","",--(COUNTIF($A$2:A147,A147)=1))</f>
        <v/>
      </c>
      <c r="P147" s="4" t="str">
        <f>IF(A147="","",--(COUNTIFS($A$2:A147,A147,$F$2:F147,F147)=1))</f>
        <v/>
      </c>
    </row>
    <row r="148" spans="1:16">
      <c r="A148" s="5"/>
      <c r="O148" s="4" t="str">
        <f>IF(A148="","",--(COUNTIF($A$2:A148,A148)=1))</f>
        <v/>
      </c>
      <c r="P148" s="4" t="str">
        <f>IF(A148="","",--(COUNTIFS($A$2:A148,A148,$F$2:F148,F148)=1))</f>
        <v/>
      </c>
    </row>
    <row r="149" spans="1:16">
      <c r="A149" s="5"/>
      <c r="O149" s="4" t="str">
        <f>IF(A149="","",--(COUNTIF($A$2:A149,A149)=1))</f>
        <v/>
      </c>
      <c r="P149" s="4" t="str">
        <f>IF(A149="","",--(COUNTIFS($A$2:A149,A149,$F$2:F149,F149)=1))</f>
        <v/>
      </c>
    </row>
    <row r="150" spans="1:16">
      <c r="A150" s="5"/>
      <c r="O150" s="4" t="str">
        <f>IF(A150="","",--(COUNTIF($A$2:A150,A150)=1))</f>
        <v/>
      </c>
      <c r="P150" s="4" t="str">
        <f>IF(A150="","",--(COUNTIFS($A$2:A150,A150,$F$2:F150,F150)=1))</f>
        <v/>
      </c>
    </row>
    <row r="151" spans="1:16">
      <c r="A151" s="5"/>
      <c r="O151" s="4" t="str">
        <f>IF(A151="","",--(COUNTIF($A$2:A151,A151)=1))</f>
        <v/>
      </c>
      <c r="P151" s="4" t="str">
        <f>IF(A151="","",--(COUNTIFS($A$2:A151,A151,$F$2:F151,F151)=1))</f>
        <v/>
      </c>
    </row>
    <row r="152" spans="1:16">
      <c r="A152" s="5"/>
      <c r="O152" s="4" t="str">
        <f>IF(A152="","",--(COUNTIF($A$2:A152,A152)=1))</f>
        <v/>
      </c>
      <c r="P152" s="4" t="str">
        <f>IF(A152="","",--(COUNTIFS($A$2:A152,A152,$F$2:F152,F152)=1))</f>
        <v/>
      </c>
    </row>
    <row r="153" spans="1:16">
      <c r="A153" s="5"/>
      <c r="O153" s="4" t="str">
        <f>IF(A153="","",--(COUNTIF($A$2:A153,A153)=1))</f>
        <v/>
      </c>
      <c r="P153" s="4" t="str">
        <f>IF(A153="","",--(COUNTIFS($A$2:A153,A153,$F$2:F153,F153)=1))</f>
        <v/>
      </c>
    </row>
    <row r="154" spans="1:16">
      <c r="A154" s="5"/>
      <c r="O154" s="4" t="str">
        <f>IF(A154="","",--(COUNTIF($A$2:A154,A154)=1))</f>
        <v/>
      </c>
      <c r="P154" s="4" t="str">
        <f>IF(A154="","",--(COUNTIFS($A$2:A154,A154,$F$2:F154,F154)=1))</f>
        <v/>
      </c>
    </row>
    <row r="155" spans="1:16">
      <c r="A155" s="5"/>
      <c r="O155" s="4" t="str">
        <f>IF(A155="","",--(COUNTIF($A$2:A155,A155)=1))</f>
        <v/>
      </c>
      <c r="P155" s="4" t="str">
        <f>IF(A155="","",--(COUNTIFS($A$2:A155,A155,$F$2:F155,F155)=1))</f>
        <v/>
      </c>
    </row>
    <row r="156" spans="1:16">
      <c r="A156" s="5"/>
      <c r="O156" s="4" t="str">
        <f>IF(A156="","",--(COUNTIF($A$2:A156,A156)=1))</f>
        <v/>
      </c>
      <c r="P156" s="4" t="str">
        <f>IF(A156="","",--(COUNTIFS($A$2:A156,A156,$F$2:F156,F156)=1))</f>
        <v/>
      </c>
    </row>
    <row r="157" spans="1:16">
      <c r="A157" s="5"/>
      <c r="O157" s="4" t="str">
        <f>IF(A157="","",--(COUNTIF($A$2:A157,A157)=1))</f>
        <v/>
      </c>
      <c r="P157" s="4" t="str">
        <f>IF(A157="","",--(COUNTIFS($A$2:A157,A157,$F$2:F157,F157)=1))</f>
        <v/>
      </c>
    </row>
    <row r="158" spans="1:16">
      <c r="A158" s="5"/>
      <c r="O158" s="4" t="str">
        <f>IF(A158="","",--(COUNTIF($A$2:A158,A158)=1))</f>
        <v/>
      </c>
      <c r="P158" s="4" t="str">
        <f>IF(A158="","",--(COUNTIFS($A$2:A158,A158,$F$2:F158,F158)=1))</f>
        <v/>
      </c>
    </row>
    <row r="159" spans="1:16">
      <c r="A159" s="5"/>
      <c r="O159" s="4" t="str">
        <f>IF(A159="","",--(COUNTIF($A$2:A159,A159)=1))</f>
        <v/>
      </c>
      <c r="P159" s="4" t="str">
        <f>IF(A159="","",--(COUNTIFS($A$2:A159,A159,$F$2:F159,F159)=1))</f>
        <v/>
      </c>
    </row>
    <row r="160" spans="1:16">
      <c r="A160" s="5"/>
      <c r="O160" s="4" t="str">
        <f>IF(A160="","",--(COUNTIF($A$2:A160,A160)=1))</f>
        <v/>
      </c>
      <c r="P160" s="4" t="str">
        <f>IF(A160="","",--(COUNTIFS($A$2:A160,A160,$F$2:F160,F160)=1))</f>
        <v/>
      </c>
    </row>
    <row r="161" spans="1:16">
      <c r="A161" s="5"/>
      <c r="O161" s="4" t="str">
        <f>IF(A161="","",--(COUNTIF($A$2:A161,A161)=1))</f>
        <v/>
      </c>
      <c r="P161" s="4" t="str">
        <f>IF(A161="","",--(COUNTIFS($A$2:A161,A161,$F$2:F161,F161)=1))</f>
        <v/>
      </c>
    </row>
    <row r="162" spans="1:16">
      <c r="A162" s="5"/>
      <c r="O162" s="4" t="str">
        <f>IF(A162="","",--(COUNTIF($A$2:A162,A162)=1))</f>
        <v/>
      </c>
      <c r="P162" s="4" t="str">
        <f>IF(A162="","",--(COUNTIFS($A$2:A162,A162,$F$2:F162,F162)=1))</f>
        <v/>
      </c>
    </row>
    <row r="163" spans="1:16">
      <c r="A163" s="5"/>
      <c r="O163" s="4" t="str">
        <f>IF(A163="","",--(COUNTIF($A$2:A163,A163)=1))</f>
        <v/>
      </c>
      <c r="P163" s="4" t="str">
        <f>IF(A163="","",--(COUNTIFS($A$2:A163,A163,$F$2:F163,F163)=1))</f>
        <v/>
      </c>
    </row>
    <row r="164" spans="1:16">
      <c r="A164" s="5"/>
      <c r="O164" s="4" t="str">
        <f>IF(A164="","",--(COUNTIF($A$2:A164,A164)=1))</f>
        <v/>
      </c>
      <c r="P164" s="4" t="str">
        <f>IF(A164="","",--(COUNTIFS($A$2:A164,A164,$F$2:F164,F164)=1))</f>
        <v/>
      </c>
    </row>
    <row r="165" spans="1:16">
      <c r="A165" s="5"/>
      <c r="O165" s="4" t="str">
        <f>IF(A165="","",--(COUNTIF($A$2:A165,A165)=1))</f>
        <v/>
      </c>
      <c r="P165" s="4" t="str">
        <f>IF(A165="","",--(COUNTIFS($A$2:A165,A165,$F$2:F165,F165)=1))</f>
        <v/>
      </c>
    </row>
    <row r="166" spans="1:16">
      <c r="A166" s="5"/>
      <c r="O166" s="4" t="str">
        <f>IF(A166="","",--(COUNTIF($A$2:A166,A166)=1))</f>
        <v/>
      </c>
      <c r="P166" s="4" t="str">
        <f>IF(A166="","",--(COUNTIFS($A$2:A166,A166,$F$2:F166,F166)=1))</f>
        <v/>
      </c>
    </row>
    <row r="167" spans="1:16">
      <c r="A167" s="5"/>
      <c r="O167" s="4" t="str">
        <f>IF(A167="","",--(COUNTIF($A$2:A167,A167)=1))</f>
        <v/>
      </c>
      <c r="P167" s="4" t="str">
        <f>IF(A167="","",--(COUNTIFS($A$2:A167,A167,$F$2:F167,F167)=1))</f>
        <v/>
      </c>
    </row>
    <row r="168" spans="1:16">
      <c r="A168" s="5"/>
      <c r="O168" s="4" t="str">
        <f>IF(A168="","",--(COUNTIF($A$2:A168,A168)=1))</f>
        <v/>
      </c>
      <c r="P168" s="4" t="str">
        <f>IF(A168="","",--(COUNTIFS($A$2:A168,A168,$F$2:F168,F168)=1))</f>
        <v/>
      </c>
    </row>
    <row r="169" spans="1:16">
      <c r="A169" s="5"/>
      <c r="O169" s="4" t="str">
        <f>IF(A169="","",--(COUNTIF($A$2:A169,A169)=1))</f>
        <v/>
      </c>
      <c r="P169" s="4" t="str">
        <f>IF(A169="","",--(COUNTIFS($A$2:A169,A169,$F$2:F169,F169)=1))</f>
        <v/>
      </c>
    </row>
    <row r="170" spans="1:16">
      <c r="A170" s="5"/>
      <c r="O170" s="4" t="str">
        <f>IF(A170="","",--(COUNTIF($A$2:A170,A170)=1))</f>
        <v/>
      </c>
      <c r="P170" s="4" t="str">
        <f>IF(A170="","",--(COUNTIFS($A$2:A170,A170,$F$2:F170,F170)=1))</f>
        <v/>
      </c>
    </row>
    <row r="171" spans="1:16">
      <c r="A171" s="5"/>
      <c r="O171" s="4" t="str">
        <f>IF(A171="","",--(COUNTIF($A$2:A171,A171)=1))</f>
        <v/>
      </c>
      <c r="P171" s="4" t="str">
        <f>IF(A171="","",--(COUNTIFS($A$2:A171,A171,$F$2:F171,F171)=1))</f>
        <v/>
      </c>
    </row>
    <row r="172" spans="1:16">
      <c r="A172" s="5"/>
      <c r="O172" s="4" t="str">
        <f>IF(A172="","",--(COUNTIF($A$2:A172,A172)=1))</f>
        <v/>
      </c>
      <c r="P172" s="4" t="str">
        <f>IF(A172="","",--(COUNTIFS($A$2:A172,A172,$F$2:F172,F172)=1))</f>
        <v/>
      </c>
    </row>
    <row r="173" spans="1:16">
      <c r="A173" s="5"/>
      <c r="O173" s="4" t="str">
        <f>IF(A173="","",--(COUNTIF($A$2:A173,A173)=1))</f>
        <v/>
      </c>
      <c r="P173" s="4" t="str">
        <f>IF(A173="","",--(COUNTIFS($A$2:A173,A173,$F$2:F173,F173)=1))</f>
        <v/>
      </c>
    </row>
    <row r="174" spans="1:16">
      <c r="A174" s="5"/>
      <c r="O174" s="4" t="str">
        <f>IF(A174="","",--(COUNTIF($A$2:A174,A174)=1))</f>
        <v/>
      </c>
      <c r="P174" s="4" t="str">
        <f>IF(A174="","",--(COUNTIFS($A$2:A174,A174,$F$2:F174,F174)=1))</f>
        <v/>
      </c>
    </row>
    <row r="175" spans="1:16">
      <c r="A175" s="5"/>
      <c r="O175" s="4" t="str">
        <f>IF(A175="","",--(COUNTIF($A$2:A175,A175)=1))</f>
        <v/>
      </c>
      <c r="P175" s="4" t="str">
        <f>IF(A175="","",--(COUNTIFS($A$2:A175,A175,$F$2:F175,F175)=1))</f>
        <v/>
      </c>
    </row>
    <row r="176" spans="1:16">
      <c r="A176" s="5"/>
      <c r="O176" s="4" t="str">
        <f>IF(A176="","",--(COUNTIF($A$2:A176,A176)=1))</f>
        <v/>
      </c>
      <c r="P176" s="4" t="str">
        <f>IF(A176="","",--(COUNTIFS($A$2:A176,A176,$F$2:F176,F176)=1))</f>
        <v/>
      </c>
    </row>
    <row r="177" spans="1:16">
      <c r="A177" s="5"/>
      <c r="O177" s="4" t="str">
        <f>IF(A177="","",--(COUNTIF($A$2:A177,A177)=1))</f>
        <v/>
      </c>
      <c r="P177" s="4" t="str">
        <f>IF(A177="","",--(COUNTIFS($A$2:A177,A177,$F$2:F177,F177)=1))</f>
        <v/>
      </c>
    </row>
    <row r="178" spans="1:16">
      <c r="A178" s="5"/>
      <c r="O178" s="4" t="str">
        <f>IF(A178="","",--(COUNTIF($A$2:A178,A178)=1))</f>
        <v/>
      </c>
      <c r="P178" s="4" t="str">
        <f>IF(A178="","",--(COUNTIFS($A$2:A178,A178,$F$2:F178,F178)=1))</f>
        <v/>
      </c>
    </row>
    <row r="179" spans="1:16">
      <c r="A179" s="5"/>
      <c r="O179" s="4" t="str">
        <f>IF(A179="","",--(COUNTIF($A$2:A179,A179)=1))</f>
        <v/>
      </c>
      <c r="P179" s="4" t="str">
        <f>IF(A179="","",--(COUNTIFS($A$2:A179,A179,$F$2:F179,F179)=1))</f>
        <v/>
      </c>
    </row>
    <row r="180" spans="1:16">
      <c r="A180" s="5"/>
      <c r="O180" s="4" t="str">
        <f>IF(A180="","",--(COUNTIF($A$2:A180,A180)=1))</f>
        <v/>
      </c>
      <c r="P180" s="4" t="str">
        <f>IF(A180="","",--(COUNTIFS($A$2:A180,A180,$F$2:F180,F180)=1))</f>
        <v/>
      </c>
    </row>
    <row r="181" spans="1:16">
      <c r="A181" s="5"/>
      <c r="O181" s="4" t="str">
        <f>IF(A181="","",--(COUNTIF($A$2:A181,A181)=1))</f>
        <v/>
      </c>
      <c r="P181" s="4" t="str">
        <f>IF(A181="","",--(COUNTIFS($A$2:A181,A181,$F$2:F181,F181)=1))</f>
        <v/>
      </c>
    </row>
    <row r="182" spans="1:16">
      <c r="A182" s="5"/>
      <c r="O182" s="4" t="str">
        <f>IF(A182="","",--(COUNTIF($A$2:A182,A182)=1))</f>
        <v/>
      </c>
      <c r="P182" s="4" t="str">
        <f>IF(A182="","",--(COUNTIFS($A$2:A182,A182,$F$2:F182,F182)=1))</f>
        <v/>
      </c>
    </row>
    <row r="183" spans="1:16">
      <c r="A183" s="5"/>
      <c r="O183" s="4" t="str">
        <f>IF(A183="","",--(COUNTIF($A$2:A183,A183)=1))</f>
        <v/>
      </c>
      <c r="P183" s="4" t="str">
        <f>IF(A183="","",--(COUNTIFS($A$2:A183,A183,$F$2:F183,F183)=1))</f>
        <v/>
      </c>
    </row>
    <row r="184" spans="1:16">
      <c r="A184" s="5"/>
      <c r="O184" s="4" t="str">
        <f>IF(A184="","",--(COUNTIF($A$2:A184,A184)=1))</f>
        <v/>
      </c>
      <c r="P184" s="4" t="str">
        <f>IF(A184="","",--(COUNTIFS($A$2:A184,A184,$F$2:F184,F184)=1))</f>
        <v/>
      </c>
    </row>
    <row r="185" spans="1:16">
      <c r="A185" s="5"/>
      <c r="O185" s="4" t="str">
        <f>IF(A185="","",--(COUNTIF($A$2:A185,A185)=1))</f>
        <v/>
      </c>
      <c r="P185" s="4" t="str">
        <f>IF(A185="","",--(COUNTIFS($A$2:A185,A185,$F$2:F185,F185)=1))</f>
        <v/>
      </c>
    </row>
    <row r="186" spans="1:16">
      <c r="A186" s="5"/>
      <c r="O186" s="4" t="str">
        <f>IF(A186="","",--(COUNTIF($A$2:A186,A186)=1))</f>
        <v/>
      </c>
      <c r="P186" s="4" t="str">
        <f>IF(A186="","",--(COUNTIFS($A$2:A186,A186,$F$2:F186,F186)=1))</f>
        <v/>
      </c>
    </row>
    <row r="187" spans="1:16">
      <c r="A187" s="5"/>
      <c r="O187" s="4" t="str">
        <f>IF(A187="","",--(COUNTIF($A$2:A187,A187)=1))</f>
        <v/>
      </c>
      <c r="P187" s="4" t="str">
        <f>IF(A187="","",--(COUNTIFS($A$2:A187,A187,$F$2:F187,F187)=1))</f>
        <v/>
      </c>
    </row>
    <row r="188" spans="1:16">
      <c r="A188" s="5"/>
      <c r="O188" s="4" t="str">
        <f>IF(A188="","",--(COUNTIF($A$2:A188,A188)=1))</f>
        <v/>
      </c>
      <c r="P188" s="4" t="str">
        <f>IF(A188="","",--(COUNTIFS($A$2:A188,A188,$F$2:F188,F188)=1))</f>
        <v/>
      </c>
    </row>
    <row r="189" spans="1:16">
      <c r="A189" s="5"/>
      <c r="O189" s="4" t="str">
        <f>IF(A189="","",--(COUNTIF($A$2:A189,A189)=1))</f>
        <v/>
      </c>
      <c r="P189" s="4" t="str">
        <f>IF(A189="","",--(COUNTIFS($A$2:A189,A189,$F$2:F189,F189)=1))</f>
        <v/>
      </c>
    </row>
    <row r="190" spans="1:16">
      <c r="A190" s="5"/>
      <c r="O190" s="4" t="str">
        <f>IF(A190="","",--(COUNTIF($A$2:A190,A190)=1))</f>
        <v/>
      </c>
      <c r="P190" s="4" t="str">
        <f>IF(A190="","",--(COUNTIFS($A$2:A190,A190,$F$2:F190,F190)=1))</f>
        <v/>
      </c>
    </row>
    <row r="191" spans="1:16">
      <c r="A191" s="5"/>
      <c r="O191" s="4" t="str">
        <f>IF(A191="","",--(COUNTIF($A$2:A191,A191)=1))</f>
        <v/>
      </c>
      <c r="P191" s="4" t="str">
        <f>IF(A191="","",--(COUNTIFS($A$2:A191,A191,$F$2:F191,F191)=1))</f>
        <v/>
      </c>
    </row>
    <row r="192" spans="1:16">
      <c r="A192" s="5"/>
      <c r="O192" s="4" t="str">
        <f>IF(A192="","",--(COUNTIF($A$2:A192,A192)=1))</f>
        <v/>
      </c>
      <c r="P192" s="4" t="str">
        <f>IF(A192="","",--(COUNTIFS($A$2:A192,A192,$F$2:F192,F192)=1))</f>
        <v/>
      </c>
    </row>
    <row r="193" spans="1:16">
      <c r="A193" s="5"/>
      <c r="O193" s="4" t="str">
        <f>IF(A193="","",--(COUNTIF($A$2:A193,A193)=1))</f>
        <v/>
      </c>
      <c r="P193" s="4" t="str">
        <f>IF(A193="","",--(COUNTIFS($A$2:A193,A193,$F$2:F193,F193)=1))</f>
        <v/>
      </c>
    </row>
    <row r="194" spans="1:16">
      <c r="A194" s="5"/>
      <c r="O194" s="4" t="str">
        <f>IF(A194="","",--(COUNTIF($A$2:A194,A194)=1))</f>
        <v/>
      </c>
      <c r="P194" s="4" t="str">
        <f>IF(A194="","",--(COUNTIFS($A$2:A194,A194,$F$2:F194,F194)=1))</f>
        <v/>
      </c>
    </row>
    <row r="195" spans="1:16">
      <c r="A195" s="5"/>
      <c r="O195" s="4" t="str">
        <f>IF(A195="","",--(COUNTIF($A$2:A195,A195)=1))</f>
        <v/>
      </c>
      <c r="P195" s="4" t="str">
        <f>IF(A195="","",--(COUNTIFS($A$2:A195,A195,$F$2:F195,F195)=1))</f>
        <v/>
      </c>
    </row>
    <row r="196" spans="1:16">
      <c r="A196" s="5"/>
      <c r="O196" s="4" t="str">
        <f>IF(A196="","",--(COUNTIF($A$2:A196,A196)=1))</f>
        <v/>
      </c>
      <c r="P196" s="4" t="str">
        <f>IF(A196="","",--(COUNTIFS($A$2:A196,A196,$F$2:F196,F196)=1))</f>
        <v/>
      </c>
    </row>
    <row r="197" spans="1:16">
      <c r="A197" s="5"/>
      <c r="O197" s="4" t="str">
        <f>IF(A197="","",--(COUNTIF($A$2:A197,A197)=1))</f>
        <v/>
      </c>
      <c r="P197" s="4" t="str">
        <f>IF(A197="","",--(COUNTIFS($A$2:A197,A197,$F$2:F197,F197)=1))</f>
        <v/>
      </c>
    </row>
    <row r="198" spans="1:16">
      <c r="A198" s="5"/>
      <c r="O198" s="4" t="str">
        <f>IF(A198="","",--(COUNTIF($A$2:A198,A198)=1))</f>
        <v/>
      </c>
      <c r="P198" s="4" t="str">
        <f>IF(A198="","",--(COUNTIFS($A$2:A198,A198,$F$2:F198,F198)=1))</f>
        <v/>
      </c>
    </row>
    <row r="199" spans="1:16">
      <c r="A199" s="5"/>
      <c r="O199" s="4" t="str">
        <f>IF(A199="","",--(COUNTIF($A$2:A199,A199)=1))</f>
        <v/>
      </c>
      <c r="P199" s="4" t="str">
        <f>IF(A199="","",--(COUNTIFS($A$2:A199,A199,$F$2:F199,F199)=1))</f>
        <v/>
      </c>
    </row>
    <row r="200" spans="1:16">
      <c r="A200" s="5"/>
      <c r="O200" s="4" t="str">
        <f>IF(A200="","",--(COUNTIF($A$2:A200,A200)=1))</f>
        <v/>
      </c>
      <c r="P200" s="4" t="str">
        <f>IF(A200="","",--(COUNTIFS($A$2:A200,A200,$F$2:F200,F200)=1))</f>
        <v/>
      </c>
    </row>
    <row r="201" spans="1:16">
      <c r="A201" s="5"/>
      <c r="O201" s="4" t="str">
        <f>IF(A201="","",--(COUNTIF($A$2:A201,A201)=1))</f>
        <v/>
      </c>
      <c r="P201" s="4" t="str">
        <f>IF(A201="","",--(COUNTIFS($A$2:A201,A201,$F$2:F201,F201)=1))</f>
        <v/>
      </c>
    </row>
    <row r="202" spans="1:16">
      <c r="A202" s="5"/>
      <c r="O202" s="4" t="str">
        <f>IF(A202="","",--(COUNTIF($A$2:A202,A202)=1))</f>
        <v/>
      </c>
      <c r="P202" s="4" t="str">
        <f>IF(A202="","",--(COUNTIFS($A$2:A202,A202,$F$2:F202,F202)=1))</f>
        <v/>
      </c>
    </row>
    <row r="203" spans="1:16">
      <c r="A203" s="5"/>
      <c r="O203" s="4" t="str">
        <f>IF(A203="","",--(COUNTIF($A$2:A203,A203)=1))</f>
        <v/>
      </c>
      <c r="P203" s="4" t="str">
        <f>IF(A203="","",--(COUNTIFS($A$2:A203,A203,$F$2:F203,F203)=1))</f>
        <v/>
      </c>
    </row>
    <row r="204" spans="1:16">
      <c r="A204" s="5"/>
      <c r="O204" s="4" t="str">
        <f>IF(A204="","",--(COUNTIF($A$2:A204,A204)=1))</f>
        <v/>
      </c>
      <c r="P204" s="4" t="str">
        <f>IF(A204="","",--(COUNTIFS($A$2:A204,A204,$F$2:F204,F204)=1))</f>
        <v/>
      </c>
    </row>
    <row r="205" spans="1:16">
      <c r="A205" s="5"/>
      <c r="O205" s="4" t="str">
        <f>IF(A205="","",--(COUNTIF($A$2:A205,A205)=1))</f>
        <v/>
      </c>
      <c r="P205" s="4" t="str">
        <f>IF(A205="","",--(COUNTIFS($A$2:A205,A205,$F$2:F205,F205)=1))</f>
        <v/>
      </c>
    </row>
    <row r="206" spans="1:16">
      <c r="A206" s="5"/>
      <c r="O206" s="4" t="str">
        <f>IF(A206="","",--(COUNTIF($A$2:A206,A206)=1))</f>
        <v/>
      </c>
      <c r="P206" s="4" t="str">
        <f>IF(A206="","",--(COUNTIFS($A$2:A206,A206,$F$2:F206,F206)=1))</f>
        <v/>
      </c>
    </row>
    <row r="207" spans="1:16">
      <c r="A207" s="5"/>
      <c r="O207" s="4" t="str">
        <f>IF(A207="","",--(COUNTIF($A$2:A207,A207)=1))</f>
        <v/>
      </c>
      <c r="P207" s="4" t="str">
        <f>IF(A207="","",--(COUNTIFS($A$2:A207,A207,$F$2:F207,F207)=1))</f>
        <v/>
      </c>
    </row>
    <row r="208" spans="1:16">
      <c r="A208" s="5"/>
      <c r="O208" s="4" t="str">
        <f>IF(A208="","",--(COUNTIF($A$2:A208,A208)=1))</f>
        <v/>
      </c>
      <c r="P208" s="4" t="str">
        <f>IF(A208="","",--(COUNTIFS($A$2:A208,A208,$F$2:F208,F208)=1))</f>
        <v/>
      </c>
    </row>
    <row r="209" spans="1:16">
      <c r="A209" s="5"/>
      <c r="O209" s="4" t="str">
        <f>IF(A209="","",--(COUNTIF($A$2:A209,A209)=1))</f>
        <v/>
      </c>
      <c r="P209" s="4" t="str">
        <f>IF(A209="","",--(COUNTIFS($A$2:A209,A209,$F$2:F209,F209)=1))</f>
        <v/>
      </c>
    </row>
    <row r="210" spans="1:16">
      <c r="A210" s="5"/>
      <c r="O210" s="4" t="str">
        <f>IF(A210="","",--(COUNTIF($A$2:A210,A210)=1))</f>
        <v/>
      </c>
      <c r="P210" s="4" t="str">
        <f>IF(A210="","",--(COUNTIFS($A$2:A210,A210,$F$2:F210,F210)=1))</f>
        <v/>
      </c>
    </row>
    <row r="211" spans="1:16">
      <c r="A211" s="5"/>
      <c r="O211" s="4" t="str">
        <f>IF(A211="","",--(COUNTIF($A$2:A211,A211)=1))</f>
        <v/>
      </c>
      <c r="P211" s="4" t="str">
        <f>IF(A211="","",--(COUNTIFS($A$2:A211,A211,$F$2:F211,F211)=1))</f>
        <v/>
      </c>
    </row>
    <row r="212" spans="1:16">
      <c r="A212" s="5"/>
      <c r="O212" s="4" t="str">
        <f>IF(A212="","",--(COUNTIF($A$2:A212,A212)=1))</f>
        <v/>
      </c>
      <c r="P212" s="4" t="str">
        <f>IF(A212="","",--(COUNTIFS($A$2:A212,A212,$F$2:F212,F212)=1))</f>
        <v/>
      </c>
    </row>
    <row r="213" spans="1:16">
      <c r="A213" s="5"/>
      <c r="O213" s="4" t="str">
        <f>IF(A213="","",--(COUNTIF($A$2:A213,A213)=1))</f>
        <v/>
      </c>
      <c r="P213" s="4" t="str">
        <f>IF(A213="","",--(COUNTIFS($A$2:A213,A213,$F$2:F213,F213)=1))</f>
        <v/>
      </c>
    </row>
    <row r="214" spans="1:16">
      <c r="A214" s="5"/>
      <c r="O214" s="4" t="str">
        <f>IF(A214="","",--(COUNTIF($A$2:A214,A214)=1))</f>
        <v/>
      </c>
      <c r="P214" s="4" t="str">
        <f>IF(A214="","",--(COUNTIFS($A$2:A214,A214,$F$2:F214,F214)=1))</f>
        <v/>
      </c>
    </row>
    <row r="215" spans="1:16">
      <c r="A215" s="5"/>
      <c r="O215" s="4" t="str">
        <f>IF(A215="","",--(COUNTIF($A$2:A215,A215)=1))</f>
        <v/>
      </c>
      <c r="P215" s="4" t="str">
        <f>IF(A215="","",--(COUNTIFS($A$2:A215,A215,$F$2:F215,F215)=1))</f>
        <v/>
      </c>
    </row>
    <row r="216" spans="1:16">
      <c r="A216" s="5"/>
      <c r="O216" s="4" t="str">
        <f>IF(A216="","",--(COUNTIF($A$2:A216,A216)=1))</f>
        <v/>
      </c>
      <c r="P216" s="4" t="str">
        <f>IF(A216="","",--(COUNTIFS($A$2:A216,A216,$F$2:F216,F216)=1))</f>
        <v/>
      </c>
    </row>
    <row r="217" spans="1:16">
      <c r="A217" s="5"/>
      <c r="O217" s="4" t="str">
        <f>IF(A217="","",--(COUNTIF($A$2:A217,A217)=1))</f>
        <v/>
      </c>
      <c r="P217" s="4" t="str">
        <f>IF(A217="","",--(COUNTIFS($A$2:A217,A217,$F$2:F217,F217)=1))</f>
        <v/>
      </c>
    </row>
    <row r="218" spans="1:16">
      <c r="A218" s="5"/>
      <c r="O218" s="4" t="str">
        <f>IF(A218="","",--(COUNTIF($A$2:A218,A218)=1))</f>
        <v/>
      </c>
      <c r="P218" s="4" t="str">
        <f>IF(A218="","",--(COUNTIFS($A$2:A218,A218,$F$2:F218,F218)=1))</f>
        <v/>
      </c>
    </row>
    <row r="219" spans="1:16">
      <c r="A219" s="5"/>
      <c r="O219" s="4" t="str">
        <f>IF(A219="","",--(COUNTIF($A$2:A219,A219)=1))</f>
        <v/>
      </c>
      <c r="P219" s="4" t="str">
        <f>IF(A219="","",--(COUNTIFS($A$2:A219,A219,$F$2:F219,F219)=1))</f>
        <v/>
      </c>
    </row>
    <row r="220" spans="1:16">
      <c r="A220" s="5"/>
      <c r="O220" s="4" t="str">
        <f>IF(A220="","",--(COUNTIF($A$2:A220,A220)=1))</f>
        <v/>
      </c>
      <c r="P220" s="4" t="str">
        <f>IF(A220="","",--(COUNTIFS($A$2:A220,A220,$F$2:F220,F220)=1))</f>
        <v/>
      </c>
    </row>
    <row r="221" spans="1:16">
      <c r="A221" s="5"/>
      <c r="O221" s="4" t="str">
        <f>IF(A221="","",--(COUNTIF($A$2:A221,A221)=1))</f>
        <v/>
      </c>
      <c r="P221" s="4" t="str">
        <f>IF(A221="","",--(COUNTIFS($A$2:A221,A221,$F$2:F221,F221)=1))</f>
        <v/>
      </c>
    </row>
    <row r="222" spans="1:16">
      <c r="A222" s="5"/>
      <c r="O222" s="4" t="str">
        <f>IF(A222="","",--(COUNTIF($A$2:A222,A222)=1))</f>
        <v/>
      </c>
      <c r="P222" s="4" t="str">
        <f>IF(A222="","",--(COUNTIFS($A$2:A222,A222,$F$2:F222,F222)=1))</f>
        <v/>
      </c>
    </row>
    <row r="223" spans="1:16">
      <c r="A223" s="5"/>
      <c r="O223" s="4" t="str">
        <f>IF(A223="","",--(COUNTIF($A$2:A223,A223)=1))</f>
        <v/>
      </c>
      <c r="P223" s="4" t="str">
        <f>IF(A223="","",--(COUNTIFS($A$2:A223,A223,$F$2:F223,F223)=1))</f>
        <v/>
      </c>
    </row>
    <row r="224" spans="1:16">
      <c r="A224" s="5"/>
      <c r="O224" s="4" t="str">
        <f>IF(A224="","",--(COUNTIF($A$2:A224,A224)=1))</f>
        <v/>
      </c>
      <c r="P224" s="4" t="str">
        <f>IF(A224="","",--(COUNTIFS($A$2:A224,A224,$F$2:F224,F224)=1))</f>
        <v/>
      </c>
    </row>
    <row r="225" spans="1:16">
      <c r="A225" s="5"/>
      <c r="O225" s="4" t="str">
        <f>IF(A225="","",--(COUNTIF($A$2:A225,A225)=1))</f>
        <v/>
      </c>
      <c r="P225" s="4" t="str">
        <f>IF(A225="","",--(COUNTIFS($A$2:A225,A225,$F$2:F225,F225)=1))</f>
        <v/>
      </c>
    </row>
    <row r="226" spans="1:16">
      <c r="A226" s="5"/>
      <c r="O226" s="4" t="str">
        <f>IF(A226="","",--(COUNTIF($A$2:A226,A226)=1))</f>
        <v/>
      </c>
      <c r="P226" s="4" t="str">
        <f>IF(A226="","",--(COUNTIFS($A$2:A226,A226,$F$2:F226,F226)=1))</f>
        <v/>
      </c>
    </row>
    <row r="227" spans="1:16">
      <c r="A227" s="5"/>
      <c r="O227" s="4" t="str">
        <f>IF(A227="","",--(COUNTIF($A$2:A227,A227)=1))</f>
        <v/>
      </c>
      <c r="P227" s="4" t="str">
        <f>IF(A227="","",--(COUNTIFS($A$2:A227,A227,$F$2:F227,F227)=1))</f>
        <v/>
      </c>
    </row>
    <row r="228" spans="1:16">
      <c r="A228" s="5"/>
      <c r="O228" s="4" t="str">
        <f>IF(A228="","",--(COUNTIF($A$2:A228,A228)=1))</f>
        <v/>
      </c>
      <c r="P228" s="4" t="str">
        <f>IF(A228="","",--(COUNTIFS($A$2:A228,A228,$F$2:F228,F228)=1))</f>
        <v/>
      </c>
    </row>
    <row r="229" spans="1:16">
      <c r="A229" s="5"/>
      <c r="O229" s="4" t="str">
        <f>IF(A229="","",--(COUNTIF($A$2:A229,A229)=1))</f>
        <v/>
      </c>
      <c r="P229" s="4" t="str">
        <f>IF(A229="","",--(COUNTIFS($A$2:A229,A229,$F$2:F229,F229)=1))</f>
        <v/>
      </c>
    </row>
    <row r="230" spans="1:16">
      <c r="A230" s="5"/>
      <c r="O230" s="4" t="str">
        <f>IF(A230="","",--(COUNTIF($A$2:A230,A230)=1))</f>
        <v/>
      </c>
      <c r="P230" s="4" t="str">
        <f>IF(A230="","",--(COUNTIFS($A$2:A230,A230,$F$2:F230,F230)=1))</f>
        <v/>
      </c>
    </row>
    <row r="231" spans="1:16">
      <c r="A231" s="5"/>
      <c r="O231" s="4" t="str">
        <f>IF(A231="","",--(COUNTIF($A$2:A231,A231)=1))</f>
        <v/>
      </c>
      <c r="P231" s="4" t="str">
        <f>IF(A231="","",--(COUNTIFS($A$2:A231,A231,$F$2:F231,F231)=1))</f>
        <v/>
      </c>
    </row>
    <row r="232" spans="1:16">
      <c r="A232" s="5"/>
      <c r="O232" s="4" t="str">
        <f>IF(A232="","",--(COUNTIF($A$2:A232,A232)=1))</f>
        <v/>
      </c>
      <c r="P232" s="4" t="str">
        <f>IF(A232="","",--(COUNTIFS($A$2:A232,A232,$F$2:F232,F232)=1))</f>
        <v/>
      </c>
    </row>
    <row r="233" spans="1:16">
      <c r="A233" s="5"/>
      <c r="O233" s="4" t="str">
        <f>IF(A233="","",--(COUNTIF($A$2:A233,A233)=1))</f>
        <v/>
      </c>
      <c r="P233" s="4" t="str">
        <f>IF(A233="","",--(COUNTIFS($A$2:A233,A233,$F$2:F233,F233)=1))</f>
        <v/>
      </c>
    </row>
    <row r="234" spans="1:16">
      <c r="A234" s="5"/>
      <c r="O234" s="4" t="str">
        <f>IF(A234="","",--(COUNTIF($A$2:A234,A234)=1))</f>
        <v/>
      </c>
      <c r="P234" s="4" t="str">
        <f>IF(A234="","",--(COUNTIFS($A$2:A234,A234,$F$2:F234,F234)=1))</f>
        <v/>
      </c>
    </row>
    <row r="235" spans="1:16">
      <c r="A235" s="5"/>
      <c r="O235" s="4" t="str">
        <f>IF(A235="","",--(COUNTIF($A$2:A235,A235)=1))</f>
        <v/>
      </c>
      <c r="P235" s="4" t="str">
        <f>IF(A235="","",--(COUNTIFS($A$2:A235,A235,$F$2:F235,F235)=1))</f>
        <v/>
      </c>
    </row>
    <row r="236" spans="1:16">
      <c r="A236" s="5"/>
      <c r="O236" s="4" t="str">
        <f>IF(A236="","",--(COUNTIF($A$2:A236,A236)=1))</f>
        <v/>
      </c>
      <c r="P236" s="4" t="str">
        <f>IF(A236="","",--(COUNTIFS($A$2:A236,A236,$F$2:F236,F236)=1))</f>
        <v/>
      </c>
    </row>
    <row r="237" spans="1:16">
      <c r="A237" s="5"/>
      <c r="O237" s="4" t="str">
        <f>IF(A237="","",--(COUNTIF($A$2:A237,A237)=1))</f>
        <v/>
      </c>
      <c r="P237" s="4" t="str">
        <f>IF(A237="","",--(COUNTIFS($A$2:A237,A237,$F$2:F237,F237)=1))</f>
        <v/>
      </c>
    </row>
    <row r="238" spans="1:16">
      <c r="A238" s="5"/>
      <c r="O238" s="4" t="str">
        <f>IF(A238="","",--(COUNTIF($A$2:A238,A238)=1))</f>
        <v/>
      </c>
      <c r="P238" s="4" t="str">
        <f>IF(A238="","",--(COUNTIFS($A$2:A238,A238,$F$2:F238,F238)=1))</f>
        <v/>
      </c>
    </row>
    <row r="239" spans="1:16">
      <c r="A239" s="5"/>
      <c r="O239" s="4" t="str">
        <f>IF(A239="","",--(COUNTIF($A$2:A239,A239)=1))</f>
        <v/>
      </c>
      <c r="P239" s="4" t="str">
        <f>IF(A239="","",--(COUNTIFS($A$2:A239,A239,$F$2:F239,F239)=1))</f>
        <v/>
      </c>
    </row>
    <row r="240" spans="1:16">
      <c r="A240" s="5"/>
      <c r="O240" s="4" t="str">
        <f>IF(A240="","",--(COUNTIF($A$2:A240,A240)=1))</f>
        <v/>
      </c>
      <c r="P240" s="4" t="str">
        <f>IF(A240="","",--(COUNTIFS($A$2:A240,A240,$F$2:F240,F240)=1))</f>
        <v/>
      </c>
    </row>
    <row r="241" spans="1:16">
      <c r="A241" s="5"/>
      <c r="O241" s="4" t="str">
        <f>IF(A241="","",--(COUNTIF($A$2:A241,A241)=1))</f>
        <v/>
      </c>
      <c r="P241" s="4" t="str">
        <f>IF(A241="","",--(COUNTIFS($A$2:A241,A241,$F$2:F241,F241)=1))</f>
        <v/>
      </c>
    </row>
    <row r="242" spans="1:16">
      <c r="A242" s="5"/>
      <c r="O242" s="4" t="str">
        <f>IF(A242="","",--(COUNTIF($A$2:A242,A242)=1))</f>
        <v/>
      </c>
      <c r="P242" s="4" t="str">
        <f>IF(A242="","",--(COUNTIFS($A$2:A242,A242,$F$2:F242,F242)=1))</f>
        <v/>
      </c>
    </row>
    <row r="243" spans="1:16">
      <c r="A243" s="5"/>
      <c r="O243" s="4" t="str">
        <f>IF(A243="","",--(COUNTIF($A$2:A243,A243)=1))</f>
        <v/>
      </c>
      <c r="P243" s="4" t="str">
        <f>IF(A243="","",--(COUNTIFS($A$2:A243,A243,$F$2:F243,F243)=1))</f>
        <v/>
      </c>
    </row>
    <row r="244" spans="1:16">
      <c r="A244" s="5"/>
      <c r="O244" s="4" t="str">
        <f>IF(A244="","",--(COUNTIF($A$2:A244,A244)=1))</f>
        <v/>
      </c>
      <c r="P244" s="4" t="str">
        <f>IF(A244="","",--(COUNTIFS($A$2:A244,A244,$F$2:F244,F244)=1))</f>
        <v/>
      </c>
    </row>
    <row r="245" spans="1:16">
      <c r="A245" s="5"/>
      <c r="O245" s="4" t="str">
        <f>IF(A245="","",--(COUNTIF($A$2:A245,A245)=1))</f>
        <v/>
      </c>
      <c r="P245" s="4" t="str">
        <f>IF(A245="","",--(COUNTIFS($A$2:A245,A245,$F$2:F245,F245)=1))</f>
        <v/>
      </c>
    </row>
    <row r="246" spans="1:16">
      <c r="A246" s="5"/>
      <c r="O246" s="4" t="str">
        <f>IF(A246="","",--(COUNTIF($A$2:A246,A246)=1))</f>
        <v/>
      </c>
      <c r="P246" s="4" t="str">
        <f>IF(A246="","",--(COUNTIFS($A$2:A246,A246,$F$2:F246,F246)=1))</f>
        <v/>
      </c>
    </row>
    <row r="247" spans="1:16">
      <c r="A247" s="5"/>
      <c r="O247" s="4" t="str">
        <f>IF(A247="","",--(COUNTIF($A$2:A247,A247)=1))</f>
        <v/>
      </c>
      <c r="P247" s="4" t="str">
        <f>IF(A247="","",--(COUNTIFS($A$2:A247,A247,$F$2:F247,F247)=1))</f>
        <v/>
      </c>
    </row>
    <row r="248" spans="1:16">
      <c r="A248" s="5"/>
      <c r="O248" s="4" t="str">
        <f>IF(A248="","",--(COUNTIF($A$2:A248,A248)=1))</f>
        <v/>
      </c>
      <c r="P248" s="4" t="str">
        <f>IF(A248="","",--(COUNTIFS($A$2:A248,A248,$F$2:F248,F248)=1))</f>
        <v/>
      </c>
    </row>
    <row r="249" spans="1:16">
      <c r="A249" s="5"/>
      <c r="O249" s="4" t="str">
        <f>IF(A249="","",--(COUNTIF($A$2:A249,A249)=1))</f>
        <v/>
      </c>
      <c r="P249" s="4" t="str">
        <f>IF(A249="","",--(COUNTIFS($A$2:A249,A249,$F$2:F249,F249)=1))</f>
        <v/>
      </c>
    </row>
    <row r="250" spans="1:16">
      <c r="A250" s="5"/>
      <c r="O250" s="4" t="str">
        <f>IF(A250="","",--(COUNTIF($A$2:A250,A250)=1))</f>
        <v/>
      </c>
      <c r="P250" s="4" t="str">
        <f>IF(A250="","",--(COUNTIFS($A$2:A250,A250,$F$2:F250,F250)=1))</f>
        <v/>
      </c>
    </row>
    <row r="251" spans="1:16">
      <c r="A251" s="5"/>
      <c r="O251" s="4" t="str">
        <f>IF(A251="","",--(COUNTIF($A$2:A251,A251)=1))</f>
        <v/>
      </c>
      <c r="P251" s="4" t="str">
        <f>IF(A251="","",--(COUNTIFS($A$2:A251,A251,$F$2:F251,F251)=1))</f>
        <v/>
      </c>
    </row>
    <row r="252" spans="1:16">
      <c r="A252" s="5"/>
      <c r="O252" s="4" t="str">
        <f>IF(A252="","",--(COUNTIF($A$2:A252,A252)=1))</f>
        <v/>
      </c>
      <c r="P252" s="4" t="str">
        <f>IF(A252="","",--(COUNTIFS($A$2:A252,A252,$F$2:F252,F252)=1))</f>
        <v/>
      </c>
    </row>
    <row r="253" spans="1:16">
      <c r="A253" s="5"/>
      <c r="O253" s="4" t="str">
        <f>IF(A253="","",--(COUNTIF($A$2:A253,A253)=1))</f>
        <v/>
      </c>
      <c r="P253" s="4" t="str">
        <f>IF(A253="","",--(COUNTIFS($A$2:A253,A253,$F$2:F253,F253)=1))</f>
        <v/>
      </c>
    </row>
    <row r="254" spans="1:16">
      <c r="A254" s="5"/>
      <c r="O254" s="4" t="str">
        <f>IF(A254="","",--(COUNTIF($A$2:A254,A254)=1))</f>
        <v/>
      </c>
      <c r="P254" s="4" t="str">
        <f>IF(A254="","",--(COUNTIFS($A$2:A254,A254,$F$2:F254,F254)=1))</f>
        <v/>
      </c>
    </row>
    <row r="255" spans="1:16">
      <c r="A255" s="5"/>
      <c r="O255" s="4" t="str">
        <f>IF(A255="","",--(COUNTIF($A$2:A255,A255)=1))</f>
        <v/>
      </c>
      <c r="P255" s="4" t="str">
        <f>IF(A255="","",--(COUNTIFS($A$2:A255,A255,$F$2:F255,F255)=1))</f>
        <v/>
      </c>
    </row>
    <row r="256" spans="1:16">
      <c r="A256" s="5"/>
      <c r="O256" s="4" t="str">
        <f>IF(A256="","",--(COUNTIF($A$2:A256,A256)=1))</f>
        <v/>
      </c>
      <c r="P256" s="4" t="str">
        <f>IF(A256="","",--(COUNTIFS($A$2:A256,A256,$F$2:F256,F256)=1))</f>
        <v/>
      </c>
    </row>
    <row r="257" spans="1:16">
      <c r="A257" s="5"/>
      <c r="O257" s="4" t="str">
        <f>IF(A257="","",--(COUNTIF($A$2:A257,A257)=1))</f>
        <v/>
      </c>
      <c r="P257" s="4" t="str">
        <f>IF(A257="","",--(COUNTIFS($A$2:A257,A257,$F$2:F257,F257)=1))</f>
        <v/>
      </c>
    </row>
    <row r="258" spans="1:16">
      <c r="A258" s="5"/>
      <c r="O258" s="4" t="str">
        <f>IF(A258="","",--(COUNTIF($A$2:A258,A258)=1))</f>
        <v/>
      </c>
      <c r="P258" s="4" t="str">
        <f>IF(A258="","",--(COUNTIFS($A$2:A258,A258,$F$2:F258,F258)=1))</f>
        <v/>
      </c>
    </row>
    <row r="259" spans="1:16">
      <c r="A259" s="5"/>
      <c r="O259" s="4" t="str">
        <f>IF(A259="","",--(COUNTIF($A$2:A259,A259)=1))</f>
        <v/>
      </c>
      <c r="P259" s="4" t="str">
        <f>IF(A259="","",--(COUNTIFS($A$2:A259,A259,$F$2:F259,F259)=1))</f>
        <v/>
      </c>
    </row>
    <row r="260" spans="1:16">
      <c r="A260" s="5"/>
      <c r="O260" s="4" t="str">
        <f>IF(A260="","",--(COUNTIF($A$2:A260,A260)=1))</f>
        <v/>
      </c>
      <c r="P260" s="4" t="str">
        <f>IF(A260="","",--(COUNTIFS($A$2:A260,A260,$F$2:F260,F260)=1))</f>
        <v/>
      </c>
    </row>
    <row r="261" spans="1:16">
      <c r="A261" s="5"/>
      <c r="O261" s="4" t="str">
        <f>IF(A261="","",--(COUNTIF($A$2:A261,A261)=1))</f>
        <v/>
      </c>
      <c r="P261" s="4" t="str">
        <f>IF(A261="","",--(COUNTIFS($A$2:A261,A261,$F$2:F261,F261)=1))</f>
        <v/>
      </c>
    </row>
    <row r="262" spans="1:16">
      <c r="A262" s="5"/>
      <c r="O262" s="4" t="str">
        <f>IF(A262="","",--(COUNTIF($A$2:A262,A262)=1))</f>
        <v/>
      </c>
      <c r="P262" s="4" t="str">
        <f>IF(A262="","",--(COUNTIFS($A$2:A262,A262,$F$2:F262,F262)=1))</f>
        <v/>
      </c>
    </row>
    <row r="263" spans="1:16">
      <c r="A263" s="5"/>
      <c r="O263" s="4" t="str">
        <f>IF(A263="","",--(COUNTIF($A$2:A263,A263)=1))</f>
        <v/>
      </c>
      <c r="P263" s="4" t="str">
        <f>IF(A263="","",--(COUNTIFS($A$2:A263,A263,$F$2:F263,F263)=1))</f>
        <v/>
      </c>
    </row>
    <row r="264" spans="1:16">
      <c r="A264" s="5"/>
      <c r="O264" s="4" t="str">
        <f>IF(A264="","",--(COUNTIF($A$2:A264,A264)=1))</f>
        <v/>
      </c>
      <c r="P264" s="4" t="str">
        <f>IF(A264="","",--(COUNTIFS($A$2:A264,A264,$F$2:F264,F264)=1))</f>
        <v/>
      </c>
    </row>
    <row r="265" spans="1:16">
      <c r="A265" s="5"/>
      <c r="O265" s="4" t="str">
        <f>IF(A265="","",--(COUNTIF($A$2:A265,A265)=1))</f>
        <v/>
      </c>
      <c r="P265" s="4" t="str">
        <f>IF(A265="","",--(COUNTIFS($A$2:A265,A265,$F$2:F265,F265)=1))</f>
        <v/>
      </c>
    </row>
    <row r="266" spans="1:16">
      <c r="A266" s="5"/>
      <c r="O266" s="4" t="str">
        <f>IF(A266="","",--(COUNTIF($A$2:A266,A266)=1))</f>
        <v/>
      </c>
      <c r="P266" s="4" t="str">
        <f>IF(A266="","",--(COUNTIFS($A$2:A266,A266,$F$2:F266,F266)=1))</f>
        <v/>
      </c>
    </row>
    <row r="267" spans="1:16">
      <c r="A267" s="5"/>
      <c r="O267" s="4" t="str">
        <f>IF(A267="","",--(COUNTIF($A$2:A267,A267)=1))</f>
        <v/>
      </c>
      <c r="P267" s="4" t="str">
        <f>IF(A267="","",--(COUNTIFS($A$2:A267,A267,$F$2:F267,F267)=1))</f>
        <v/>
      </c>
    </row>
    <row r="268" spans="1:16">
      <c r="A268" s="5"/>
      <c r="O268" s="4" t="str">
        <f>IF(A268="","",--(COUNTIF($A$2:A268,A268)=1))</f>
        <v/>
      </c>
      <c r="P268" s="4" t="str">
        <f>IF(A268="","",--(COUNTIFS($A$2:A268,A268,$F$2:F268,F268)=1))</f>
        <v/>
      </c>
    </row>
    <row r="269" spans="1:16">
      <c r="A269" s="5"/>
      <c r="O269" s="4" t="str">
        <f>IF(A269="","",--(COUNTIF($A$2:A269,A269)=1))</f>
        <v/>
      </c>
      <c r="P269" s="4" t="str">
        <f>IF(A269="","",--(COUNTIFS($A$2:A269,A269,$F$2:F269,F269)=1))</f>
        <v/>
      </c>
    </row>
    <row r="270" spans="1:16">
      <c r="A270" s="5"/>
      <c r="O270" s="4" t="str">
        <f>IF(A270="","",--(COUNTIF($A$2:A270,A270)=1))</f>
        <v/>
      </c>
      <c r="P270" s="4" t="str">
        <f>IF(A270="","",--(COUNTIFS($A$2:A270,A270,$F$2:F270,F270)=1))</f>
        <v/>
      </c>
    </row>
    <row r="271" spans="1:16">
      <c r="A271" s="5"/>
      <c r="O271" s="4" t="str">
        <f>IF(A271="","",--(COUNTIF($A$2:A271,A271)=1))</f>
        <v/>
      </c>
      <c r="P271" s="4" t="str">
        <f>IF(A271="","",--(COUNTIFS($A$2:A271,A271,$F$2:F271,F271)=1))</f>
        <v/>
      </c>
    </row>
    <row r="272" spans="1:16">
      <c r="A272" s="5"/>
      <c r="O272" s="4" t="str">
        <f>IF(A272="","",--(COUNTIF($A$2:A272,A272)=1))</f>
        <v/>
      </c>
      <c r="P272" s="4" t="str">
        <f>IF(A272="","",--(COUNTIFS($A$2:A272,A272,$F$2:F272,F272)=1))</f>
        <v/>
      </c>
    </row>
    <row r="273" spans="1:16">
      <c r="A273" s="5"/>
      <c r="O273" s="4" t="str">
        <f>IF(A273="","",--(COUNTIF($A$2:A273,A273)=1))</f>
        <v/>
      </c>
      <c r="P273" s="4" t="str">
        <f>IF(A273="","",--(COUNTIFS($A$2:A273,A273,$F$2:F273,F273)=1))</f>
        <v/>
      </c>
    </row>
    <row r="274" spans="1:16">
      <c r="A274" s="5"/>
      <c r="O274" s="4" t="str">
        <f>IF(A274="","",--(COUNTIF($A$2:A274,A274)=1))</f>
        <v/>
      </c>
      <c r="P274" s="4" t="str">
        <f>IF(A274="","",--(COUNTIFS($A$2:A274,A274,$F$2:F274,F274)=1))</f>
        <v/>
      </c>
    </row>
    <row r="275" spans="1:16">
      <c r="A275" s="5"/>
      <c r="O275" s="4" t="str">
        <f>IF(A275="","",--(COUNTIF($A$2:A275,A275)=1))</f>
        <v/>
      </c>
      <c r="P275" s="4" t="str">
        <f>IF(A275="","",--(COUNTIFS($A$2:A275,A275,$F$2:F275,F275)=1))</f>
        <v/>
      </c>
    </row>
    <row r="276" spans="1:16">
      <c r="A276" s="5"/>
      <c r="O276" s="4" t="str">
        <f>IF(A276="","",--(COUNTIF($A$2:A276,A276)=1))</f>
        <v/>
      </c>
      <c r="P276" s="4" t="str">
        <f>IF(A276="","",--(COUNTIFS($A$2:A276,A276,$F$2:F276,F276)=1))</f>
        <v/>
      </c>
    </row>
    <row r="277" spans="1:16">
      <c r="A277" s="5"/>
      <c r="O277" s="4" t="str">
        <f>IF(A277="","",--(COUNTIF($A$2:A277,A277)=1))</f>
        <v/>
      </c>
      <c r="P277" s="4" t="str">
        <f>IF(A277="","",--(COUNTIFS($A$2:A277,A277,$F$2:F277,F277)=1))</f>
        <v/>
      </c>
    </row>
    <row r="278" spans="1:16">
      <c r="A278" s="5"/>
      <c r="O278" s="4" t="str">
        <f>IF(A278="","",--(COUNTIF($A$2:A278,A278)=1))</f>
        <v/>
      </c>
      <c r="P278" s="4" t="str">
        <f>IF(A278="","",--(COUNTIFS($A$2:A278,A278,$F$2:F278,F278)=1))</f>
        <v/>
      </c>
    </row>
    <row r="279" spans="1:16">
      <c r="A279" s="5"/>
      <c r="O279" s="4" t="str">
        <f>IF(A279="","",--(COUNTIF($A$2:A279,A279)=1))</f>
        <v/>
      </c>
      <c r="P279" s="4" t="str">
        <f>IF(A279="","",--(COUNTIFS($A$2:A279,A279,$F$2:F279,F279)=1))</f>
        <v/>
      </c>
    </row>
    <row r="280" spans="1:16">
      <c r="A280" s="5"/>
      <c r="O280" s="4" t="str">
        <f>IF(A280="","",--(COUNTIF($A$2:A280,A280)=1))</f>
        <v/>
      </c>
      <c r="P280" s="4" t="str">
        <f>IF(A280="","",--(COUNTIFS($A$2:A280,A280,$F$2:F280,F280)=1))</f>
        <v/>
      </c>
    </row>
    <row r="281" spans="1:16">
      <c r="A281" s="5"/>
      <c r="O281" s="4" t="str">
        <f>IF(A281="","",--(COUNTIF($A$2:A281,A281)=1))</f>
        <v/>
      </c>
      <c r="P281" s="4" t="str">
        <f>IF(A281="","",--(COUNTIFS($A$2:A281,A281,$F$2:F281,F281)=1))</f>
        <v/>
      </c>
    </row>
    <row r="282" spans="1:16">
      <c r="A282" s="5"/>
      <c r="O282" s="4" t="str">
        <f>IF(A282="","",--(COUNTIF($A$2:A282,A282)=1))</f>
        <v/>
      </c>
      <c r="P282" s="4" t="str">
        <f>IF(A282="","",--(COUNTIFS($A$2:A282,A282,$F$2:F282,F282)=1))</f>
        <v/>
      </c>
    </row>
    <row r="283" spans="1:16">
      <c r="A283" s="5"/>
      <c r="O283" s="4" t="str">
        <f>IF(A283="","",--(COUNTIF($A$2:A283,A283)=1))</f>
        <v/>
      </c>
      <c r="P283" s="4" t="str">
        <f>IF(A283="","",--(COUNTIFS($A$2:A283,A283,$F$2:F283,F283)=1))</f>
        <v/>
      </c>
    </row>
    <row r="284" spans="1:16">
      <c r="A284" s="5"/>
      <c r="O284" s="4" t="str">
        <f>IF(A284="","",--(COUNTIF($A$2:A284,A284)=1))</f>
        <v/>
      </c>
      <c r="P284" s="4" t="str">
        <f>IF(A284="","",--(COUNTIFS($A$2:A284,A284,$F$2:F284,F284)=1))</f>
        <v/>
      </c>
    </row>
    <row r="285" spans="1:16">
      <c r="A285" s="5"/>
      <c r="O285" s="4" t="str">
        <f>IF(A285="","",--(COUNTIF($A$2:A285,A285)=1))</f>
        <v/>
      </c>
      <c r="P285" s="4" t="str">
        <f>IF(A285="","",--(COUNTIFS($A$2:A285,A285,$F$2:F285,F285)=1))</f>
        <v/>
      </c>
    </row>
    <row r="286" spans="1:16">
      <c r="A286" s="5"/>
      <c r="O286" s="4" t="str">
        <f>IF(A286="","",--(COUNTIF($A$2:A286,A286)=1))</f>
        <v/>
      </c>
      <c r="P286" s="4" t="str">
        <f>IF(A286="","",--(COUNTIFS($A$2:A286,A286,$F$2:F286,F286)=1))</f>
        <v/>
      </c>
    </row>
    <row r="287" spans="1:16">
      <c r="A287" s="5"/>
      <c r="O287" s="4" t="str">
        <f>IF(A287="","",--(COUNTIF($A$2:A287,A287)=1))</f>
        <v/>
      </c>
      <c r="P287" s="4" t="str">
        <f>IF(A287="","",--(COUNTIFS($A$2:A287,A287,$F$2:F287,F287)=1))</f>
        <v/>
      </c>
    </row>
    <row r="288" spans="1:16">
      <c r="A288" s="5"/>
      <c r="O288" s="4" t="str">
        <f>IF(A288="","",--(COUNTIF($A$2:A288,A288)=1))</f>
        <v/>
      </c>
      <c r="P288" s="4" t="str">
        <f>IF(A288="","",--(COUNTIFS($A$2:A288,A288,$F$2:F288,F288)=1))</f>
        <v/>
      </c>
    </row>
    <row r="289" spans="1:16">
      <c r="A289" s="5"/>
      <c r="O289" s="4" t="str">
        <f>IF(A289="","",--(COUNTIF($A$2:A289,A289)=1))</f>
        <v/>
      </c>
      <c r="P289" s="4" t="str">
        <f>IF(A289="","",--(COUNTIFS($A$2:A289,A289,$F$2:F289,F289)=1))</f>
        <v/>
      </c>
    </row>
    <row r="290" spans="1:16">
      <c r="A290" s="5"/>
      <c r="O290" s="4" t="str">
        <f>IF(A290="","",--(COUNTIF($A$2:A290,A290)=1))</f>
        <v/>
      </c>
      <c r="P290" s="4" t="str">
        <f>IF(A290="","",--(COUNTIFS($A$2:A290,A290,$F$2:F290,F290)=1))</f>
        <v/>
      </c>
    </row>
    <row r="291" spans="1:16">
      <c r="A291" s="5"/>
      <c r="O291" s="4" t="str">
        <f>IF(A291="","",--(COUNTIF($A$2:A291,A291)=1))</f>
        <v/>
      </c>
      <c r="P291" s="4" t="str">
        <f>IF(A291="","",--(COUNTIFS($A$2:A291,A291,$F$2:F291,F291)=1))</f>
        <v/>
      </c>
    </row>
    <row r="292" spans="1:16">
      <c r="A292" s="5"/>
      <c r="O292" s="4" t="str">
        <f>IF(A292="","",--(COUNTIF($A$2:A292,A292)=1))</f>
        <v/>
      </c>
      <c r="P292" s="4" t="str">
        <f>IF(A292="","",--(COUNTIFS($A$2:A292,A292,$F$2:F292,F292)=1))</f>
        <v/>
      </c>
    </row>
    <row r="293" spans="1:16">
      <c r="A293" s="5"/>
      <c r="O293" s="4" t="str">
        <f>IF(A293="","",--(COUNTIF($A$2:A293,A293)=1))</f>
        <v/>
      </c>
      <c r="P293" s="4" t="str">
        <f>IF(A293="","",--(COUNTIFS($A$2:A293,A293,$F$2:F293,F293)=1))</f>
        <v/>
      </c>
    </row>
    <row r="294" spans="1:16">
      <c r="A294" s="5"/>
      <c r="O294" s="4" t="str">
        <f>IF(A294="","",--(COUNTIF($A$2:A294,A294)=1))</f>
        <v/>
      </c>
      <c r="P294" s="4" t="str">
        <f>IF(A294="","",--(COUNTIFS($A$2:A294,A294,$F$2:F294,F294)=1))</f>
        <v/>
      </c>
    </row>
    <row r="295" spans="1:16">
      <c r="A295" s="5"/>
      <c r="O295" s="4" t="str">
        <f>IF(A295="","",--(COUNTIF($A$2:A295,A295)=1))</f>
        <v/>
      </c>
      <c r="P295" s="4" t="str">
        <f>IF(A295="","",--(COUNTIFS($A$2:A295,A295,$F$2:F295,F295)=1))</f>
        <v/>
      </c>
    </row>
    <row r="296" spans="1:16">
      <c r="A296" s="5"/>
      <c r="O296" s="4" t="str">
        <f>IF(A296="","",--(COUNTIF($A$2:A296,A296)=1))</f>
        <v/>
      </c>
      <c r="P296" s="4" t="str">
        <f>IF(A296="","",--(COUNTIFS($A$2:A296,A296,$F$2:F296,F296)=1))</f>
        <v/>
      </c>
    </row>
    <row r="297" spans="1:16">
      <c r="A297" s="5"/>
      <c r="O297" s="4" t="str">
        <f>IF(A297="","",--(COUNTIF($A$2:A297,A297)=1))</f>
        <v/>
      </c>
      <c r="P297" s="4" t="str">
        <f>IF(A297="","",--(COUNTIFS($A$2:A297,A297,$F$2:F297,F297)=1))</f>
        <v/>
      </c>
    </row>
    <row r="298" spans="1:16">
      <c r="A298" s="5"/>
      <c r="O298" s="4" t="str">
        <f>IF(A298="","",--(COUNTIF($A$2:A298,A298)=1))</f>
        <v/>
      </c>
      <c r="P298" s="4" t="str">
        <f>IF(A298="","",--(COUNTIFS($A$2:A298,A298,$F$2:F298,F298)=1))</f>
        <v/>
      </c>
    </row>
    <row r="299" spans="1:16">
      <c r="A299" s="5"/>
      <c r="O299" s="4" t="str">
        <f>IF(A299="","",--(COUNTIF($A$2:A299,A299)=1))</f>
        <v/>
      </c>
      <c r="P299" s="4" t="str">
        <f>IF(A299="","",--(COUNTIFS($A$2:A299,A299,$F$2:F299,F299)=1))</f>
        <v/>
      </c>
    </row>
    <row r="300" spans="1:16">
      <c r="A300" s="5"/>
      <c r="O300" s="4" t="str">
        <f>IF(A300="","",--(COUNTIF($A$2:A300,A300)=1))</f>
        <v/>
      </c>
      <c r="P300" s="4" t="str">
        <f>IF(A300="","",--(COUNTIFS($A$2:A300,A300,$F$2:F300,F300)=1))</f>
        <v/>
      </c>
    </row>
    <row r="301" spans="1:16">
      <c r="A301" s="5"/>
      <c r="O301" s="4" t="str">
        <f>IF(A301="","",--(COUNTIF($A$2:A301,A301)=1))</f>
        <v/>
      </c>
      <c r="P301" s="4" t="str">
        <f>IF(A301="","",--(COUNTIFS($A$2:A301,A301,$F$2:F301,F301)=1))</f>
        <v/>
      </c>
    </row>
    <row r="302" spans="1:16">
      <c r="A302" s="5"/>
      <c r="O302" s="4" t="str">
        <f>IF(A302="","",--(COUNTIF($A$2:A302,A302)=1))</f>
        <v/>
      </c>
      <c r="P302" s="4" t="str">
        <f>IF(A302="","",--(COUNTIFS($A$2:A302,A302,$F$2:F302,F302)=1))</f>
        <v/>
      </c>
    </row>
    <row r="303" spans="1:16">
      <c r="A303" s="5"/>
      <c r="O303" s="4" t="str">
        <f>IF(A303="","",--(COUNTIF($A$2:A303,A303)=1))</f>
        <v/>
      </c>
      <c r="P303" s="4" t="str">
        <f>IF(A303="","",--(COUNTIFS($A$2:A303,A303,$F$2:F303,F303)=1))</f>
        <v/>
      </c>
    </row>
    <row r="304" spans="1:16">
      <c r="A304" s="5"/>
      <c r="O304" s="4" t="str">
        <f>IF(A304="","",--(COUNTIF($A$2:A304,A304)=1))</f>
        <v/>
      </c>
      <c r="P304" s="4" t="str">
        <f>IF(A304="","",--(COUNTIFS($A$2:A304,A304,$F$2:F304,F304)=1))</f>
        <v/>
      </c>
    </row>
    <row r="305" spans="1:16">
      <c r="A305" s="5"/>
      <c r="O305" s="4" t="str">
        <f>IF(A305="","",--(COUNTIF($A$2:A305,A305)=1))</f>
        <v/>
      </c>
      <c r="P305" s="4" t="str">
        <f>IF(A305="","",--(COUNTIFS($A$2:A305,A305,$F$2:F305,F305)=1))</f>
        <v/>
      </c>
    </row>
    <row r="306" spans="1:16">
      <c r="A306" s="5"/>
      <c r="O306" s="4" t="str">
        <f>IF(A306="","",--(COUNTIF($A$2:A306,A306)=1))</f>
        <v/>
      </c>
      <c r="P306" s="4" t="str">
        <f>IF(A306="","",--(COUNTIFS($A$2:A306,A306,$F$2:F306,F306)=1))</f>
        <v/>
      </c>
    </row>
    <row r="307" spans="1:16">
      <c r="A307" s="5"/>
      <c r="O307" s="4" t="str">
        <f>IF(A307="","",--(COUNTIF($A$2:A307,A307)=1))</f>
        <v/>
      </c>
      <c r="P307" s="4" t="str">
        <f>IF(A307="","",--(COUNTIFS($A$2:A307,A307,$F$2:F307,F307)=1))</f>
        <v/>
      </c>
    </row>
    <row r="308" spans="1:16">
      <c r="A308" s="5"/>
      <c r="O308" s="4" t="str">
        <f>IF(A308="","",--(COUNTIF($A$2:A308,A308)=1))</f>
        <v/>
      </c>
      <c r="P308" s="4" t="str">
        <f>IF(A308="","",--(COUNTIFS($A$2:A308,A308,$F$2:F308,F308)=1))</f>
        <v/>
      </c>
    </row>
    <row r="309" spans="1:16">
      <c r="A309" s="5"/>
      <c r="O309" s="4" t="str">
        <f>IF(A309="","",--(COUNTIF($A$2:A309,A309)=1))</f>
        <v/>
      </c>
      <c r="P309" s="4" t="str">
        <f>IF(A309="","",--(COUNTIFS($A$2:A309,A309,$F$2:F309,F309)=1))</f>
        <v/>
      </c>
    </row>
    <row r="310" spans="1:16">
      <c r="A310" s="5"/>
      <c r="O310" s="4" t="str">
        <f>IF(A310="","",--(COUNTIF($A$2:A310,A310)=1))</f>
        <v/>
      </c>
      <c r="P310" s="4" t="str">
        <f>IF(A310="","",--(COUNTIFS($A$2:A310,A310,$F$2:F310,F310)=1))</f>
        <v/>
      </c>
    </row>
    <row r="311" spans="1:16">
      <c r="A311" s="5"/>
      <c r="O311" s="4" t="str">
        <f>IF(A311="","",--(COUNTIF($A$2:A311,A311)=1))</f>
        <v/>
      </c>
      <c r="P311" s="4" t="str">
        <f>IF(A311="","",--(COUNTIFS($A$2:A311,A311,$F$2:F311,F311)=1))</f>
        <v/>
      </c>
    </row>
    <row r="312" spans="1:16">
      <c r="A312" s="5"/>
      <c r="O312" s="4" t="str">
        <f>IF(A312="","",--(COUNTIF($A$2:A312,A312)=1))</f>
        <v/>
      </c>
      <c r="P312" s="4" t="str">
        <f>IF(A312="","",--(COUNTIFS($A$2:A312,A312,$F$2:F312,F312)=1))</f>
        <v/>
      </c>
    </row>
    <row r="313" spans="1:16">
      <c r="A313" s="5"/>
      <c r="O313" s="4" t="str">
        <f>IF(A313="","",--(COUNTIF($A$2:A313,A313)=1))</f>
        <v/>
      </c>
      <c r="P313" s="4" t="str">
        <f>IF(A313="","",--(COUNTIFS($A$2:A313,A313,$F$2:F313,F313)=1))</f>
        <v/>
      </c>
    </row>
    <row r="314" spans="1:16">
      <c r="A314" s="5"/>
      <c r="O314" s="4" t="str">
        <f>IF(A314="","",--(COUNTIF($A$2:A314,A314)=1))</f>
        <v/>
      </c>
      <c r="P314" s="4" t="str">
        <f>IF(A314="","",--(COUNTIFS($A$2:A314,A314,$F$2:F314,F314)=1))</f>
        <v/>
      </c>
    </row>
    <row r="315" spans="1:16">
      <c r="A315" s="5"/>
      <c r="O315" s="4" t="str">
        <f>IF(A315="","",--(COUNTIF($A$2:A315,A315)=1))</f>
        <v/>
      </c>
      <c r="P315" s="4" t="str">
        <f>IF(A315="","",--(COUNTIFS($A$2:A315,A315,$F$2:F315,F315)=1))</f>
        <v/>
      </c>
    </row>
    <row r="316" spans="1:16">
      <c r="A316" s="5"/>
      <c r="O316" s="4" t="str">
        <f>IF(A316="","",--(COUNTIF($A$2:A316,A316)=1))</f>
        <v/>
      </c>
      <c r="P316" s="4" t="str">
        <f>IF(A316="","",--(COUNTIFS($A$2:A316,A316,$F$2:F316,F316)=1))</f>
        <v/>
      </c>
    </row>
    <row r="317" spans="1:16">
      <c r="A317" s="5"/>
      <c r="O317" s="4" t="str">
        <f>IF(A317="","",--(COUNTIF($A$2:A317,A317)=1))</f>
        <v/>
      </c>
      <c r="P317" s="4" t="str">
        <f>IF(A317="","",--(COUNTIFS($A$2:A317,A317,$F$2:F317,F317)=1))</f>
        <v/>
      </c>
    </row>
    <row r="318" spans="1:16">
      <c r="A318" s="5"/>
      <c r="O318" s="4" t="str">
        <f>IF(A318="","",--(COUNTIF($A$2:A318,A318)=1))</f>
        <v/>
      </c>
      <c r="P318" s="4" t="str">
        <f>IF(A318="","",--(COUNTIFS($A$2:A318,A318,$F$2:F318,F318)=1))</f>
        <v/>
      </c>
    </row>
    <row r="319" spans="1:16">
      <c r="A319" s="5"/>
      <c r="O319" s="4" t="str">
        <f>IF(A319="","",--(COUNTIF($A$2:A319,A319)=1))</f>
        <v/>
      </c>
      <c r="P319" s="4" t="str">
        <f>IF(A319="","",--(COUNTIFS($A$2:A319,A319,$F$2:F319,F319)=1))</f>
        <v/>
      </c>
    </row>
    <row r="320" spans="1:16">
      <c r="A320" s="5"/>
      <c r="O320" s="4" t="str">
        <f>IF(A320="","",--(COUNTIF($A$2:A320,A320)=1))</f>
        <v/>
      </c>
      <c r="P320" s="4" t="str">
        <f>IF(A320="","",--(COUNTIFS($A$2:A320,A320,$F$2:F320,F320)=1))</f>
        <v/>
      </c>
    </row>
    <row r="321" spans="1:16">
      <c r="A321" s="5"/>
      <c r="O321" s="4" t="str">
        <f>IF(A321="","",--(COUNTIF($A$2:A321,A321)=1))</f>
        <v/>
      </c>
      <c r="P321" s="4" t="str">
        <f>IF(A321="","",--(COUNTIFS($A$2:A321,A321,$F$2:F321,F321)=1))</f>
        <v/>
      </c>
    </row>
    <row r="322" spans="1:16">
      <c r="A322" s="5"/>
      <c r="O322" s="4" t="str">
        <f>IF(A322="","",--(COUNTIF($A$2:A322,A322)=1))</f>
        <v/>
      </c>
      <c r="P322" s="4" t="str">
        <f>IF(A322="","",--(COUNTIFS($A$2:A322,A322,$F$2:F322,F322)=1))</f>
        <v/>
      </c>
    </row>
    <row r="323" spans="1:16">
      <c r="A323" s="5"/>
      <c r="O323" s="4" t="str">
        <f>IF(A323="","",--(COUNTIF($A$2:A323,A323)=1))</f>
        <v/>
      </c>
      <c r="P323" s="4" t="str">
        <f>IF(A323="","",--(COUNTIFS($A$2:A323,A323,$F$2:F323,F323)=1))</f>
        <v/>
      </c>
    </row>
    <row r="324" spans="1:16">
      <c r="A324" s="5"/>
      <c r="O324" s="4" t="str">
        <f>IF(A324="","",--(COUNTIF($A$2:A324,A324)=1))</f>
        <v/>
      </c>
      <c r="P324" s="4" t="str">
        <f>IF(A324="","",--(COUNTIFS($A$2:A324,A324,$F$2:F324,F324)=1))</f>
        <v/>
      </c>
    </row>
    <row r="325" spans="1:16">
      <c r="A325" s="5"/>
      <c r="O325" s="4" t="str">
        <f>IF(A325="","",--(COUNTIF($A$2:A325,A325)=1))</f>
        <v/>
      </c>
      <c r="P325" s="4" t="str">
        <f>IF(A325="","",--(COUNTIFS($A$2:A325,A325,$F$2:F325,F325)=1))</f>
        <v/>
      </c>
    </row>
    <row r="326" spans="1:16">
      <c r="A326" s="5"/>
      <c r="O326" s="4" t="str">
        <f>IF(A326="","",--(COUNTIF($A$2:A326,A326)=1))</f>
        <v/>
      </c>
      <c r="P326" s="4" t="str">
        <f>IF(A326="","",--(COUNTIFS($A$2:A326,A326,$F$2:F326,F326)=1))</f>
        <v/>
      </c>
    </row>
    <row r="327" spans="1:16">
      <c r="A327" s="5"/>
      <c r="O327" s="4" t="str">
        <f>IF(A327="","",--(COUNTIF($A$2:A327,A327)=1))</f>
        <v/>
      </c>
      <c r="P327" s="4" t="str">
        <f>IF(A327="","",--(COUNTIFS($A$2:A327,A327,$F$2:F327,F327)=1))</f>
        <v/>
      </c>
    </row>
    <row r="328" spans="1:16">
      <c r="A328" s="5"/>
      <c r="O328" s="4" t="str">
        <f>IF(A328="","",--(COUNTIF($A$2:A328,A328)=1))</f>
        <v/>
      </c>
      <c r="P328" s="4" t="str">
        <f>IF(A328="","",--(COUNTIFS($A$2:A328,A328,$F$2:F328,F328)=1))</f>
        <v/>
      </c>
    </row>
    <row r="329" spans="1:16">
      <c r="A329" s="5"/>
      <c r="O329" s="4" t="str">
        <f>IF(A329="","",--(COUNTIF($A$2:A329,A329)=1))</f>
        <v/>
      </c>
      <c r="P329" s="4" t="str">
        <f>IF(A329="","",--(COUNTIFS($A$2:A329,A329,$F$2:F329,F329)=1))</f>
        <v/>
      </c>
    </row>
    <row r="330" spans="1:16">
      <c r="A330" s="5"/>
      <c r="O330" s="4" t="str">
        <f>IF(A330="","",--(COUNTIF($A$2:A330,A330)=1))</f>
        <v/>
      </c>
      <c r="P330" s="4" t="str">
        <f>IF(A330="","",--(COUNTIFS($A$2:A330,A330,$F$2:F330,F330)=1))</f>
        <v/>
      </c>
    </row>
    <row r="331" spans="1:16">
      <c r="A331" s="5"/>
      <c r="O331" s="4" t="str">
        <f>IF(A331="","",--(COUNTIF($A$2:A331,A331)=1))</f>
        <v/>
      </c>
      <c r="P331" s="4" t="str">
        <f>IF(A331="","",--(COUNTIFS($A$2:A331,A331,$F$2:F331,F331)=1))</f>
        <v/>
      </c>
    </row>
    <row r="332" spans="1:16">
      <c r="A332" s="5"/>
      <c r="O332" s="4" t="str">
        <f>IF(A332="","",--(COUNTIF($A$2:A332,A332)=1))</f>
        <v/>
      </c>
      <c r="P332" s="4" t="str">
        <f>IF(A332="","",--(COUNTIFS($A$2:A332,A332,$F$2:F332,F332)=1))</f>
        <v/>
      </c>
    </row>
    <row r="333" spans="1:16">
      <c r="A333" s="5"/>
      <c r="O333" s="4" t="str">
        <f>IF(A333="","",--(COUNTIF($A$2:A333,A333)=1))</f>
        <v/>
      </c>
      <c r="P333" s="4" t="str">
        <f>IF(A333="","",--(COUNTIFS($A$2:A333,A333,$F$2:F333,F333)=1))</f>
        <v/>
      </c>
    </row>
    <row r="334" spans="1:16">
      <c r="A334" s="5"/>
      <c r="O334" s="4" t="str">
        <f>IF(A334="","",--(COUNTIF($A$2:A334,A334)=1))</f>
        <v/>
      </c>
      <c r="P334" s="4" t="str">
        <f>IF(A334="","",--(COUNTIFS($A$2:A334,A334,$F$2:F334,F334)=1))</f>
        <v/>
      </c>
    </row>
    <row r="335" spans="1:16">
      <c r="A335" s="5"/>
      <c r="O335" s="4" t="str">
        <f>IF(A335="","",--(COUNTIF($A$2:A335,A335)=1))</f>
        <v/>
      </c>
      <c r="P335" s="4" t="str">
        <f>IF(A335="","",--(COUNTIFS($A$2:A335,A335,$F$2:F335,F335)=1))</f>
        <v/>
      </c>
    </row>
    <row r="336" spans="1:16">
      <c r="A336" s="5"/>
      <c r="O336" s="4" t="str">
        <f>IF(A336="","",--(COUNTIF($A$2:A336,A336)=1))</f>
        <v/>
      </c>
      <c r="P336" s="4" t="str">
        <f>IF(A336="","",--(COUNTIFS($A$2:A336,A336,$F$2:F336,F336)=1))</f>
        <v/>
      </c>
    </row>
    <row r="337" spans="1:16">
      <c r="A337" s="5"/>
      <c r="O337" s="4" t="str">
        <f>IF(A337="","",--(COUNTIF($A$2:A337,A337)=1))</f>
        <v/>
      </c>
      <c r="P337" s="4" t="str">
        <f>IF(A337="","",--(COUNTIFS($A$2:A337,A337,$F$2:F337,F337)=1))</f>
        <v/>
      </c>
    </row>
    <row r="338" spans="1:16">
      <c r="A338" s="5"/>
      <c r="O338" s="4" t="str">
        <f>IF(A338="","",--(COUNTIF($A$2:A338,A338)=1))</f>
        <v/>
      </c>
      <c r="P338" s="4" t="str">
        <f>IF(A338="","",--(COUNTIFS($A$2:A338,A338,$F$2:F338,F338)=1))</f>
        <v/>
      </c>
    </row>
    <row r="339" spans="1:16">
      <c r="A339" s="5"/>
      <c r="O339" s="4" t="str">
        <f>IF(A339="","",--(COUNTIF($A$2:A339,A339)=1))</f>
        <v/>
      </c>
      <c r="P339" s="4" t="str">
        <f>IF(A339="","",--(COUNTIFS($A$2:A339,A339,$F$2:F339,F339)=1))</f>
        <v/>
      </c>
    </row>
    <row r="340" spans="1:16">
      <c r="A340" s="5"/>
      <c r="O340" s="4" t="str">
        <f>IF(A340="","",--(COUNTIF($A$2:A340,A340)=1))</f>
        <v/>
      </c>
      <c r="P340" s="4" t="str">
        <f>IF(A340="","",--(COUNTIFS($A$2:A340,A340,$F$2:F340,F340)=1))</f>
        <v/>
      </c>
    </row>
    <row r="341" spans="1:16">
      <c r="A341" s="5"/>
      <c r="O341" s="4" t="str">
        <f>IF(A341="","",--(COUNTIF($A$2:A341,A341)=1))</f>
        <v/>
      </c>
      <c r="P341" s="4" t="str">
        <f>IF(A341="","",--(COUNTIFS($A$2:A341,A341,$F$2:F341,F341)=1))</f>
        <v/>
      </c>
    </row>
    <row r="342" spans="1:16">
      <c r="A342" s="5"/>
      <c r="O342" s="4" t="str">
        <f>IF(A342="","",--(COUNTIF($A$2:A342,A342)=1))</f>
        <v/>
      </c>
      <c r="P342" s="4" t="str">
        <f>IF(A342="","",--(COUNTIFS($A$2:A342,A342,$F$2:F342,F342)=1))</f>
        <v/>
      </c>
    </row>
    <row r="343" spans="1:16">
      <c r="A343" s="5"/>
      <c r="O343" s="4" t="str">
        <f>IF(A343="","",--(COUNTIF($A$2:A343,A343)=1))</f>
        <v/>
      </c>
      <c r="P343" s="4" t="str">
        <f>IF(A343="","",--(COUNTIFS($A$2:A343,A343,$F$2:F343,F343)=1))</f>
        <v/>
      </c>
    </row>
    <row r="344" spans="1:16">
      <c r="A344" s="5"/>
      <c r="O344" s="4" t="str">
        <f>IF(A344="","",--(COUNTIF($A$2:A344,A344)=1))</f>
        <v/>
      </c>
      <c r="P344" s="4" t="str">
        <f>IF(A344="","",--(COUNTIFS($A$2:A344,A344,$F$2:F344,F344)=1))</f>
        <v/>
      </c>
    </row>
    <row r="345" spans="1:16">
      <c r="A345" s="5"/>
      <c r="O345" s="4" t="str">
        <f>IF(A345="","",--(COUNTIF($A$2:A345,A345)=1))</f>
        <v/>
      </c>
      <c r="P345" s="4" t="str">
        <f>IF(A345="","",--(COUNTIFS($A$2:A345,A345,$F$2:F345,F345)=1))</f>
        <v/>
      </c>
    </row>
    <row r="346" spans="1:16">
      <c r="A346" s="5"/>
      <c r="O346" s="4" t="str">
        <f>IF(A346="","",--(COUNTIF($A$2:A346,A346)=1))</f>
        <v/>
      </c>
      <c r="P346" s="4" t="str">
        <f>IF(A346="","",--(COUNTIFS($A$2:A346,A346,$F$2:F346,F346)=1))</f>
        <v/>
      </c>
    </row>
    <row r="347" spans="1:16">
      <c r="A347" s="5"/>
      <c r="O347" s="4" t="str">
        <f>IF(A347="","",--(COUNTIF($A$2:A347,A347)=1))</f>
        <v/>
      </c>
      <c r="P347" s="4" t="str">
        <f>IF(A347="","",--(COUNTIFS($A$2:A347,A347,$F$2:F347,F347)=1))</f>
        <v/>
      </c>
    </row>
    <row r="348" spans="1:16">
      <c r="A348" s="5"/>
      <c r="O348" s="4" t="str">
        <f>IF(A348="","",--(COUNTIF($A$2:A348,A348)=1))</f>
        <v/>
      </c>
      <c r="P348" s="4" t="str">
        <f>IF(A348="","",--(COUNTIFS($A$2:A348,A348,$F$2:F348,F348)=1))</f>
        <v/>
      </c>
    </row>
    <row r="349" spans="1:16">
      <c r="A349" s="5"/>
      <c r="O349" s="4" t="str">
        <f>IF(A349="","",--(COUNTIF($A$2:A349,A349)=1))</f>
        <v/>
      </c>
      <c r="P349" s="4" t="str">
        <f>IF(A349="","",--(COUNTIFS($A$2:A349,A349,$F$2:F349,F349)=1))</f>
        <v/>
      </c>
    </row>
    <row r="350" spans="1:16">
      <c r="A350" s="5"/>
      <c r="O350" s="4" t="str">
        <f>IF(A350="","",--(COUNTIF($A$2:A350,A350)=1))</f>
        <v/>
      </c>
      <c r="P350" s="4" t="str">
        <f>IF(A350="","",--(COUNTIFS($A$2:A350,A350,$F$2:F350,F350)=1))</f>
        <v/>
      </c>
    </row>
    <row r="351" spans="1:16">
      <c r="A351" s="5"/>
      <c r="O351" s="4" t="str">
        <f>IF(A351="","",--(COUNTIF($A$2:A351,A351)=1))</f>
        <v/>
      </c>
      <c r="P351" s="4" t="str">
        <f>IF(A351="","",--(COUNTIFS($A$2:A351,A351,$F$2:F351,F351)=1))</f>
        <v/>
      </c>
    </row>
    <row r="352" spans="1:16">
      <c r="A352" s="5"/>
      <c r="O352" s="4" t="str">
        <f>IF(A352="","",--(COUNTIF($A$2:A352,A352)=1))</f>
        <v/>
      </c>
      <c r="P352" s="4" t="str">
        <f>IF(A352="","",--(COUNTIFS($A$2:A352,A352,$F$2:F352,F352)=1))</f>
        <v/>
      </c>
    </row>
    <row r="353" spans="1:16">
      <c r="A353" s="5"/>
      <c r="O353" s="4" t="str">
        <f>IF(A353="","",--(COUNTIF($A$2:A353,A353)=1))</f>
        <v/>
      </c>
      <c r="P353" s="4" t="str">
        <f>IF(A353="","",--(COUNTIFS($A$2:A353,A353,$F$2:F353,F353)=1))</f>
        <v/>
      </c>
    </row>
    <row r="354" spans="1:16">
      <c r="A354" s="5"/>
      <c r="O354" s="4" t="str">
        <f>IF(A354="","",--(COUNTIF($A$2:A354,A354)=1))</f>
        <v/>
      </c>
      <c r="P354" s="4" t="str">
        <f>IF(A354="","",--(COUNTIFS($A$2:A354,A354,$F$2:F354,F354)=1))</f>
        <v/>
      </c>
    </row>
    <row r="355" spans="1:16">
      <c r="A355" s="5"/>
      <c r="O355" s="4" t="str">
        <f>IF(A355="","",--(COUNTIF($A$2:A355,A355)=1))</f>
        <v/>
      </c>
      <c r="P355" s="4" t="str">
        <f>IF(A355="","",--(COUNTIFS($A$2:A355,A355,$F$2:F355,F355)=1))</f>
        <v/>
      </c>
    </row>
    <row r="356" spans="1:16">
      <c r="A356" s="5"/>
      <c r="O356" s="4" t="str">
        <f>IF(A356="","",--(COUNTIF($A$2:A356,A356)=1))</f>
        <v/>
      </c>
      <c r="P356" s="4" t="str">
        <f>IF(A356="","",--(COUNTIFS($A$2:A356,A356,$F$2:F356,F356)=1))</f>
        <v/>
      </c>
    </row>
    <row r="357" spans="1:16">
      <c r="A357" s="5"/>
      <c r="O357" s="4" t="str">
        <f>IF(A357="","",--(COUNTIF($A$2:A357,A357)=1))</f>
        <v/>
      </c>
      <c r="P357" s="4" t="str">
        <f>IF(A357="","",--(COUNTIFS($A$2:A357,A357,$F$2:F357,F357)=1))</f>
        <v/>
      </c>
    </row>
    <row r="358" spans="1:16">
      <c r="A358" s="5"/>
      <c r="O358" s="4" t="str">
        <f>IF(A358="","",--(COUNTIF($A$2:A358,A358)=1))</f>
        <v/>
      </c>
      <c r="P358" s="4" t="str">
        <f>IF(A358="","",--(COUNTIFS($A$2:A358,A358,$F$2:F358,F358)=1))</f>
        <v/>
      </c>
    </row>
    <row r="359" spans="1:16">
      <c r="A359" s="5"/>
      <c r="O359" s="4" t="str">
        <f>IF(A359="","",--(COUNTIF($A$2:A359,A359)=1))</f>
        <v/>
      </c>
      <c r="P359" s="4" t="str">
        <f>IF(A359="","",--(COUNTIFS($A$2:A359,A359,$F$2:F359,F359)=1))</f>
        <v/>
      </c>
    </row>
    <row r="360" spans="1:16">
      <c r="A360" s="5"/>
      <c r="O360" s="4" t="str">
        <f>IF(A360="","",--(COUNTIF($A$2:A360,A360)=1))</f>
        <v/>
      </c>
      <c r="P360" s="4" t="str">
        <f>IF(A360="","",--(COUNTIFS($A$2:A360,A360,$F$2:F360,F360)=1))</f>
        <v/>
      </c>
    </row>
    <row r="361" spans="1:16">
      <c r="A361" s="5"/>
      <c r="O361" s="4" t="str">
        <f>IF(A361="","",--(COUNTIF($A$2:A361,A361)=1))</f>
        <v/>
      </c>
      <c r="P361" s="4" t="str">
        <f>IF(A361="","",--(COUNTIFS($A$2:A361,A361,$F$2:F361,F361)=1))</f>
        <v/>
      </c>
    </row>
    <row r="362" spans="1:16">
      <c r="A362" s="5"/>
      <c r="O362" s="4" t="str">
        <f>IF(A362="","",--(COUNTIF($A$2:A362,A362)=1))</f>
        <v/>
      </c>
      <c r="P362" s="4" t="str">
        <f>IF(A362="","",--(COUNTIFS($A$2:A362,A362,$F$2:F362,F362)=1))</f>
        <v/>
      </c>
    </row>
    <row r="363" spans="1:16">
      <c r="A363" s="5"/>
      <c r="O363" s="4" t="str">
        <f>IF(A363="","",--(COUNTIF($A$2:A363,A363)=1))</f>
        <v/>
      </c>
      <c r="P363" s="4" t="str">
        <f>IF(A363="","",--(COUNTIFS($A$2:A363,A363,$F$2:F363,F363)=1))</f>
        <v/>
      </c>
    </row>
    <row r="364" spans="1:16">
      <c r="A364" s="5"/>
      <c r="O364" s="4" t="str">
        <f>IF(A364="","",--(COUNTIF($A$2:A364,A364)=1))</f>
        <v/>
      </c>
      <c r="P364" s="4" t="str">
        <f>IF(A364="","",--(COUNTIFS($A$2:A364,A364,$F$2:F364,F364)=1))</f>
        <v/>
      </c>
    </row>
    <row r="365" spans="1:16">
      <c r="A365" s="5"/>
      <c r="O365" s="4" t="str">
        <f>IF(A365="","",--(COUNTIF($A$2:A365,A365)=1))</f>
        <v/>
      </c>
      <c r="P365" s="4" t="str">
        <f>IF(A365="","",--(COUNTIFS($A$2:A365,A365,$F$2:F365,F365)=1))</f>
        <v/>
      </c>
    </row>
    <row r="366" spans="1:16">
      <c r="A366" s="5"/>
      <c r="O366" s="4" t="str">
        <f>IF(A366="","",--(COUNTIF($A$2:A366,A366)=1))</f>
        <v/>
      </c>
      <c r="P366" s="4" t="str">
        <f>IF(A366="","",--(COUNTIFS($A$2:A366,A366,$F$2:F366,F366)=1))</f>
        <v/>
      </c>
    </row>
    <row r="367" spans="1:16">
      <c r="A367" s="5"/>
      <c r="O367" s="4" t="str">
        <f>IF(A367="","",--(COUNTIF($A$2:A367,A367)=1))</f>
        <v/>
      </c>
      <c r="P367" s="4" t="str">
        <f>IF(A367="","",--(COUNTIFS($A$2:A367,A367,$F$2:F367,F367)=1))</f>
        <v/>
      </c>
    </row>
    <row r="368" spans="1:16">
      <c r="A368" s="5"/>
      <c r="O368" s="4" t="str">
        <f>IF(A368="","",--(COUNTIF($A$2:A368,A368)=1))</f>
        <v/>
      </c>
      <c r="P368" s="4" t="str">
        <f>IF(A368="","",--(COUNTIFS($A$2:A368,A368,$F$2:F368,F368)=1))</f>
        <v/>
      </c>
    </row>
    <row r="369" spans="1:16">
      <c r="A369" s="5"/>
      <c r="O369" s="4" t="str">
        <f>IF(A369="","",--(COUNTIF($A$2:A369,A369)=1))</f>
        <v/>
      </c>
      <c r="P369" s="4" t="str">
        <f>IF(A369="","",--(COUNTIFS($A$2:A369,A369,$F$2:F369,F369)=1))</f>
        <v/>
      </c>
    </row>
    <row r="370" spans="1:16">
      <c r="A370" s="5"/>
      <c r="O370" s="4" t="str">
        <f>IF(A370="","",--(COUNTIF($A$2:A370,A370)=1))</f>
        <v/>
      </c>
      <c r="P370" s="4" t="str">
        <f>IF(A370="","",--(COUNTIFS($A$2:A370,A370,$F$2:F370,F370)=1))</f>
        <v/>
      </c>
    </row>
    <row r="371" spans="1:16">
      <c r="A371" s="5"/>
      <c r="O371" s="4" t="str">
        <f>IF(A371="","",--(COUNTIF($A$2:A371,A371)=1))</f>
        <v/>
      </c>
      <c r="P371" s="4" t="str">
        <f>IF(A371="","",--(COUNTIFS($A$2:A371,A371,$F$2:F371,F371)=1))</f>
        <v/>
      </c>
    </row>
    <row r="372" spans="1:16">
      <c r="A372" s="5"/>
      <c r="O372" s="4" t="str">
        <f>IF(A372="","",--(COUNTIF($A$2:A372,A372)=1))</f>
        <v/>
      </c>
      <c r="P372" s="4" t="str">
        <f>IF(A372="","",--(COUNTIFS($A$2:A372,A372,$F$2:F372,F372)=1))</f>
        <v/>
      </c>
    </row>
    <row r="373" spans="1:16">
      <c r="A373" s="5"/>
      <c r="O373" s="4" t="str">
        <f>IF(A373="","",--(COUNTIF($A$2:A373,A373)=1))</f>
        <v/>
      </c>
      <c r="P373" s="4" t="str">
        <f>IF(A373="","",--(COUNTIFS($A$2:A373,A373,$F$2:F373,F373)=1))</f>
        <v/>
      </c>
    </row>
    <row r="374" spans="1:16">
      <c r="A374" s="5"/>
      <c r="O374" s="4" t="str">
        <f>IF(A374="","",--(COUNTIF($A$2:A374,A374)=1))</f>
        <v/>
      </c>
      <c r="P374" s="4" t="str">
        <f>IF(A374="","",--(COUNTIFS($A$2:A374,A374,$F$2:F374,F374)=1))</f>
        <v/>
      </c>
    </row>
    <row r="375" spans="1:16">
      <c r="A375" s="5"/>
      <c r="O375" s="4" t="str">
        <f>IF(A375="","",--(COUNTIF($A$2:A375,A375)=1))</f>
        <v/>
      </c>
      <c r="P375" s="4" t="str">
        <f>IF(A375="","",--(COUNTIFS($A$2:A375,A375,$F$2:F375,F375)=1))</f>
        <v/>
      </c>
    </row>
    <row r="376" spans="1:16">
      <c r="A376" s="5"/>
      <c r="O376" s="4" t="str">
        <f>IF(A376="","",--(COUNTIF($A$2:A376,A376)=1))</f>
        <v/>
      </c>
      <c r="P376" s="4" t="str">
        <f>IF(A376="","",--(COUNTIFS($A$2:A376,A376,$F$2:F376,F376)=1))</f>
        <v/>
      </c>
    </row>
    <row r="377" spans="1:16">
      <c r="A377" s="5"/>
      <c r="O377" s="4" t="str">
        <f>IF(A377="","",--(COUNTIF($A$2:A377,A377)=1))</f>
        <v/>
      </c>
      <c r="P377" s="4" t="str">
        <f>IF(A377="","",--(COUNTIFS($A$2:A377,A377,$F$2:F377,F377)=1))</f>
        <v/>
      </c>
    </row>
    <row r="378" spans="1:16">
      <c r="A378" s="5"/>
      <c r="O378" s="4" t="str">
        <f>IF(A378="","",--(COUNTIF($A$2:A378,A378)=1))</f>
        <v/>
      </c>
      <c r="P378" s="4" t="str">
        <f>IF(A378="","",--(COUNTIFS($A$2:A378,A378,$F$2:F378,F378)=1))</f>
        <v/>
      </c>
    </row>
    <row r="379" spans="1:16">
      <c r="A379" s="5"/>
      <c r="O379" s="4" t="str">
        <f>IF(A379="","",--(COUNTIF($A$2:A379,A379)=1))</f>
        <v/>
      </c>
      <c r="P379" s="4" t="str">
        <f>IF(A379="","",--(COUNTIFS($A$2:A379,A379,$F$2:F379,F379)=1))</f>
        <v/>
      </c>
    </row>
    <row r="380" spans="1:16">
      <c r="A380" s="5"/>
      <c r="O380" s="4" t="str">
        <f>IF(A380="","",--(COUNTIF($A$2:A380,A380)=1))</f>
        <v/>
      </c>
      <c r="P380" s="4" t="str">
        <f>IF(A380="","",--(COUNTIFS($A$2:A380,A380,$F$2:F380,F380)=1))</f>
        <v/>
      </c>
    </row>
    <row r="381" spans="1:16">
      <c r="A381" s="5"/>
      <c r="O381" s="4" t="str">
        <f>IF(A381="","",--(COUNTIF($A$2:A381,A381)=1))</f>
        <v/>
      </c>
      <c r="P381" s="4" t="str">
        <f>IF(A381="","",--(COUNTIFS($A$2:A381,A381,$F$2:F381,F381)=1))</f>
        <v/>
      </c>
    </row>
    <row r="382" spans="1:16">
      <c r="A382" s="5"/>
      <c r="O382" s="4" t="str">
        <f>IF(A382="","",--(COUNTIF($A$2:A382,A382)=1))</f>
        <v/>
      </c>
      <c r="P382" s="4" t="str">
        <f>IF(A382="","",--(COUNTIFS($A$2:A382,A382,$F$2:F382,F382)=1))</f>
        <v/>
      </c>
    </row>
    <row r="383" spans="1:16">
      <c r="A383" s="5"/>
      <c r="O383" s="4" t="str">
        <f>IF(A383="","",--(COUNTIF($A$2:A383,A383)=1))</f>
        <v/>
      </c>
      <c r="P383" s="4" t="str">
        <f>IF(A383="","",--(COUNTIFS($A$2:A383,A383,$F$2:F383,F383)=1))</f>
        <v/>
      </c>
    </row>
    <row r="384" spans="1:16">
      <c r="A384" s="5"/>
      <c r="O384" s="4" t="str">
        <f>IF(A384="","",--(COUNTIF($A$2:A384,A384)=1))</f>
        <v/>
      </c>
      <c r="P384" s="4" t="str">
        <f>IF(A384="","",--(COUNTIFS($A$2:A384,A384,$F$2:F384,F384)=1))</f>
        <v/>
      </c>
    </row>
    <row r="385" spans="1:16">
      <c r="A385" s="5"/>
      <c r="O385" s="4" t="str">
        <f>IF(A385="","",--(COUNTIF($A$2:A385,A385)=1))</f>
        <v/>
      </c>
      <c r="P385" s="4" t="str">
        <f>IF(A385="","",--(COUNTIFS($A$2:A385,A385,$F$2:F385,F385)=1))</f>
        <v/>
      </c>
    </row>
    <row r="386" spans="1:16">
      <c r="A386" s="5"/>
      <c r="O386" s="4" t="str">
        <f>IF(A386="","",--(COUNTIF($A$2:A386,A386)=1))</f>
        <v/>
      </c>
      <c r="P386" s="4" t="str">
        <f>IF(A386="","",--(COUNTIFS($A$2:A386,A386,$F$2:F386,F386)=1))</f>
        <v/>
      </c>
    </row>
    <row r="387" spans="1:16">
      <c r="A387" s="5"/>
      <c r="O387" s="4" t="str">
        <f>IF(A387="","",--(COUNTIF($A$2:A387,A387)=1))</f>
        <v/>
      </c>
      <c r="P387" s="4" t="str">
        <f>IF(A387="","",--(COUNTIFS($A$2:A387,A387,$F$2:F387,F387)=1))</f>
        <v/>
      </c>
    </row>
    <row r="388" spans="1:16">
      <c r="A388" s="5"/>
      <c r="O388" s="4" t="str">
        <f>IF(A388="","",--(COUNTIF($A$2:A388,A388)=1))</f>
        <v/>
      </c>
      <c r="P388" s="4" t="str">
        <f>IF(A388="","",--(COUNTIFS($A$2:A388,A388,$F$2:F388,F388)=1))</f>
        <v/>
      </c>
    </row>
    <row r="389" spans="1:16">
      <c r="A389" s="5"/>
      <c r="O389" s="4" t="str">
        <f>IF(A389="","",--(COUNTIF($A$2:A389,A389)=1))</f>
        <v/>
      </c>
      <c r="P389" s="4" t="str">
        <f>IF(A389="","",--(COUNTIFS($A$2:A389,A389,$F$2:F389,F389)=1))</f>
        <v/>
      </c>
    </row>
    <row r="390" spans="1:16">
      <c r="A390" s="5"/>
      <c r="O390" s="4" t="str">
        <f>IF(A390="","",--(COUNTIF($A$2:A390,A390)=1))</f>
        <v/>
      </c>
      <c r="P390" s="4" t="str">
        <f>IF(A390="","",--(COUNTIFS($A$2:A390,A390,$F$2:F390,F390)=1))</f>
        <v/>
      </c>
    </row>
    <row r="391" spans="1:16">
      <c r="A391" s="5"/>
      <c r="O391" s="4" t="str">
        <f>IF(A391="","",--(COUNTIF($A$2:A391,A391)=1))</f>
        <v/>
      </c>
      <c r="P391" s="4" t="str">
        <f>IF(A391="","",--(COUNTIFS($A$2:A391,A391,$F$2:F391,F391)=1))</f>
        <v/>
      </c>
    </row>
    <row r="392" spans="1:16">
      <c r="A392" s="5"/>
      <c r="O392" s="4" t="str">
        <f>IF(A392="","",--(COUNTIF($A$2:A392,A392)=1))</f>
        <v/>
      </c>
      <c r="P392" s="4" t="str">
        <f>IF(A392="","",--(COUNTIFS($A$2:A392,A392,$F$2:F392,F392)=1))</f>
        <v/>
      </c>
    </row>
    <row r="393" spans="1:16">
      <c r="A393" s="5"/>
      <c r="O393" s="4" t="str">
        <f>IF(A393="","",--(COUNTIF($A$2:A393,A393)=1))</f>
        <v/>
      </c>
      <c r="P393" s="4" t="str">
        <f>IF(A393="","",--(COUNTIFS($A$2:A393,A393,$F$2:F393,F393)=1))</f>
        <v/>
      </c>
    </row>
    <row r="394" spans="1:16">
      <c r="A394" s="5"/>
      <c r="O394" s="4" t="str">
        <f>IF(A394="","",--(COUNTIF($A$2:A394,A394)=1))</f>
        <v/>
      </c>
      <c r="P394" s="4" t="str">
        <f>IF(A394="","",--(COUNTIFS($A$2:A394,A394,$F$2:F394,F394)=1))</f>
        <v/>
      </c>
    </row>
    <row r="395" spans="1:16">
      <c r="A395" s="5"/>
      <c r="O395" s="4" t="str">
        <f>IF(A395="","",--(COUNTIF($A$2:A395,A395)=1))</f>
        <v/>
      </c>
      <c r="P395" s="4" t="str">
        <f>IF(A395="","",--(COUNTIFS($A$2:A395,A395,$F$2:F395,F395)=1))</f>
        <v/>
      </c>
    </row>
    <row r="396" spans="1:16">
      <c r="A396" s="5"/>
      <c r="O396" s="4" t="str">
        <f>IF(A396="","",--(COUNTIF($A$2:A396,A396)=1))</f>
        <v/>
      </c>
      <c r="P396" s="4" t="str">
        <f>IF(A396="","",--(COUNTIFS($A$2:A396,A396,$F$2:F396,F396)=1))</f>
        <v/>
      </c>
    </row>
    <row r="397" spans="1:16">
      <c r="A397" s="5"/>
      <c r="O397" s="4" t="str">
        <f>IF(A397="","",--(COUNTIF($A$2:A397,A397)=1))</f>
        <v/>
      </c>
      <c r="P397" s="4" t="str">
        <f>IF(A397="","",--(COUNTIFS($A$2:A397,A397,$F$2:F397,F397)=1))</f>
        <v/>
      </c>
    </row>
    <row r="398" spans="1:16">
      <c r="A398" s="5"/>
      <c r="O398" s="4" t="str">
        <f>IF(A398="","",--(COUNTIF($A$2:A398,A398)=1))</f>
        <v/>
      </c>
      <c r="P398" s="4" t="str">
        <f>IF(A398="","",--(COUNTIFS($A$2:A398,A398,$F$2:F398,F398)=1))</f>
        <v/>
      </c>
    </row>
    <row r="399" spans="1:16">
      <c r="A399" s="5"/>
      <c r="O399" s="4" t="str">
        <f>IF(A399="","",--(COUNTIF($A$2:A399,A399)=1))</f>
        <v/>
      </c>
      <c r="P399" s="4" t="str">
        <f>IF(A399="","",--(COUNTIFS($A$2:A399,A399,$F$2:F399,F399)=1))</f>
        <v/>
      </c>
    </row>
    <row r="400" spans="1:16">
      <c r="A400" s="5"/>
      <c r="O400" s="4" t="str">
        <f>IF(A400="","",--(COUNTIF($A$2:A400,A400)=1))</f>
        <v/>
      </c>
      <c r="P400" s="4" t="str">
        <f>IF(A400="","",--(COUNTIFS($A$2:A400,A400,$F$2:F400,F400)=1))</f>
        <v/>
      </c>
    </row>
    <row r="401" spans="1:16">
      <c r="A401" s="5"/>
      <c r="O401" s="4" t="str">
        <f>IF(A401="","",--(COUNTIF($A$2:A401,A401)=1))</f>
        <v/>
      </c>
      <c r="P401" s="4" t="str">
        <f>IF(A401="","",--(COUNTIFS($A$2:A401,A401,$F$2:F401,F401)=1))</f>
        <v/>
      </c>
    </row>
    <row r="402" spans="1:16">
      <c r="A402" s="5"/>
      <c r="O402" s="4" t="str">
        <f>IF(A402="","",--(COUNTIF($A$2:A402,A402)=1))</f>
        <v/>
      </c>
      <c r="P402" s="4" t="str">
        <f>IF(A402="","",--(COUNTIFS($A$2:A402,A402,$F$2:F402,F402)=1))</f>
        <v/>
      </c>
    </row>
    <row r="403" spans="1:16">
      <c r="A403" s="5"/>
      <c r="O403" s="4" t="str">
        <f>IF(A403="","",--(COUNTIF($A$2:A403,A403)=1))</f>
        <v/>
      </c>
      <c r="P403" s="4" t="str">
        <f>IF(A403="","",--(COUNTIFS($A$2:A403,A403,$F$2:F403,F403)=1))</f>
        <v/>
      </c>
    </row>
    <row r="404" spans="1:16">
      <c r="A404" s="5"/>
      <c r="O404" s="4" t="str">
        <f>IF(A404="","",--(COUNTIF($A$2:A404,A404)=1))</f>
        <v/>
      </c>
      <c r="P404" s="4" t="str">
        <f>IF(A404="","",--(COUNTIFS($A$2:A404,A404,$F$2:F404,F404)=1))</f>
        <v/>
      </c>
    </row>
    <row r="405" spans="1:16">
      <c r="A405" s="5"/>
      <c r="O405" s="4" t="str">
        <f>IF(A405="","",--(COUNTIF($A$2:A405,A405)=1))</f>
        <v/>
      </c>
      <c r="P405" s="4" t="str">
        <f>IF(A405="","",--(COUNTIFS($A$2:A405,A405,$F$2:F405,F405)=1))</f>
        <v/>
      </c>
    </row>
    <row r="406" spans="1:16">
      <c r="A406" s="5"/>
      <c r="O406" s="4" t="str">
        <f>IF(A406="","",--(COUNTIF($A$2:A406,A406)=1))</f>
        <v/>
      </c>
      <c r="P406" s="4" t="str">
        <f>IF(A406="","",--(COUNTIFS($A$2:A406,A406,$F$2:F406,F406)=1))</f>
        <v/>
      </c>
    </row>
    <row r="407" spans="1:16">
      <c r="A407" s="5"/>
      <c r="O407" s="4" t="str">
        <f>IF(A407="","",--(COUNTIF($A$2:A407,A407)=1))</f>
        <v/>
      </c>
      <c r="P407" s="4" t="str">
        <f>IF(A407="","",--(COUNTIFS($A$2:A407,A407,$F$2:F407,F407)=1))</f>
        <v/>
      </c>
    </row>
    <row r="408" spans="1:16">
      <c r="A408" s="5"/>
      <c r="O408" s="4" t="str">
        <f>IF(A408="","",--(COUNTIF($A$2:A408,A408)=1))</f>
        <v/>
      </c>
      <c r="P408" s="4" t="str">
        <f>IF(A408="","",--(COUNTIFS($A$2:A408,A408,$F$2:F408,F408)=1))</f>
        <v/>
      </c>
    </row>
    <row r="409" spans="1:16">
      <c r="A409" s="5"/>
      <c r="O409" s="4" t="str">
        <f>IF(A409="","",--(COUNTIF($A$2:A409,A409)=1))</f>
        <v/>
      </c>
      <c r="P409" s="4" t="str">
        <f>IF(A409="","",--(COUNTIFS($A$2:A409,A409,$F$2:F409,F409)=1))</f>
        <v/>
      </c>
    </row>
    <row r="410" spans="1:16">
      <c r="A410" s="5"/>
      <c r="O410" s="4" t="str">
        <f>IF(A410="","",--(COUNTIF($A$2:A410,A410)=1))</f>
        <v/>
      </c>
      <c r="P410" s="4" t="str">
        <f>IF(A410="","",--(COUNTIFS($A$2:A410,A410,$F$2:F410,F410)=1))</f>
        <v/>
      </c>
    </row>
    <row r="411" spans="1:16">
      <c r="A411" s="5"/>
      <c r="O411" s="4" t="str">
        <f>IF(A411="","",--(COUNTIF($A$2:A411,A411)=1))</f>
        <v/>
      </c>
      <c r="P411" s="4" t="str">
        <f>IF(A411="","",--(COUNTIFS($A$2:A411,A411,$F$2:F411,F411)=1))</f>
        <v/>
      </c>
    </row>
    <row r="412" spans="1:16">
      <c r="A412" s="5"/>
      <c r="O412" s="4" t="str">
        <f>IF(A412="","",--(COUNTIF($A$2:A412,A412)=1))</f>
        <v/>
      </c>
      <c r="P412" s="4" t="str">
        <f>IF(A412="","",--(COUNTIFS($A$2:A412,A412,$F$2:F412,F412)=1))</f>
        <v/>
      </c>
    </row>
    <row r="413" spans="1:16">
      <c r="A413" s="5"/>
      <c r="O413" s="4" t="str">
        <f>IF(A413="","",--(COUNTIF($A$2:A413,A413)=1))</f>
        <v/>
      </c>
      <c r="P413" s="4" t="str">
        <f>IF(A413="","",--(COUNTIFS($A$2:A413,A413,$F$2:F413,F413)=1))</f>
        <v/>
      </c>
    </row>
    <row r="414" spans="1:16">
      <c r="A414" s="5"/>
      <c r="O414" s="4" t="str">
        <f>IF(A414="","",--(COUNTIF($A$2:A414,A414)=1))</f>
        <v/>
      </c>
      <c r="P414" s="4" t="str">
        <f>IF(A414="","",--(COUNTIFS($A$2:A414,A414,$F$2:F414,F414)=1))</f>
        <v/>
      </c>
    </row>
    <row r="415" spans="1:16">
      <c r="A415" s="5"/>
      <c r="O415" s="4" t="str">
        <f>IF(A415="","",--(COUNTIF($A$2:A415,A415)=1))</f>
        <v/>
      </c>
      <c r="P415" s="4" t="str">
        <f>IF(A415="","",--(COUNTIFS($A$2:A415,A415,$F$2:F415,F415)=1))</f>
        <v/>
      </c>
    </row>
    <row r="416" spans="1:16">
      <c r="A416" s="5"/>
      <c r="O416" s="4" t="str">
        <f>IF(A416="","",--(COUNTIF($A$2:A416,A416)=1))</f>
        <v/>
      </c>
      <c r="P416" s="4" t="str">
        <f>IF(A416="","",--(COUNTIFS($A$2:A416,A416,$F$2:F416,F416)=1))</f>
        <v/>
      </c>
    </row>
    <row r="417" spans="1:16">
      <c r="A417" s="5"/>
      <c r="O417" s="4" t="str">
        <f>IF(A417="","",--(COUNTIF($A$2:A417,A417)=1))</f>
        <v/>
      </c>
      <c r="P417" s="4" t="str">
        <f>IF(A417="","",--(COUNTIFS($A$2:A417,A417,$F$2:F417,F417)=1))</f>
        <v/>
      </c>
    </row>
    <row r="418" spans="1:16">
      <c r="A418" s="5"/>
      <c r="O418" s="4" t="str">
        <f>IF(A418="","",--(COUNTIF($A$2:A418,A418)=1))</f>
        <v/>
      </c>
      <c r="P418" s="4" t="str">
        <f>IF(A418="","",--(COUNTIFS($A$2:A418,A418,$F$2:F418,F418)=1))</f>
        <v/>
      </c>
    </row>
    <row r="419" spans="1:16">
      <c r="A419" s="5"/>
      <c r="O419" s="4" t="str">
        <f>IF(A419="","",--(COUNTIF($A$2:A419,A419)=1))</f>
        <v/>
      </c>
      <c r="P419" s="4" t="str">
        <f>IF(A419="","",--(COUNTIFS($A$2:A419,A419,$F$2:F419,F419)=1))</f>
        <v/>
      </c>
    </row>
    <row r="420" spans="1:16">
      <c r="A420" s="5"/>
      <c r="O420" s="4" t="str">
        <f>IF(A420="","",--(COUNTIF($A$2:A420,A420)=1))</f>
        <v/>
      </c>
      <c r="P420" s="4" t="str">
        <f>IF(A420="","",--(COUNTIFS($A$2:A420,A420,$F$2:F420,F420)=1))</f>
        <v/>
      </c>
    </row>
    <row r="421" spans="1:16">
      <c r="A421" s="5"/>
      <c r="O421" s="4" t="str">
        <f>IF(A421="","",--(COUNTIF($A$2:A421,A421)=1))</f>
        <v/>
      </c>
      <c r="P421" s="4" t="str">
        <f>IF(A421="","",--(COUNTIFS($A$2:A421,A421,$F$2:F421,F421)=1))</f>
        <v/>
      </c>
    </row>
    <row r="422" spans="1:16">
      <c r="A422" s="5"/>
      <c r="O422" s="4" t="str">
        <f>IF(A422="","",--(COUNTIF($A$2:A422,A422)=1))</f>
        <v/>
      </c>
      <c r="P422" s="4" t="str">
        <f>IF(A422="","",--(COUNTIFS($A$2:A422,A422,$F$2:F422,F422)=1))</f>
        <v/>
      </c>
    </row>
    <row r="423" spans="1:16">
      <c r="A423" s="5"/>
      <c r="O423" s="4" t="str">
        <f>IF(A423="","",--(COUNTIF($A$2:A423,A423)=1))</f>
        <v/>
      </c>
      <c r="P423" s="4" t="str">
        <f>IF(A423="","",--(COUNTIFS($A$2:A423,A423,$F$2:F423,F423)=1))</f>
        <v/>
      </c>
    </row>
    <row r="424" spans="1:16">
      <c r="A424" s="5"/>
      <c r="O424" s="4" t="str">
        <f>IF(A424="","",--(COUNTIF($A$2:A424,A424)=1))</f>
        <v/>
      </c>
      <c r="P424" s="4" t="str">
        <f>IF(A424="","",--(COUNTIFS($A$2:A424,A424,$F$2:F424,F424)=1))</f>
        <v/>
      </c>
    </row>
    <row r="425" spans="1:16">
      <c r="A425" s="5"/>
      <c r="O425" s="4" t="str">
        <f>IF(A425="","",--(COUNTIF($A$2:A425,A425)=1))</f>
        <v/>
      </c>
      <c r="P425" s="4" t="str">
        <f>IF(A425="","",--(COUNTIFS($A$2:A425,A425,$F$2:F425,F425)=1))</f>
        <v/>
      </c>
    </row>
    <row r="426" spans="1:16">
      <c r="A426" s="5"/>
      <c r="O426" s="4" t="str">
        <f>IF(A426="","",--(COUNTIF($A$2:A426,A426)=1))</f>
        <v/>
      </c>
      <c r="P426" s="4" t="str">
        <f>IF(A426="","",--(COUNTIFS($A$2:A426,A426,$F$2:F426,F426)=1))</f>
        <v/>
      </c>
    </row>
    <row r="427" spans="1:16">
      <c r="A427" s="5"/>
      <c r="O427" s="4" t="str">
        <f>IF(A427="","",--(COUNTIF($A$2:A427,A427)=1))</f>
        <v/>
      </c>
      <c r="P427" s="4" t="str">
        <f>IF(A427="","",--(COUNTIFS($A$2:A427,A427,$F$2:F427,F427)=1))</f>
        <v/>
      </c>
    </row>
    <row r="428" spans="1:16">
      <c r="A428" s="5"/>
      <c r="O428" s="4" t="str">
        <f>IF(A428="","",--(COUNTIF($A$2:A428,A428)=1))</f>
        <v/>
      </c>
      <c r="P428" s="4" t="str">
        <f>IF(A428="","",--(COUNTIFS($A$2:A428,A428,$F$2:F428,F428)=1))</f>
        <v/>
      </c>
    </row>
    <row r="429" spans="1:16">
      <c r="A429" s="5"/>
      <c r="O429" s="4" t="str">
        <f>IF(A429="","",--(COUNTIF($A$2:A429,A429)=1))</f>
        <v/>
      </c>
      <c r="P429" s="4" t="str">
        <f>IF(A429="","",--(COUNTIFS($A$2:A429,A429,$F$2:F429,F429)=1))</f>
        <v/>
      </c>
    </row>
    <row r="430" spans="1:16">
      <c r="A430" s="5"/>
      <c r="O430" s="4" t="str">
        <f>IF(A430="","",--(COUNTIF($A$2:A430,A430)=1))</f>
        <v/>
      </c>
      <c r="P430" s="4" t="str">
        <f>IF(A430="","",--(COUNTIFS($A$2:A430,A430,$F$2:F430,F430)=1))</f>
        <v/>
      </c>
    </row>
    <row r="431" spans="1:16">
      <c r="A431" s="5"/>
      <c r="O431" s="4" t="str">
        <f>IF(A431="","",--(COUNTIF($A$2:A431,A431)=1))</f>
        <v/>
      </c>
      <c r="P431" s="4" t="str">
        <f>IF(A431="","",--(COUNTIFS($A$2:A431,A431,$F$2:F431,F431)=1))</f>
        <v/>
      </c>
    </row>
    <row r="432" spans="1:16">
      <c r="A432" s="5"/>
      <c r="O432" s="4" t="str">
        <f>IF(A432="","",--(COUNTIF($A$2:A432,A432)=1))</f>
        <v/>
      </c>
      <c r="P432" s="4" t="str">
        <f>IF(A432="","",--(COUNTIFS($A$2:A432,A432,$F$2:F432,F432)=1))</f>
        <v/>
      </c>
    </row>
    <row r="433" spans="1:16">
      <c r="A433" s="5"/>
      <c r="O433" s="4" t="str">
        <f>IF(A433="","",--(COUNTIF($A$2:A433,A433)=1))</f>
        <v/>
      </c>
      <c r="P433" s="4" t="str">
        <f>IF(A433="","",--(COUNTIFS($A$2:A433,A433,$F$2:F433,F433)=1))</f>
        <v/>
      </c>
    </row>
    <row r="434" spans="1:16">
      <c r="A434" s="5"/>
      <c r="O434" s="4" t="str">
        <f>IF(A434="","",--(COUNTIF($A$2:A434,A434)=1))</f>
        <v/>
      </c>
      <c r="P434" s="4" t="str">
        <f>IF(A434="","",--(COUNTIFS($A$2:A434,A434,$F$2:F434,F434)=1))</f>
        <v/>
      </c>
    </row>
    <row r="435" spans="1:16">
      <c r="A435" s="5"/>
      <c r="O435" s="4" t="str">
        <f>IF(A435="","",--(COUNTIF($A$2:A435,A435)=1))</f>
        <v/>
      </c>
      <c r="P435" s="4" t="str">
        <f>IF(A435="","",--(COUNTIFS($A$2:A435,A435,$F$2:F435,F435)=1))</f>
        <v/>
      </c>
    </row>
    <row r="436" spans="1:16">
      <c r="A436" s="5"/>
      <c r="O436" s="4" t="str">
        <f>IF(A436="","",--(COUNTIF($A$2:A436,A436)=1))</f>
        <v/>
      </c>
      <c r="P436" s="4" t="str">
        <f>IF(A436="","",--(COUNTIFS($A$2:A436,A436,$F$2:F436,F436)=1))</f>
        <v/>
      </c>
    </row>
    <row r="437" spans="1:16">
      <c r="A437" s="5"/>
      <c r="O437" s="4" t="str">
        <f>IF(A437="","",--(COUNTIF($A$2:A437,A437)=1))</f>
        <v/>
      </c>
      <c r="P437" s="4" t="str">
        <f>IF(A437="","",--(COUNTIFS($A$2:A437,A437,$F$2:F437,F437)=1))</f>
        <v/>
      </c>
    </row>
    <row r="438" spans="1:16">
      <c r="A438" s="5"/>
      <c r="O438" s="4" t="str">
        <f>IF(A438="","",--(COUNTIF($A$2:A438,A438)=1))</f>
        <v/>
      </c>
      <c r="P438" s="4" t="str">
        <f>IF(A438="","",--(COUNTIFS($A$2:A438,A438,$F$2:F438,F438)=1))</f>
        <v/>
      </c>
    </row>
    <row r="439" spans="1:16">
      <c r="A439" s="5"/>
      <c r="O439" s="4" t="str">
        <f>IF(A439="","",--(COUNTIF($A$2:A439,A439)=1))</f>
        <v/>
      </c>
      <c r="P439" s="4" t="str">
        <f>IF(A439="","",--(COUNTIFS($A$2:A439,A439,$F$2:F439,F439)=1))</f>
        <v/>
      </c>
    </row>
    <row r="440" spans="1:16">
      <c r="A440" s="5"/>
      <c r="O440" s="4" t="str">
        <f>IF(A440="","",--(COUNTIF($A$2:A440,A440)=1))</f>
        <v/>
      </c>
      <c r="P440" s="4" t="str">
        <f>IF(A440="","",--(COUNTIFS($A$2:A440,A440,$F$2:F440,F440)=1))</f>
        <v/>
      </c>
    </row>
    <row r="441" spans="1:16">
      <c r="A441" s="5"/>
      <c r="O441" s="4" t="str">
        <f>IF(A441="","",--(COUNTIF($A$2:A441,A441)=1))</f>
        <v/>
      </c>
      <c r="P441" s="4" t="str">
        <f>IF(A441="","",--(COUNTIFS($A$2:A441,A441,$F$2:F441,F441)=1))</f>
        <v/>
      </c>
    </row>
    <row r="442" spans="1:16">
      <c r="A442" s="5"/>
      <c r="O442" s="4" t="str">
        <f>IF(A442="","",--(COUNTIF($A$2:A442,A442)=1))</f>
        <v/>
      </c>
      <c r="P442" s="4" t="str">
        <f>IF(A442="","",--(COUNTIFS($A$2:A442,A442,$F$2:F442,F442)=1))</f>
        <v/>
      </c>
    </row>
    <row r="443" spans="1:16">
      <c r="A443" s="5"/>
      <c r="O443" s="4" t="str">
        <f>IF(A443="","",--(COUNTIF($A$2:A443,A443)=1))</f>
        <v/>
      </c>
      <c r="P443" s="4" t="str">
        <f>IF(A443="","",--(COUNTIFS($A$2:A443,A443,$F$2:F443,F443)=1))</f>
        <v/>
      </c>
    </row>
    <row r="444" spans="1:16">
      <c r="A444" s="5"/>
      <c r="O444" s="4" t="str">
        <f>IF(A444="","",--(COUNTIF($A$2:A444,A444)=1))</f>
        <v/>
      </c>
      <c r="P444" s="4" t="str">
        <f>IF(A444="","",--(COUNTIFS($A$2:A444,A444,$F$2:F444,F444)=1))</f>
        <v/>
      </c>
    </row>
    <row r="445" spans="1:16">
      <c r="A445" s="5"/>
      <c r="O445" s="4" t="str">
        <f>IF(A445="","",--(COUNTIF($A$2:A445,A445)=1))</f>
        <v/>
      </c>
      <c r="P445" s="4" t="str">
        <f>IF(A445="","",--(COUNTIFS($A$2:A445,A445,$F$2:F445,F445)=1))</f>
        <v/>
      </c>
    </row>
    <row r="446" spans="1:16">
      <c r="A446" s="5"/>
      <c r="O446" s="4" t="str">
        <f>IF(A446="","",--(COUNTIF($A$2:A446,A446)=1))</f>
        <v/>
      </c>
      <c r="P446" s="4" t="str">
        <f>IF(A446="","",--(COUNTIFS($A$2:A446,A446,$F$2:F446,F446)=1))</f>
        <v/>
      </c>
    </row>
    <row r="447" spans="1:16">
      <c r="A447" s="5"/>
      <c r="O447" s="4" t="str">
        <f>IF(A447="","",--(COUNTIF($A$2:A447,A447)=1))</f>
        <v/>
      </c>
      <c r="P447" s="4" t="str">
        <f>IF(A447="","",--(COUNTIFS($A$2:A447,A447,$F$2:F447,F447)=1))</f>
        <v/>
      </c>
    </row>
    <row r="448" spans="1:16">
      <c r="A448" s="5"/>
      <c r="O448" s="4" t="str">
        <f>IF(A448="","",--(COUNTIF($A$2:A448,A448)=1))</f>
        <v/>
      </c>
      <c r="P448" s="4" t="str">
        <f>IF(A448="","",--(COUNTIFS($A$2:A448,A448,$F$2:F448,F448)=1))</f>
        <v/>
      </c>
    </row>
    <row r="449" spans="1:16">
      <c r="A449" s="5"/>
      <c r="O449" s="4" t="str">
        <f>IF(A449="","",--(COUNTIF($A$2:A449,A449)=1))</f>
        <v/>
      </c>
      <c r="P449" s="4" t="str">
        <f>IF(A449="","",--(COUNTIFS($A$2:A449,A449,$F$2:F449,F449)=1))</f>
        <v/>
      </c>
    </row>
    <row r="450" spans="1:16">
      <c r="A450" s="5"/>
      <c r="O450" s="4" t="str">
        <f>IF(A450="","",--(COUNTIF($A$2:A450,A450)=1))</f>
        <v/>
      </c>
      <c r="P450" s="4" t="str">
        <f>IF(A450="","",--(COUNTIFS($A$2:A450,A450,$F$2:F450,F450)=1))</f>
        <v/>
      </c>
    </row>
    <row r="451" spans="1:16">
      <c r="A451" s="5"/>
      <c r="O451" s="4" t="str">
        <f>IF(A451="","",--(COUNTIF($A$2:A451,A451)=1))</f>
        <v/>
      </c>
      <c r="P451" s="4" t="str">
        <f>IF(A451="","",--(COUNTIFS($A$2:A451,A451,$F$2:F451,F451)=1))</f>
        <v/>
      </c>
    </row>
    <row r="452" spans="1:16">
      <c r="A452" s="5"/>
      <c r="O452" s="4" t="str">
        <f>IF(A452="","",--(COUNTIF($A$2:A452,A452)=1))</f>
        <v/>
      </c>
      <c r="P452" s="4" t="str">
        <f>IF(A452="","",--(COUNTIFS($A$2:A452,A452,$F$2:F452,F452)=1))</f>
        <v/>
      </c>
    </row>
    <row r="453" spans="1:16">
      <c r="A453" s="5"/>
      <c r="O453" s="4" t="str">
        <f>IF(A453="","",--(COUNTIF($A$2:A453,A453)=1))</f>
        <v/>
      </c>
      <c r="P453" s="4" t="str">
        <f>IF(A453="","",--(COUNTIFS($A$2:A453,A453,$F$2:F453,F453)=1))</f>
        <v/>
      </c>
    </row>
    <row r="454" spans="1:16">
      <c r="A454" s="5"/>
      <c r="O454" s="4" t="str">
        <f>IF(A454="","",--(COUNTIF($A$2:A454,A454)=1))</f>
        <v/>
      </c>
      <c r="P454" s="4" t="str">
        <f>IF(A454="","",--(COUNTIFS($A$2:A454,A454,$F$2:F454,F454)=1))</f>
        <v/>
      </c>
    </row>
    <row r="455" spans="1:16">
      <c r="A455" s="5"/>
      <c r="O455" s="4" t="str">
        <f>IF(A455="","",--(COUNTIF($A$2:A455,A455)=1))</f>
        <v/>
      </c>
      <c r="P455" s="4" t="str">
        <f>IF(A455="","",--(COUNTIFS($A$2:A455,A455,$F$2:F455,F455)=1))</f>
        <v/>
      </c>
    </row>
    <row r="456" spans="1:16">
      <c r="A456" s="5"/>
      <c r="O456" s="4" t="str">
        <f>IF(A456="","",--(COUNTIF($A$2:A456,A456)=1))</f>
        <v/>
      </c>
      <c r="P456" s="4" t="str">
        <f>IF(A456="","",--(COUNTIFS($A$2:A456,A456,$F$2:F456,F456)=1))</f>
        <v/>
      </c>
    </row>
    <row r="457" spans="1:16">
      <c r="A457" s="5"/>
      <c r="O457" s="4" t="str">
        <f>IF(A457="","",--(COUNTIF($A$2:A457,A457)=1))</f>
        <v/>
      </c>
      <c r="P457" s="4" t="str">
        <f>IF(A457="","",--(COUNTIFS($A$2:A457,A457,$F$2:F457,F457)=1))</f>
        <v/>
      </c>
    </row>
    <row r="458" spans="1:16">
      <c r="A458" s="5"/>
      <c r="O458" s="4" t="str">
        <f>IF(A458="","",--(COUNTIF($A$2:A458,A458)=1))</f>
        <v/>
      </c>
      <c r="P458" s="4" t="str">
        <f>IF(A458="","",--(COUNTIFS($A$2:A458,A458,$F$2:F458,F458)=1))</f>
        <v/>
      </c>
    </row>
    <row r="459" spans="1:16">
      <c r="A459" s="5"/>
      <c r="O459" s="4" t="str">
        <f>IF(A459="","",--(COUNTIF($A$2:A459,A459)=1))</f>
        <v/>
      </c>
      <c r="P459" s="4" t="str">
        <f>IF(A459="","",--(COUNTIFS($A$2:A459,A459,$F$2:F459,F459)=1))</f>
        <v/>
      </c>
    </row>
    <row r="460" spans="1:16">
      <c r="A460" s="5"/>
      <c r="O460" s="4" t="str">
        <f>IF(A460="","",--(COUNTIF($A$2:A460,A460)=1))</f>
        <v/>
      </c>
      <c r="P460" s="4" t="str">
        <f>IF(A460="","",--(COUNTIFS($A$2:A460,A460,$F$2:F460,F460)=1))</f>
        <v/>
      </c>
    </row>
    <row r="461" spans="1:16">
      <c r="A461" s="5"/>
      <c r="O461" s="4" t="str">
        <f>IF(A461="","",--(COUNTIF($A$2:A461,A461)=1))</f>
        <v/>
      </c>
      <c r="P461" s="4" t="str">
        <f>IF(A461="","",--(COUNTIFS($A$2:A461,A461,$F$2:F461,F461)=1))</f>
        <v/>
      </c>
    </row>
    <row r="462" spans="1:16">
      <c r="A462" s="5"/>
      <c r="O462" s="4" t="str">
        <f>IF(A462="","",--(COUNTIF($A$2:A462,A462)=1))</f>
        <v/>
      </c>
      <c r="P462" s="4" t="str">
        <f>IF(A462="","",--(COUNTIFS($A$2:A462,A462,$F$2:F462,F462)=1))</f>
        <v/>
      </c>
    </row>
    <row r="463" spans="1:16">
      <c r="A463" s="5"/>
      <c r="O463" s="4" t="str">
        <f>IF(A463="","",--(COUNTIF($A$2:A463,A463)=1))</f>
        <v/>
      </c>
      <c r="P463" s="4" t="str">
        <f>IF(A463="","",--(COUNTIFS($A$2:A463,A463,$F$2:F463,F463)=1))</f>
        <v/>
      </c>
    </row>
    <row r="464" spans="1:16">
      <c r="A464" s="5"/>
      <c r="O464" s="4" t="str">
        <f>IF(A464="","",--(COUNTIF($A$2:A464,A464)=1))</f>
        <v/>
      </c>
      <c r="P464" s="4" t="str">
        <f>IF(A464="","",--(COUNTIFS($A$2:A464,A464,$F$2:F464,F464)=1))</f>
        <v/>
      </c>
    </row>
    <row r="465" spans="1:16">
      <c r="A465" s="5"/>
      <c r="O465" s="4" t="str">
        <f>IF(A465="","",--(COUNTIF($A$2:A465,A465)=1))</f>
        <v/>
      </c>
      <c r="P465" s="4" t="str">
        <f>IF(A465="","",--(COUNTIFS($A$2:A465,A465,$F$2:F465,F465)=1))</f>
        <v/>
      </c>
    </row>
    <row r="466" spans="1:16">
      <c r="A466" s="5"/>
      <c r="O466" s="4" t="str">
        <f>IF(A466="","",--(COUNTIF($A$2:A466,A466)=1))</f>
        <v/>
      </c>
      <c r="P466" s="4" t="str">
        <f>IF(A466="","",--(COUNTIFS($A$2:A466,A466,$F$2:F466,F466)=1))</f>
        <v/>
      </c>
    </row>
    <row r="467" spans="1:16">
      <c r="A467" s="5"/>
      <c r="O467" s="4" t="str">
        <f>IF(A467="","",--(COUNTIF($A$2:A467,A467)=1))</f>
        <v/>
      </c>
      <c r="P467" s="4" t="str">
        <f>IF(A467="","",--(COUNTIFS($A$2:A467,A467,$F$2:F467,F467)=1))</f>
        <v/>
      </c>
    </row>
    <row r="468" spans="1:16">
      <c r="A468" s="5"/>
      <c r="O468" s="4" t="str">
        <f>IF(A468="","",--(COUNTIF($A$2:A468,A468)=1))</f>
        <v/>
      </c>
      <c r="P468" s="4" t="str">
        <f>IF(A468="","",--(COUNTIFS($A$2:A468,A468,$F$2:F468,F468)=1))</f>
        <v/>
      </c>
    </row>
    <row r="469" spans="1:16">
      <c r="A469" s="5"/>
      <c r="O469" s="4" t="str">
        <f>IF(A469="","",--(COUNTIF($A$2:A469,A469)=1))</f>
        <v/>
      </c>
      <c r="P469" s="4" t="str">
        <f>IF(A469="","",--(COUNTIFS($A$2:A469,A469,$F$2:F469,F469)=1))</f>
        <v/>
      </c>
    </row>
    <row r="470" spans="1:16">
      <c r="A470" s="5"/>
      <c r="O470" s="4" t="str">
        <f>IF(A470="","",--(COUNTIF($A$2:A470,A470)=1))</f>
        <v/>
      </c>
      <c r="P470" s="4" t="str">
        <f>IF(A470="","",--(COUNTIFS($A$2:A470,A470,$F$2:F470,F470)=1))</f>
        <v/>
      </c>
    </row>
    <row r="471" spans="1:16">
      <c r="A471" s="5"/>
      <c r="O471" s="4" t="str">
        <f>IF(A471="","",--(COUNTIF($A$2:A471,A471)=1))</f>
        <v/>
      </c>
      <c r="P471" s="4" t="str">
        <f>IF(A471="","",--(COUNTIFS($A$2:A471,A471,$F$2:F471,F471)=1))</f>
        <v/>
      </c>
    </row>
    <row r="472" spans="1:16">
      <c r="A472" s="5"/>
      <c r="O472" s="4" t="str">
        <f>IF(A472="","",--(COUNTIF($A$2:A472,A472)=1))</f>
        <v/>
      </c>
      <c r="P472" s="4" t="str">
        <f>IF(A472="","",--(COUNTIFS($A$2:A472,A472,$F$2:F472,F472)=1))</f>
        <v/>
      </c>
    </row>
    <row r="473" spans="1:16">
      <c r="A473" s="5"/>
      <c r="O473" s="4" t="str">
        <f>IF(A473="","",--(COUNTIF($A$2:A473,A473)=1))</f>
        <v/>
      </c>
      <c r="P473" s="4" t="str">
        <f>IF(A473="","",--(COUNTIFS($A$2:A473,A473,$F$2:F473,F473)=1))</f>
        <v/>
      </c>
    </row>
    <row r="474" spans="1:16">
      <c r="A474" s="5"/>
      <c r="O474" s="4" t="str">
        <f>IF(A474="","",--(COUNTIF($A$2:A474,A474)=1))</f>
        <v/>
      </c>
      <c r="P474" s="4" t="str">
        <f>IF(A474="","",--(COUNTIFS($A$2:A474,A474,$F$2:F474,F474)=1))</f>
        <v/>
      </c>
    </row>
    <row r="475" spans="1:16">
      <c r="A475" s="5"/>
      <c r="O475" s="4" t="str">
        <f>IF(A475="","",--(COUNTIF($A$2:A475,A475)=1))</f>
        <v/>
      </c>
      <c r="P475" s="4" t="str">
        <f>IF(A475="","",--(COUNTIFS($A$2:A475,A475,$F$2:F475,F475)=1))</f>
        <v/>
      </c>
    </row>
    <row r="476" spans="1:16">
      <c r="A476" s="5"/>
      <c r="O476" s="4" t="str">
        <f>IF(A476="","",--(COUNTIF($A$2:A476,A476)=1))</f>
        <v/>
      </c>
      <c r="P476" s="4" t="str">
        <f>IF(A476="","",--(COUNTIFS($A$2:A476,A476,$F$2:F476,F476)=1))</f>
        <v/>
      </c>
    </row>
    <row r="477" spans="1:16">
      <c r="A477" s="5"/>
      <c r="O477" s="4" t="str">
        <f>IF(A477="","",--(COUNTIF($A$2:A477,A477)=1))</f>
        <v/>
      </c>
      <c r="P477" s="4" t="str">
        <f>IF(A477="","",--(COUNTIFS($A$2:A477,A477,$F$2:F477,F477)=1))</f>
        <v/>
      </c>
    </row>
    <row r="478" spans="1:16">
      <c r="A478" s="5"/>
      <c r="O478" s="4" t="str">
        <f>IF(A478="","",--(COUNTIF($A$2:A478,A478)=1))</f>
        <v/>
      </c>
      <c r="P478" s="4" t="str">
        <f>IF(A478="","",--(COUNTIFS($A$2:A478,A478,$F$2:F478,F478)=1))</f>
        <v/>
      </c>
    </row>
    <row r="479" spans="1:16">
      <c r="A479" s="5"/>
      <c r="O479" s="4" t="str">
        <f>IF(A479="","",--(COUNTIF($A$2:A479,A479)=1))</f>
        <v/>
      </c>
      <c r="P479" s="4" t="str">
        <f>IF(A479="","",--(COUNTIFS($A$2:A479,A479,$F$2:F479,F479)=1))</f>
        <v/>
      </c>
    </row>
    <row r="480" spans="1:16">
      <c r="A480" s="5"/>
      <c r="O480" s="4" t="str">
        <f>IF(A480="","",--(COUNTIF($A$2:A480,A480)=1))</f>
        <v/>
      </c>
      <c r="P480" s="4" t="str">
        <f>IF(A480="","",--(COUNTIFS($A$2:A480,A480,$F$2:F480,F480)=1))</f>
        <v/>
      </c>
    </row>
    <row r="481" spans="1:16">
      <c r="A481" s="5"/>
      <c r="O481" s="4" t="str">
        <f>IF(A481="","",--(COUNTIF($A$2:A481,A481)=1))</f>
        <v/>
      </c>
      <c r="P481" s="4" t="str">
        <f>IF(A481="","",--(COUNTIFS($A$2:A481,A481,$F$2:F481,F481)=1))</f>
        <v/>
      </c>
    </row>
    <row r="482" spans="1:16">
      <c r="A482" s="5"/>
      <c r="O482" s="4" t="str">
        <f>IF(A482="","",--(COUNTIF($A$2:A482,A482)=1))</f>
        <v/>
      </c>
      <c r="P482" s="4" t="str">
        <f>IF(A482="","",--(COUNTIFS($A$2:A482,A482,$F$2:F482,F482)=1))</f>
        <v/>
      </c>
    </row>
    <row r="483" spans="1:16">
      <c r="A483" s="5"/>
      <c r="O483" s="4" t="str">
        <f>IF(A483="","",--(COUNTIF($A$2:A483,A483)=1))</f>
        <v/>
      </c>
      <c r="P483" s="4" t="str">
        <f>IF(A483="","",--(COUNTIFS($A$2:A483,A483,$F$2:F483,F483)=1))</f>
        <v/>
      </c>
    </row>
    <row r="484" spans="1:16">
      <c r="A484" s="5"/>
      <c r="O484" s="4" t="str">
        <f>IF(A484="","",--(COUNTIF($A$2:A484,A484)=1))</f>
        <v/>
      </c>
      <c r="P484" s="4" t="str">
        <f>IF(A484="","",--(COUNTIFS($A$2:A484,A484,$F$2:F484,F484)=1))</f>
        <v/>
      </c>
    </row>
    <row r="485" spans="1:16">
      <c r="A485" s="5"/>
      <c r="O485" s="4" t="str">
        <f>IF(A485="","",--(COUNTIF($A$2:A485,A485)=1))</f>
        <v/>
      </c>
      <c r="P485" s="4" t="str">
        <f>IF(A485="","",--(COUNTIFS($A$2:A485,A485,$F$2:F485,F485)=1))</f>
        <v/>
      </c>
    </row>
    <row r="486" spans="1:16">
      <c r="A486" s="5"/>
      <c r="O486" s="4" t="str">
        <f>IF(A486="","",--(COUNTIF($A$2:A486,A486)=1))</f>
        <v/>
      </c>
      <c r="P486" s="4" t="str">
        <f>IF(A486="","",--(COUNTIFS($A$2:A486,A486,$F$2:F486,F486)=1))</f>
        <v/>
      </c>
    </row>
    <row r="487" spans="1:16">
      <c r="A487" s="5"/>
      <c r="O487" s="4" t="str">
        <f>IF(A487="","",--(COUNTIF($A$2:A487,A487)=1))</f>
        <v/>
      </c>
      <c r="P487" s="4" t="str">
        <f>IF(A487="","",--(COUNTIFS($A$2:A487,A487,$F$2:F487,F487)=1))</f>
        <v/>
      </c>
    </row>
    <row r="488" spans="1:16">
      <c r="A488" s="5"/>
      <c r="O488" s="4" t="str">
        <f>IF(A488="","",--(COUNTIF($A$2:A488,A488)=1))</f>
        <v/>
      </c>
      <c r="P488" s="4" t="str">
        <f>IF(A488="","",--(COUNTIFS($A$2:A488,A488,$F$2:F488,F488)=1))</f>
        <v/>
      </c>
    </row>
    <row r="489" spans="1:16">
      <c r="A489" s="5"/>
      <c r="O489" s="4" t="str">
        <f>IF(A489="","",--(COUNTIF($A$2:A489,A489)=1))</f>
        <v/>
      </c>
      <c r="P489" s="4" t="str">
        <f>IF(A489="","",--(COUNTIFS($A$2:A489,A489,$F$2:F489,F489)=1))</f>
        <v/>
      </c>
    </row>
    <row r="490" spans="1:16">
      <c r="A490" s="5"/>
      <c r="O490" s="4" t="str">
        <f>IF(A490="","",--(COUNTIF($A$2:A490,A490)=1))</f>
        <v/>
      </c>
      <c r="P490" s="4" t="str">
        <f>IF(A490="","",--(COUNTIFS($A$2:A490,A490,$F$2:F490,F490)=1))</f>
        <v/>
      </c>
    </row>
    <row r="491" spans="1:16">
      <c r="A491" s="5"/>
      <c r="O491" s="4" t="str">
        <f>IF(A491="","",--(COUNTIF($A$2:A491,A491)=1))</f>
        <v/>
      </c>
      <c r="P491" s="4" t="str">
        <f>IF(A491="","",--(COUNTIFS($A$2:A491,A491,$F$2:F491,F491)=1))</f>
        <v/>
      </c>
    </row>
    <row r="492" spans="1:16">
      <c r="A492" s="5"/>
      <c r="O492" s="4" t="str">
        <f>IF(A492="","",--(COUNTIF($A$2:A492,A492)=1))</f>
        <v/>
      </c>
      <c r="P492" s="4" t="str">
        <f>IF(A492="","",--(COUNTIFS($A$2:A492,A492,$F$2:F492,F492)=1))</f>
        <v/>
      </c>
    </row>
    <row r="493" spans="1:16">
      <c r="A493" s="5"/>
      <c r="O493" s="4" t="str">
        <f>IF(A493="","",--(COUNTIF($A$2:A493,A493)=1))</f>
        <v/>
      </c>
      <c r="P493" s="4" t="str">
        <f>IF(A493="","",--(COUNTIFS($A$2:A493,A493,$F$2:F493,F493)=1))</f>
        <v/>
      </c>
    </row>
    <row r="494" spans="1:16">
      <c r="A494" s="5"/>
      <c r="O494" s="4" t="str">
        <f>IF(A494="","",--(COUNTIF($A$2:A494,A494)=1))</f>
        <v/>
      </c>
      <c r="P494" s="4" t="str">
        <f>IF(A494="","",--(COUNTIFS($A$2:A494,A494,$F$2:F494,F494)=1))</f>
        <v/>
      </c>
    </row>
    <row r="495" spans="1:16">
      <c r="A495" s="5"/>
      <c r="O495" s="4" t="str">
        <f>IF(A495="","",--(COUNTIF($A$2:A495,A495)=1))</f>
        <v/>
      </c>
      <c r="P495" s="4" t="str">
        <f>IF(A495="","",--(COUNTIFS($A$2:A495,A495,$F$2:F495,F495)=1))</f>
        <v/>
      </c>
    </row>
    <row r="496" spans="1:16">
      <c r="A496" s="5"/>
      <c r="O496" s="4" t="str">
        <f>IF(A496="","",--(COUNTIF($A$2:A496,A496)=1))</f>
        <v/>
      </c>
      <c r="P496" s="4" t="str">
        <f>IF(A496="","",--(COUNTIFS($A$2:A496,A496,$F$2:F496,F496)=1))</f>
        <v/>
      </c>
    </row>
    <row r="497" spans="1:16">
      <c r="A497" s="5"/>
      <c r="O497" s="4" t="str">
        <f>IF(A497="","",--(COUNTIF($A$2:A497,A497)=1))</f>
        <v/>
      </c>
      <c r="P497" s="4" t="str">
        <f>IF(A497="","",--(COUNTIFS($A$2:A497,A497,$F$2:F497,F497)=1))</f>
        <v/>
      </c>
    </row>
    <row r="498" spans="1:16">
      <c r="A498" s="5"/>
      <c r="O498" s="4" t="str">
        <f>IF(A498="","",--(COUNTIF($A$2:A498,A498)=1))</f>
        <v/>
      </c>
      <c r="P498" s="4" t="str">
        <f>IF(A498="","",--(COUNTIFS($A$2:A498,A498,$F$2:F498,F498)=1))</f>
        <v/>
      </c>
    </row>
    <row r="499" spans="1:16">
      <c r="A499" s="5"/>
      <c r="O499" s="4" t="str">
        <f>IF(A499="","",--(COUNTIF($A$2:A499,A499)=1))</f>
        <v/>
      </c>
      <c r="P499" s="4" t="str">
        <f>IF(A499="","",--(COUNTIFS($A$2:A499,A499,$F$2:F499,F499)=1))</f>
        <v/>
      </c>
    </row>
    <row r="500" spans="1:16">
      <c r="A500" s="5"/>
      <c r="O500" s="4" t="str">
        <f>IF(A500="","",--(COUNTIF($A$2:A500,A500)=1))</f>
        <v/>
      </c>
      <c r="P500" s="4" t="str">
        <f>IF(A500="","",--(COUNTIFS($A$2:A500,A500,$F$2:F500,F500)=1))</f>
        <v/>
      </c>
    </row>
    <row r="501" spans="1:16">
      <c r="A501" s="5"/>
      <c r="O501" s="4" t="str">
        <f>IF(A501="","",--(COUNTIF($A$2:A501,A501)=1))</f>
        <v/>
      </c>
      <c r="P501" s="4" t="str">
        <f>IF(A501="","",--(COUNTIFS($A$2:A501,A501,$F$2:F501,F501)=1))</f>
        <v/>
      </c>
    </row>
    <row r="502" spans="1:16">
      <c r="A502" s="5"/>
      <c r="O502" s="4" t="str">
        <f>IF(A502="","",--(COUNTIF($A$2:A502,A502)=1))</f>
        <v/>
      </c>
      <c r="P502" s="4" t="str">
        <f>IF(A502="","",--(COUNTIFS($A$2:A502,A502,$F$2:F502,F502)=1))</f>
        <v/>
      </c>
    </row>
    <row r="503" spans="1:16">
      <c r="A503" s="5"/>
      <c r="O503" s="4" t="str">
        <f>IF(A503="","",--(COUNTIF($A$2:A503,A503)=1))</f>
        <v/>
      </c>
      <c r="P503" s="4" t="str">
        <f>IF(A503="","",--(COUNTIFS($A$2:A503,A503,$F$2:F503,F503)=1))</f>
        <v/>
      </c>
    </row>
    <row r="504" spans="1:16">
      <c r="A504" s="5"/>
      <c r="O504" s="4" t="str">
        <f>IF(A504="","",--(COUNTIF($A$2:A504,A504)=1))</f>
        <v/>
      </c>
      <c r="P504" s="4" t="str">
        <f>IF(A504="","",--(COUNTIFS($A$2:A504,A504,$F$2:F504,F504)=1))</f>
        <v/>
      </c>
    </row>
    <row r="505" spans="1:16">
      <c r="A505" s="5"/>
      <c r="O505" s="4" t="str">
        <f>IF(A505="","",--(COUNTIF($A$2:A505,A505)=1))</f>
        <v/>
      </c>
      <c r="P505" s="4" t="str">
        <f>IF(A505="","",--(COUNTIFS($A$2:A505,A505,$F$2:F505,F505)=1))</f>
        <v/>
      </c>
    </row>
    <row r="506" spans="1:16">
      <c r="A506" s="5"/>
      <c r="O506" s="4" t="str">
        <f>IF(A506="","",--(COUNTIF($A$2:A506,A506)=1))</f>
        <v/>
      </c>
      <c r="P506" s="4" t="str">
        <f>IF(A506="","",--(COUNTIFS($A$2:A506,A506,$F$2:F506,F506)=1))</f>
        <v/>
      </c>
    </row>
    <row r="507" spans="1:16">
      <c r="A507" s="5"/>
      <c r="O507" s="4" t="str">
        <f>IF(A507="","",--(COUNTIF($A$2:A507,A507)=1))</f>
        <v/>
      </c>
      <c r="P507" s="4" t="str">
        <f>IF(A507="","",--(COUNTIFS($A$2:A507,A507,$F$2:F507,F507)=1))</f>
        <v/>
      </c>
    </row>
    <row r="508" spans="1:16">
      <c r="A508" s="5"/>
      <c r="O508" s="4" t="str">
        <f>IF(A508="","",--(COUNTIF($A$2:A508,A508)=1))</f>
        <v/>
      </c>
      <c r="P508" s="4" t="str">
        <f>IF(A508="","",--(COUNTIFS($A$2:A508,A508,$F$2:F508,F508)=1))</f>
        <v/>
      </c>
    </row>
    <row r="509" spans="1:16">
      <c r="A509" s="5"/>
      <c r="O509" s="4" t="str">
        <f>IF(A509="","",--(COUNTIF($A$2:A509,A509)=1))</f>
        <v/>
      </c>
      <c r="P509" s="4" t="str">
        <f>IF(A509="","",--(COUNTIFS($A$2:A509,A509,$F$2:F509,F509)=1))</f>
        <v/>
      </c>
    </row>
    <row r="510" spans="1:16">
      <c r="A510" s="5"/>
      <c r="O510" s="4" t="str">
        <f>IF(A510="","",--(COUNTIF($A$2:A510,A510)=1))</f>
        <v/>
      </c>
      <c r="P510" s="4" t="str">
        <f>IF(A510="","",--(COUNTIFS($A$2:A510,A510,$F$2:F510,F510)=1))</f>
        <v/>
      </c>
    </row>
    <row r="511" spans="1:16">
      <c r="A511" s="5"/>
      <c r="O511" s="4" t="str">
        <f>IF(A511="","",--(COUNTIF($A$2:A511,A511)=1))</f>
        <v/>
      </c>
      <c r="P511" s="4" t="str">
        <f>IF(A511="","",--(COUNTIFS($A$2:A511,A511,$F$2:F511,F511)=1))</f>
        <v/>
      </c>
    </row>
    <row r="512" spans="1:16">
      <c r="A512" s="5"/>
      <c r="O512" s="4" t="str">
        <f>IF(A512="","",--(COUNTIF($A$2:A512,A512)=1))</f>
        <v/>
      </c>
      <c r="P512" s="4" t="str">
        <f>IF(A512="","",--(COUNTIFS($A$2:A512,A512,$F$2:F512,F512)=1))</f>
        <v/>
      </c>
    </row>
    <row r="513" spans="1:16">
      <c r="A513" s="5"/>
      <c r="O513" s="4" t="str">
        <f>IF(A513="","",--(COUNTIF($A$2:A513,A513)=1))</f>
        <v/>
      </c>
      <c r="P513" s="4" t="str">
        <f>IF(A513="","",--(COUNTIFS($A$2:A513,A513,$F$2:F513,F513)=1))</f>
        <v/>
      </c>
    </row>
    <row r="514" spans="1:16">
      <c r="A514" s="5"/>
      <c r="O514" s="4" t="str">
        <f>IF(A514="","",--(COUNTIF($A$2:A514,A514)=1))</f>
        <v/>
      </c>
      <c r="P514" s="4" t="str">
        <f>IF(A514="","",--(COUNTIFS($A$2:A514,A514,$F$2:F514,F514)=1))</f>
        <v/>
      </c>
    </row>
    <row r="515" spans="1:16">
      <c r="A515" s="5"/>
      <c r="O515" s="4" t="str">
        <f>IF(A515="","",--(COUNTIF($A$2:A515,A515)=1))</f>
        <v/>
      </c>
      <c r="P515" s="4" t="str">
        <f>IF(A515="","",--(COUNTIFS($A$2:A515,A515,$F$2:F515,F515)=1))</f>
        <v/>
      </c>
    </row>
    <row r="516" spans="1:16">
      <c r="A516" s="5"/>
      <c r="O516" s="4" t="str">
        <f>IF(A516="","",--(COUNTIF($A$2:A516,A516)=1))</f>
        <v/>
      </c>
      <c r="P516" s="4" t="str">
        <f>IF(A516="","",--(COUNTIFS($A$2:A516,A516,$F$2:F516,F516)=1))</f>
        <v/>
      </c>
    </row>
    <row r="517" spans="1:16">
      <c r="A517" s="5"/>
      <c r="O517" s="4" t="str">
        <f>IF(A517="","",--(COUNTIF($A$2:A517,A517)=1))</f>
        <v/>
      </c>
      <c r="P517" s="4" t="str">
        <f>IF(A517="","",--(COUNTIFS($A$2:A517,A517,$F$2:F517,F517)=1))</f>
        <v/>
      </c>
    </row>
    <row r="518" spans="1:16">
      <c r="A518" s="5"/>
      <c r="O518" s="4" t="str">
        <f>IF(A518="","",--(COUNTIF($A$2:A518,A518)=1))</f>
        <v/>
      </c>
      <c r="P518" s="4" t="str">
        <f>IF(A518="","",--(COUNTIFS($A$2:A518,A518,$F$2:F518,F518)=1))</f>
        <v/>
      </c>
    </row>
    <row r="519" spans="1:16">
      <c r="A519" s="5"/>
      <c r="O519" s="4" t="str">
        <f>IF(A519="","",--(COUNTIF($A$2:A519,A519)=1))</f>
        <v/>
      </c>
      <c r="P519" s="4" t="str">
        <f>IF(A519="","",--(COUNTIFS($A$2:A519,A519,$F$2:F519,F519)=1))</f>
        <v/>
      </c>
    </row>
    <row r="520" spans="1:16">
      <c r="A520" s="5"/>
      <c r="O520" s="4" t="str">
        <f>IF(A520="","",--(COUNTIF($A$2:A520,A520)=1))</f>
        <v/>
      </c>
      <c r="P520" s="4" t="str">
        <f>IF(A520="","",--(COUNTIFS($A$2:A520,A520,$F$2:F520,F520)=1))</f>
        <v/>
      </c>
    </row>
    <row r="521" spans="1:16">
      <c r="A521" s="5"/>
      <c r="O521" s="4" t="str">
        <f>IF(A521="","",--(COUNTIF($A$2:A521,A521)=1))</f>
        <v/>
      </c>
      <c r="P521" s="4" t="str">
        <f>IF(A521="","",--(COUNTIFS($A$2:A521,A521,$F$2:F521,F521)=1))</f>
        <v/>
      </c>
    </row>
    <row r="522" spans="1:16">
      <c r="A522" s="5"/>
      <c r="O522" s="4" t="str">
        <f>IF(A522="","",--(COUNTIF($A$2:A522,A522)=1))</f>
        <v/>
      </c>
      <c r="P522" s="4" t="str">
        <f>IF(A522="","",--(COUNTIFS($A$2:A522,A522,$F$2:F522,F522)=1))</f>
        <v/>
      </c>
    </row>
    <row r="523" spans="1:16">
      <c r="A523" s="5"/>
      <c r="O523" s="4" t="str">
        <f>IF(A523="","",--(COUNTIF($A$2:A523,A523)=1))</f>
        <v/>
      </c>
      <c r="P523" s="4" t="str">
        <f>IF(A523="","",--(COUNTIFS($A$2:A523,A523,$F$2:F523,F523)=1))</f>
        <v/>
      </c>
    </row>
    <row r="524" spans="1:16">
      <c r="A524" s="5"/>
      <c r="O524" s="4" t="str">
        <f>IF(A524="","",--(COUNTIF($A$2:A524,A524)=1))</f>
        <v/>
      </c>
      <c r="P524" s="4" t="str">
        <f>IF(A524="","",--(COUNTIFS($A$2:A524,A524,$F$2:F524,F524)=1))</f>
        <v/>
      </c>
    </row>
    <row r="525" spans="1:16">
      <c r="A525" s="5"/>
      <c r="O525" s="4" t="str">
        <f>IF(A525="","",--(COUNTIF($A$2:A525,A525)=1))</f>
        <v/>
      </c>
      <c r="P525" s="4" t="str">
        <f>IF(A525="","",--(COUNTIFS($A$2:A525,A525,$F$2:F525,F525)=1))</f>
        <v/>
      </c>
    </row>
    <row r="526" spans="1:16">
      <c r="A526" s="5"/>
      <c r="O526" s="4" t="str">
        <f>IF(A526="","",--(COUNTIF($A$2:A526,A526)=1))</f>
        <v/>
      </c>
      <c r="P526" s="4" t="str">
        <f>IF(A526="","",--(COUNTIFS($A$2:A526,A526,$F$2:F526,F526)=1))</f>
        <v/>
      </c>
    </row>
    <row r="527" spans="1:16">
      <c r="A527" s="5"/>
      <c r="O527" s="4" t="str">
        <f>IF(A527="","",--(COUNTIF($A$2:A527,A527)=1))</f>
        <v/>
      </c>
      <c r="P527" s="4" t="str">
        <f>IF(A527="","",--(COUNTIFS($A$2:A527,A527,$F$2:F527,F527)=1))</f>
        <v/>
      </c>
    </row>
    <row r="528" spans="1:16">
      <c r="A528" s="5"/>
      <c r="O528" s="4" t="str">
        <f>IF(A528="","",--(COUNTIF($A$2:A528,A528)=1))</f>
        <v/>
      </c>
      <c r="P528" s="4" t="str">
        <f>IF(A528="","",--(COUNTIFS($A$2:A528,A528,$F$2:F528,F528)=1))</f>
        <v/>
      </c>
    </row>
    <row r="529" spans="1:16">
      <c r="A529" s="5"/>
      <c r="O529" s="4" t="str">
        <f>IF(A529="","",--(COUNTIF($A$2:A529,A529)=1))</f>
        <v/>
      </c>
      <c r="P529" s="4" t="str">
        <f>IF(A529="","",--(COUNTIFS($A$2:A529,A529,$F$2:F529,F529)=1))</f>
        <v/>
      </c>
    </row>
    <row r="530" spans="1:16">
      <c r="A530" s="5"/>
      <c r="O530" s="4" t="str">
        <f>IF(A530="","",--(COUNTIF($A$2:A530,A530)=1))</f>
        <v/>
      </c>
      <c r="P530" s="4" t="str">
        <f>IF(A530="","",--(COUNTIFS($A$2:A530,A530,$F$2:F530,F530)=1))</f>
        <v/>
      </c>
    </row>
    <row r="531" spans="1:16">
      <c r="A531" s="5"/>
      <c r="O531" s="4" t="str">
        <f>IF(A531="","",--(COUNTIF($A$2:A531,A531)=1))</f>
        <v/>
      </c>
      <c r="P531" s="4" t="str">
        <f>IF(A531="","",--(COUNTIFS($A$2:A531,A531,$F$2:F531,F531)=1))</f>
        <v/>
      </c>
    </row>
    <row r="532" spans="1:16">
      <c r="A532" s="5"/>
      <c r="O532" s="4" t="str">
        <f>IF(A532="","",--(COUNTIF($A$2:A532,A532)=1))</f>
        <v/>
      </c>
      <c r="P532" s="4" t="str">
        <f>IF(A532="","",--(COUNTIFS($A$2:A532,A532,$F$2:F532,F532)=1))</f>
        <v/>
      </c>
    </row>
    <row r="533" spans="1:16">
      <c r="A533" s="5"/>
      <c r="O533" s="4" t="str">
        <f>IF(A533="","",--(COUNTIF($A$2:A533,A533)=1))</f>
        <v/>
      </c>
      <c r="P533" s="4" t="str">
        <f>IF(A533="","",--(COUNTIFS($A$2:A533,A533,$F$2:F533,F533)=1))</f>
        <v/>
      </c>
    </row>
    <row r="534" spans="1:16">
      <c r="A534" s="5"/>
      <c r="O534" s="4" t="str">
        <f>IF(A534="","",--(COUNTIF($A$2:A534,A534)=1))</f>
        <v/>
      </c>
      <c r="P534" s="4" t="str">
        <f>IF(A534="","",--(COUNTIFS($A$2:A534,A534,$F$2:F534,F534)=1))</f>
        <v/>
      </c>
    </row>
    <row r="535" spans="1:16">
      <c r="A535" s="5"/>
      <c r="O535" s="4" t="str">
        <f>IF(A535="","",--(COUNTIF($A$2:A535,A535)=1))</f>
        <v/>
      </c>
      <c r="P535" s="4" t="str">
        <f>IF(A535="","",--(COUNTIFS($A$2:A535,A535,$F$2:F535,F535)=1))</f>
        <v/>
      </c>
    </row>
    <row r="536" spans="1:16">
      <c r="A536" s="5"/>
      <c r="O536" s="4" t="str">
        <f>IF(A536="","",--(COUNTIF($A$2:A536,A536)=1))</f>
        <v/>
      </c>
      <c r="P536" s="4" t="str">
        <f>IF(A536="","",--(COUNTIFS($A$2:A536,A536,$F$2:F536,F536)=1))</f>
        <v/>
      </c>
    </row>
    <row r="537" spans="1:16">
      <c r="A537" s="5"/>
      <c r="O537" s="4" t="str">
        <f>IF(A537="","",--(COUNTIF($A$2:A537,A537)=1))</f>
        <v/>
      </c>
      <c r="P537" s="4" t="str">
        <f>IF(A537="","",--(COUNTIFS($A$2:A537,A537,$F$2:F537,F537)=1))</f>
        <v/>
      </c>
    </row>
    <row r="538" spans="1:16">
      <c r="A538" s="5"/>
      <c r="O538" s="4" t="str">
        <f>IF(A538="","",--(COUNTIF($A$2:A538,A538)=1))</f>
        <v/>
      </c>
      <c r="P538" s="4" t="str">
        <f>IF(A538="","",--(COUNTIFS($A$2:A538,A538,$F$2:F538,F538)=1))</f>
        <v/>
      </c>
    </row>
    <row r="539" spans="1:16">
      <c r="A539" s="5"/>
      <c r="O539" s="4" t="str">
        <f>IF(A539="","",--(COUNTIF($A$2:A539,A539)=1))</f>
        <v/>
      </c>
      <c r="P539" s="4" t="str">
        <f>IF(A539="","",--(COUNTIFS($A$2:A539,A539,$F$2:F539,F539)=1))</f>
        <v/>
      </c>
    </row>
    <row r="540" spans="1:16">
      <c r="A540" s="5"/>
      <c r="O540" s="4" t="str">
        <f>IF(A540="","",--(COUNTIF($A$2:A540,A540)=1))</f>
        <v/>
      </c>
      <c r="P540" s="4" t="str">
        <f>IF(A540="","",--(COUNTIFS($A$2:A540,A540,$F$2:F540,F540)=1))</f>
        <v/>
      </c>
    </row>
    <row r="541" spans="1:16">
      <c r="A541" s="5"/>
      <c r="O541" s="4" t="str">
        <f>IF(A541="","",--(COUNTIF($A$2:A541,A541)=1))</f>
        <v/>
      </c>
      <c r="P541" s="4" t="str">
        <f>IF(A541="","",--(COUNTIFS($A$2:A541,A541,$F$2:F541,F541)=1))</f>
        <v/>
      </c>
    </row>
    <row r="542" spans="1:16">
      <c r="A542" s="5"/>
      <c r="O542" s="4" t="str">
        <f>IF(A542="","",--(COUNTIF($A$2:A542,A542)=1))</f>
        <v/>
      </c>
      <c r="P542" s="4" t="str">
        <f>IF(A542="","",--(COUNTIFS($A$2:A542,A542,$F$2:F542,F542)=1))</f>
        <v/>
      </c>
    </row>
    <row r="543" spans="1:16">
      <c r="A543" s="5"/>
      <c r="O543" s="4" t="str">
        <f>IF(A543="","",--(COUNTIF($A$2:A543,A543)=1))</f>
        <v/>
      </c>
      <c r="P543" s="4" t="str">
        <f>IF(A543="","",--(COUNTIFS($A$2:A543,A543,$F$2:F543,F543)=1))</f>
        <v/>
      </c>
    </row>
    <row r="544" spans="1:16">
      <c r="A544" s="5"/>
      <c r="O544" s="4" t="str">
        <f>IF(A544="","",--(COUNTIF($A$2:A544,A544)=1))</f>
        <v/>
      </c>
      <c r="P544" s="4" t="str">
        <f>IF(A544="","",--(COUNTIFS($A$2:A544,A544,$F$2:F544,F544)=1))</f>
        <v/>
      </c>
    </row>
    <row r="545" spans="1:16">
      <c r="A545" s="5"/>
      <c r="O545" s="4" t="str">
        <f>IF(A545="","",--(COUNTIF($A$2:A545,A545)=1))</f>
        <v/>
      </c>
      <c r="P545" s="4" t="str">
        <f>IF(A545="","",--(COUNTIFS($A$2:A545,A545,$F$2:F545,F545)=1))</f>
        <v/>
      </c>
    </row>
    <row r="546" spans="1:16">
      <c r="A546" s="5"/>
      <c r="O546" s="4" t="str">
        <f>IF(A546="","",--(COUNTIF($A$2:A546,A546)=1))</f>
        <v/>
      </c>
      <c r="P546" s="4" t="str">
        <f>IF(A546="","",--(COUNTIFS($A$2:A546,A546,$F$2:F546,F546)=1))</f>
        <v/>
      </c>
    </row>
    <row r="547" spans="1:16">
      <c r="A547" s="5"/>
      <c r="O547" s="4" t="str">
        <f>IF(A547="","",--(COUNTIF($A$2:A547,A547)=1))</f>
        <v/>
      </c>
      <c r="P547" s="4" t="str">
        <f>IF(A547="","",--(COUNTIFS($A$2:A547,A547,$F$2:F547,F547)=1))</f>
        <v/>
      </c>
    </row>
    <row r="548" spans="1:16">
      <c r="A548" s="5"/>
      <c r="O548" s="4" t="str">
        <f>IF(A548="","",--(COUNTIF($A$2:A548,A548)=1))</f>
        <v/>
      </c>
      <c r="P548" s="4" t="str">
        <f>IF(A548="","",--(COUNTIFS($A$2:A548,A548,$F$2:F548,F548)=1))</f>
        <v/>
      </c>
    </row>
    <row r="549" spans="1:16">
      <c r="A549" s="5"/>
      <c r="O549" s="4" t="str">
        <f>IF(A549="","",--(COUNTIF($A$2:A549,A549)=1))</f>
        <v/>
      </c>
      <c r="P549" s="4" t="str">
        <f>IF(A549="","",--(COUNTIFS($A$2:A549,A549,$F$2:F549,F549)=1))</f>
        <v/>
      </c>
    </row>
    <row r="550" spans="1:16">
      <c r="A550" s="5"/>
      <c r="O550" s="4" t="str">
        <f>IF(A550="","",--(COUNTIF($A$2:A550,A550)=1))</f>
        <v/>
      </c>
      <c r="P550" s="4" t="str">
        <f>IF(A550="","",--(COUNTIFS($A$2:A550,A550,$F$2:F550,F550)=1))</f>
        <v/>
      </c>
    </row>
    <row r="551" spans="1:16">
      <c r="A551" s="5"/>
      <c r="O551" s="4" t="str">
        <f>IF(A551="","",--(COUNTIF($A$2:A551,A551)=1))</f>
        <v/>
      </c>
      <c r="P551" s="4" t="str">
        <f>IF(A551="","",--(COUNTIFS($A$2:A551,A551,$F$2:F551,F551)=1))</f>
        <v/>
      </c>
    </row>
    <row r="552" spans="1:16">
      <c r="A552" s="5"/>
      <c r="O552" s="4" t="str">
        <f>IF(A552="","",--(COUNTIF($A$2:A552,A552)=1))</f>
        <v/>
      </c>
      <c r="P552" s="4" t="str">
        <f>IF(A552="","",--(COUNTIFS($A$2:A552,A552,$F$2:F552,F552)=1))</f>
        <v/>
      </c>
    </row>
    <row r="553" spans="1:16">
      <c r="A553" s="5"/>
      <c r="O553" s="4" t="str">
        <f>IF(A553="","",--(COUNTIF($A$2:A553,A553)=1))</f>
        <v/>
      </c>
      <c r="P553" s="4" t="str">
        <f>IF(A553="","",--(COUNTIFS($A$2:A553,A553,$F$2:F553,F553)=1))</f>
        <v/>
      </c>
    </row>
    <row r="554" spans="1:16">
      <c r="A554" s="5"/>
      <c r="O554" s="4" t="str">
        <f>IF(A554="","",--(COUNTIF($A$2:A554,A554)=1))</f>
        <v/>
      </c>
      <c r="P554" s="4" t="str">
        <f>IF(A554="","",--(COUNTIFS($A$2:A554,A554,$F$2:F554,F554)=1))</f>
        <v/>
      </c>
    </row>
    <row r="555" spans="1:16">
      <c r="A555" s="5"/>
      <c r="O555" s="4" t="str">
        <f>IF(A555="","",--(COUNTIF($A$2:A555,A555)=1))</f>
        <v/>
      </c>
      <c r="P555" s="4" t="str">
        <f>IF(A555="","",--(COUNTIFS($A$2:A555,A555,$F$2:F555,F555)=1))</f>
        <v/>
      </c>
    </row>
    <row r="556" spans="1:16">
      <c r="A556" s="5"/>
      <c r="O556" s="4" t="str">
        <f>IF(A556="","",--(COUNTIF($A$2:A556,A556)=1))</f>
        <v/>
      </c>
      <c r="P556" s="4" t="str">
        <f>IF(A556="","",--(COUNTIFS($A$2:A556,A556,$F$2:F556,F556)=1))</f>
        <v/>
      </c>
    </row>
    <row r="557" spans="1:16">
      <c r="A557" s="5"/>
      <c r="O557" s="4" t="str">
        <f>IF(A557="","",--(COUNTIF($A$2:A557,A557)=1))</f>
        <v/>
      </c>
      <c r="P557" s="4" t="str">
        <f>IF(A557="","",--(COUNTIFS($A$2:A557,A557,$F$2:F557,F557)=1))</f>
        <v/>
      </c>
    </row>
    <row r="558" spans="1:16">
      <c r="A558" s="5"/>
      <c r="O558" s="4" t="str">
        <f>IF(A558="","",--(COUNTIF($A$2:A558,A558)=1))</f>
        <v/>
      </c>
      <c r="P558" s="4" t="str">
        <f>IF(A558="","",--(COUNTIFS($A$2:A558,A558,$F$2:F558,F558)=1))</f>
        <v/>
      </c>
    </row>
    <row r="559" spans="1:16">
      <c r="A559" s="5"/>
      <c r="O559" s="4" t="str">
        <f>IF(A559="","",--(COUNTIF($A$2:A559,A559)=1))</f>
        <v/>
      </c>
      <c r="P559" s="4" t="str">
        <f>IF(A559="","",--(COUNTIFS($A$2:A559,A559,$F$2:F559,F559)=1))</f>
        <v/>
      </c>
    </row>
    <row r="560" spans="1:16">
      <c r="A560" s="5"/>
      <c r="O560" s="4" t="str">
        <f>IF(A560="","",--(COUNTIF($A$2:A560,A560)=1))</f>
        <v/>
      </c>
      <c r="P560" s="4" t="str">
        <f>IF(A560="","",--(COUNTIFS($A$2:A560,A560,$F$2:F560,F560)=1))</f>
        <v/>
      </c>
    </row>
    <row r="561" spans="1:16">
      <c r="A561" s="5"/>
      <c r="O561" s="4" t="str">
        <f>IF(A561="","",--(COUNTIF($A$2:A561,A561)=1))</f>
        <v/>
      </c>
      <c r="P561" s="4" t="str">
        <f>IF(A561="","",--(COUNTIFS($A$2:A561,A561,$F$2:F561,F561)=1))</f>
        <v/>
      </c>
    </row>
    <row r="562" spans="1:16">
      <c r="A562" s="5"/>
      <c r="O562" s="4" t="str">
        <f>IF(A562="","",--(COUNTIF($A$2:A562,A562)=1))</f>
        <v/>
      </c>
      <c r="P562" s="4" t="str">
        <f>IF(A562="","",--(COUNTIFS($A$2:A562,A562,$F$2:F562,F562)=1))</f>
        <v/>
      </c>
    </row>
    <row r="563" spans="1:16">
      <c r="A563" s="5"/>
      <c r="O563" s="4" t="str">
        <f>IF(A563="","",--(COUNTIF($A$2:A563,A563)=1))</f>
        <v/>
      </c>
      <c r="P563" s="4" t="str">
        <f>IF(A563="","",--(COUNTIFS($A$2:A563,A563,$F$2:F563,F563)=1))</f>
        <v/>
      </c>
    </row>
    <row r="564" spans="1:16">
      <c r="A564" s="5"/>
      <c r="O564" s="4" t="str">
        <f>IF(A564="","",--(COUNTIF($A$2:A564,A564)=1))</f>
        <v/>
      </c>
      <c r="P564" s="4" t="str">
        <f>IF(A564="","",--(COUNTIFS($A$2:A564,A564,$F$2:F564,F564)=1))</f>
        <v/>
      </c>
    </row>
    <row r="565" spans="1:16">
      <c r="A565" s="5"/>
      <c r="O565" s="4" t="str">
        <f>IF(A565="","",--(COUNTIF($A$2:A565,A565)=1))</f>
        <v/>
      </c>
      <c r="P565" s="4" t="str">
        <f>IF(A565="","",--(COUNTIFS($A$2:A565,A565,$F$2:F565,F565)=1))</f>
        <v/>
      </c>
    </row>
    <row r="566" spans="1:16">
      <c r="A566" s="5"/>
      <c r="O566" s="4" t="str">
        <f>IF(A566="","",--(COUNTIF($A$2:A566,A566)=1))</f>
        <v/>
      </c>
      <c r="P566" s="4" t="str">
        <f>IF(A566="","",--(COUNTIFS($A$2:A566,A566,$F$2:F566,F566)=1))</f>
        <v/>
      </c>
    </row>
    <row r="567" spans="1:16">
      <c r="A567" s="5"/>
      <c r="O567" s="4" t="str">
        <f>IF(A567="","",--(COUNTIF($A$2:A567,A567)=1))</f>
        <v/>
      </c>
      <c r="P567" s="4" t="str">
        <f>IF(A567="","",--(COUNTIFS($A$2:A567,A567,$F$2:F567,F567)=1))</f>
        <v/>
      </c>
    </row>
    <row r="568" spans="1:16">
      <c r="A568" s="5"/>
      <c r="O568" s="4" t="str">
        <f>IF(A568="","",--(COUNTIF($A$2:A568,A568)=1))</f>
        <v/>
      </c>
      <c r="P568" s="4" t="str">
        <f>IF(A568="","",--(COUNTIFS($A$2:A568,A568,$F$2:F568,F568)=1))</f>
        <v/>
      </c>
    </row>
    <row r="569" spans="1:16">
      <c r="A569" s="5"/>
      <c r="O569" s="4" t="str">
        <f>IF(A569="","",--(COUNTIF($A$2:A569,A569)=1))</f>
        <v/>
      </c>
      <c r="P569" s="4" t="str">
        <f>IF(A569="","",--(COUNTIFS($A$2:A569,A569,$F$2:F569,F569)=1))</f>
        <v/>
      </c>
    </row>
    <row r="570" spans="1:16">
      <c r="A570" s="5"/>
      <c r="O570" s="4" t="str">
        <f>IF(A570="","",--(COUNTIF($A$2:A570,A570)=1))</f>
        <v/>
      </c>
      <c r="P570" s="4" t="str">
        <f>IF(A570="","",--(COUNTIFS($A$2:A570,A570,$F$2:F570,F570)=1))</f>
        <v/>
      </c>
    </row>
    <row r="571" spans="1:16">
      <c r="A571" s="5"/>
      <c r="O571" s="4" t="str">
        <f>IF(A571="","",--(COUNTIF($A$2:A571,A571)=1))</f>
        <v/>
      </c>
      <c r="P571" s="4" t="str">
        <f>IF(A571="","",--(COUNTIFS($A$2:A571,A571,$F$2:F571,F571)=1))</f>
        <v/>
      </c>
    </row>
    <row r="572" spans="1:16">
      <c r="A572" s="5"/>
      <c r="O572" s="4" t="str">
        <f>IF(A572="","",--(COUNTIF($A$2:A572,A572)=1))</f>
        <v/>
      </c>
      <c r="P572" s="4" t="str">
        <f>IF(A572="","",--(COUNTIFS($A$2:A572,A572,$F$2:F572,F572)=1))</f>
        <v/>
      </c>
    </row>
    <row r="573" spans="1:16">
      <c r="A573" s="5"/>
      <c r="O573" s="4" t="str">
        <f>IF(A573="","",--(COUNTIF($A$2:A573,A573)=1))</f>
        <v/>
      </c>
      <c r="P573" s="4" t="str">
        <f>IF(A573="","",--(COUNTIFS($A$2:A573,A573,$F$2:F573,F573)=1))</f>
        <v/>
      </c>
    </row>
    <row r="574" spans="1:16">
      <c r="A574" s="5"/>
      <c r="O574" s="4" t="str">
        <f>IF(A574="","",--(COUNTIF($A$2:A574,A574)=1))</f>
        <v/>
      </c>
      <c r="P574" s="4" t="str">
        <f>IF(A574="","",--(COUNTIFS($A$2:A574,A574,$F$2:F574,F574)=1))</f>
        <v/>
      </c>
    </row>
    <row r="575" spans="1:16">
      <c r="A575" s="5"/>
      <c r="O575" s="4" t="str">
        <f>IF(A575="","",--(COUNTIF($A$2:A575,A575)=1))</f>
        <v/>
      </c>
      <c r="P575" s="4" t="str">
        <f>IF(A575="","",--(COUNTIFS($A$2:A575,A575,$F$2:F575,F575)=1))</f>
        <v/>
      </c>
    </row>
    <row r="576" spans="1:16">
      <c r="A576" s="5"/>
      <c r="O576" s="4" t="str">
        <f>IF(A576="","",--(COUNTIF($A$2:A576,A576)=1))</f>
        <v/>
      </c>
      <c r="P576" s="4" t="str">
        <f>IF(A576="","",--(COUNTIFS($A$2:A576,A576,$F$2:F576,F576)=1))</f>
        <v/>
      </c>
    </row>
    <row r="577" spans="1:16">
      <c r="A577" s="5"/>
      <c r="O577" s="4" t="str">
        <f>IF(A577="","",--(COUNTIF($A$2:A577,A577)=1))</f>
        <v/>
      </c>
      <c r="P577" s="4" t="str">
        <f>IF(A577="","",--(COUNTIFS($A$2:A577,A577,$F$2:F577,F577)=1))</f>
        <v/>
      </c>
    </row>
    <row r="578" spans="1:16">
      <c r="A578" s="5"/>
      <c r="O578" s="4" t="str">
        <f>IF(A578="","",--(COUNTIF($A$2:A578,A578)=1))</f>
        <v/>
      </c>
      <c r="P578" s="4" t="str">
        <f>IF(A578="","",--(COUNTIFS($A$2:A578,A578,$F$2:F578,F578)=1))</f>
        <v/>
      </c>
    </row>
    <row r="579" spans="1:16">
      <c r="A579" s="5"/>
      <c r="O579" s="4" t="str">
        <f>IF(A579="","",--(COUNTIF($A$2:A579,A579)=1))</f>
        <v/>
      </c>
      <c r="P579" s="4" t="str">
        <f>IF(A579="","",--(COUNTIFS($A$2:A579,A579,$F$2:F579,F579)=1))</f>
        <v/>
      </c>
    </row>
    <row r="580" spans="1:16">
      <c r="A580" s="5"/>
      <c r="O580" s="4" t="str">
        <f>IF(A580="","",--(COUNTIF($A$2:A580,A580)=1))</f>
        <v/>
      </c>
      <c r="P580" s="4" t="str">
        <f>IF(A580="","",--(COUNTIFS($A$2:A580,A580,$F$2:F580,F580)=1))</f>
        <v/>
      </c>
    </row>
    <row r="581" spans="1:16">
      <c r="A581" s="5"/>
      <c r="O581" s="4" t="str">
        <f>IF(A581="","",--(COUNTIF($A$2:A581,A581)=1))</f>
        <v/>
      </c>
      <c r="P581" s="4" t="str">
        <f>IF(A581="","",--(COUNTIFS($A$2:A581,A581,$F$2:F581,F581)=1))</f>
        <v/>
      </c>
    </row>
    <row r="582" spans="1:16">
      <c r="A582" s="5"/>
      <c r="O582" s="4" t="str">
        <f>IF(A582="","",--(COUNTIF($A$2:A582,A582)=1))</f>
        <v/>
      </c>
      <c r="P582" s="4" t="str">
        <f>IF(A582="","",--(COUNTIFS($A$2:A582,A582,$F$2:F582,F582)=1))</f>
        <v/>
      </c>
    </row>
    <row r="583" spans="1:16">
      <c r="A583" s="5"/>
      <c r="O583" s="4" t="str">
        <f>IF(A583="","",--(COUNTIF($A$2:A583,A583)=1))</f>
        <v/>
      </c>
      <c r="P583" s="4" t="str">
        <f>IF(A583="","",--(COUNTIFS($A$2:A583,A583,$F$2:F583,F583)=1))</f>
        <v/>
      </c>
    </row>
    <row r="584" spans="1:16">
      <c r="A584" s="5"/>
      <c r="O584" s="4" t="str">
        <f>IF(A584="","",--(COUNTIF($A$2:A584,A584)=1))</f>
        <v/>
      </c>
      <c r="P584" s="4" t="str">
        <f>IF(A584="","",--(COUNTIFS($A$2:A584,A584,$F$2:F584,F584)=1))</f>
        <v/>
      </c>
    </row>
    <row r="585" spans="1:16">
      <c r="A585" s="5"/>
      <c r="O585" s="4" t="str">
        <f>IF(A585="","",--(COUNTIF($A$2:A585,A585)=1))</f>
        <v/>
      </c>
      <c r="P585" s="4" t="str">
        <f>IF(A585="","",--(COUNTIFS($A$2:A585,A585,$F$2:F585,F585)=1))</f>
        <v/>
      </c>
    </row>
    <row r="586" spans="1:16">
      <c r="A586" s="5"/>
      <c r="O586" s="4" t="str">
        <f>IF(A586="","",--(COUNTIF($A$2:A586,A586)=1))</f>
        <v/>
      </c>
      <c r="P586" s="4" t="str">
        <f>IF(A586="","",--(COUNTIFS($A$2:A586,A586,$F$2:F586,F586)=1))</f>
        <v/>
      </c>
    </row>
    <row r="587" spans="1:16">
      <c r="A587" s="5"/>
      <c r="O587" s="4" t="str">
        <f>IF(A587="","",--(COUNTIF($A$2:A587,A587)=1))</f>
        <v/>
      </c>
      <c r="P587" s="4" t="str">
        <f>IF(A587="","",--(COUNTIFS($A$2:A587,A587,$F$2:F587,F587)=1))</f>
        <v/>
      </c>
    </row>
    <row r="588" spans="1:16">
      <c r="A588" s="5"/>
      <c r="O588" s="4" t="str">
        <f>IF(A588="","",--(COUNTIF($A$2:A588,A588)=1))</f>
        <v/>
      </c>
      <c r="P588" s="4" t="str">
        <f>IF(A588="","",--(COUNTIFS($A$2:A588,A588,$F$2:F588,F588)=1))</f>
        <v/>
      </c>
    </row>
    <row r="589" spans="1:16">
      <c r="A589" s="5"/>
      <c r="O589" s="4" t="str">
        <f>IF(A589="","",--(COUNTIF($A$2:A589,A589)=1))</f>
        <v/>
      </c>
      <c r="P589" s="4" t="str">
        <f>IF(A589="","",--(COUNTIFS($A$2:A589,A589,$F$2:F589,F589)=1))</f>
        <v/>
      </c>
    </row>
    <row r="590" spans="1:16">
      <c r="A590" s="5"/>
      <c r="O590" s="4" t="str">
        <f>IF(A590="","",--(COUNTIF($A$2:A590,A590)=1))</f>
        <v/>
      </c>
      <c r="P590" s="4" t="str">
        <f>IF(A590="","",--(COUNTIFS($A$2:A590,A590,$F$2:F590,F590)=1))</f>
        <v/>
      </c>
    </row>
    <row r="591" spans="1:16">
      <c r="A591" s="5"/>
      <c r="O591" s="4" t="str">
        <f>IF(A591="","",--(COUNTIF($A$2:A591,A591)=1))</f>
        <v/>
      </c>
      <c r="P591" s="4" t="str">
        <f>IF(A591="","",--(COUNTIFS($A$2:A591,A591,$F$2:F591,F591)=1))</f>
        <v/>
      </c>
    </row>
    <row r="592" spans="1:16">
      <c r="A592" s="5"/>
      <c r="O592" s="4" t="str">
        <f>IF(A592="","",--(COUNTIF($A$2:A592,A592)=1))</f>
        <v/>
      </c>
      <c r="P592" s="4" t="str">
        <f>IF(A592="","",--(COUNTIFS($A$2:A592,A592,$F$2:F592,F592)=1))</f>
        <v/>
      </c>
    </row>
    <row r="593" spans="1:16">
      <c r="A593" s="5"/>
      <c r="O593" s="4" t="str">
        <f>IF(A593="","",--(COUNTIF($A$2:A593,A593)=1))</f>
        <v/>
      </c>
      <c r="P593" s="4" t="str">
        <f>IF(A593="","",--(COUNTIFS($A$2:A593,A593,$F$2:F593,F593)=1))</f>
        <v/>
      </c>
    </row>
    <row r="594" spans="1:16">
      <c r="A594" s="5"/>
      <c r="O594" s="4" t="str">
        <f>IF(A594="","",--(COUNTIF($A$2:A594,A594)=1))</f>
        <v/>
      </c>
      <c r="P594" s="4" t="str">
        <f>IF(A594="","",--(COUNTIFS($A$2:A594,A594,$F$2:F594,F594)=1))</f>
        <v/>
      </c>
    </row>
    <row r="595" spans="1:16">
      <c r="A595" s="5"/>
      <c r="O595" s="4" t="str">
        <f>IF(A595="","",--(COUNTIF($A$2:A595,A595)=1))</f>
        <v/>
      </c>
      <c r="P595" s="4" t="str">
        <f>IF(A595="","",--(COUNTIFS($A$2:A595,A595,$F$2:F595,F595)=1))</f>
        <v/>
      </c>
    </row>
    <row r="596" spans="1:16">
      <c r="A596" s="5"/>
      <c r="O596" s="4" t="str">
        <f>IF(A596="","",--(COUNTIF($A$2:A596,A596)=1))</f>
        <v/>
      </c>
      <c r="P596" s="4" t="str">
        <f>IF(A596="","",--(COUNTIFS($A$2:A596,A596,$F$2:F596,F596)=1))</f>
        <v/>
      </c>
    </row>
    <row r="597" spans="1:16">
      <c r="A597" s="5"/>
      <c r="O597" s="4" t="str">
        <f>IF(A597="","",--(COUNTIF($A$2:A597,A597)=1))</f>
        <v/>
      </c>
      <c r="P597" s="4" t="str">
        <f>IF(A597="","",--(COUNTIFS($A$2:A597,A597,$F$2:F597,F597)=1))</f>
        <v/>
      </c>
    </row>
    <row r="598" spans="1:16">
      <c r="A598" s="5"/>
      <c r="O598" s="4" t="str">
        <f>IF(A598="","",--(COUNTIF($A$2:A598,A598)=1))</f>
        <v/>
      </c>
      <c r="P598" s="4" t="str">
        <f>IF(A598="","",--(COUNTIFS($A$2:A598,A598,$F$2:F598,F598)=1))</f>
        <v/>
      </c>
    </row>
    <row r="599" spans="1:16">
      <c r="A599" s="5"/>
      <c r="O599" s="4" t="str">
        <f>IF(A599="","",--(COUNTIF($A$2:A599,A599)=1))</f>
        <v/>
      </c>
      <c r="P599" s="4" t="str">
        <f>IF(A599="","",--(COUNTIFS($A$2:A599,A599,$F$2:F599,F599)=1))</f>
        <v/>
      </c>
    </row>
    <row r="600" spans="1:16">
      <c r="A600" s="5"/>
      <c r="O600" s="4" t="str">
        <f>IF(A600="","",--(COUNTIF($A$2:A600,A600)=1))</f>
        <v/>
      </c>
      <c r="P600" s="4" t="str">
        <f>IF(A600="","",--(COUNTIFS($A$2:A600,A600,$F$2:F600,F600)=1))</f>
        <v/>
      </c>
    </row>
  </sheetData>
  <autoFilter ref="A1:P36" xr:uid="{00000000-0001-0000-0300-000000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300-000000000000}">
          <x14:formula1>
            <xm:f>LISTAS!$B$3:$B$11</xm:f>
          </x14:formula1>
          <xm:sqref>F2:F600</xm:sqref>
        </x14:dataValidation>
        <x14:dataValidation type="list" xr:uid="{00000000-0002-0000-0300-000001000000}">
          <x14:formula1>
            <xm:f>LISTAS!$D$2:$D$3</xm:f>
          </x14:formula1>
          <xm:sqref>I2:I600</xm:sqref>
        </x14:dataValidation>
        <x14:dataValidation type="list" xr:uid="{00000000-0002-0000-0300-000002000000}">
          <x14:formula1>
            <xm:f>LISTAS!$C$2:$C$5</xm:f>
          </x14:formula1>
          <xm:sqref>K2:K600</xm:sqref>
        </x14:dataValidation>
        <x14:dataValidation type="list" xr:uid="{00000000-0002-0000-0300-000003000000}">
          <x14:formula1>
            <xm:f>LISTAS!$E$2:$E$3</xm:f>
          </x14:formula1>
          <xm:sqref>M2:M600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600"/>
  <sheetViews>
    <sheetView workbookViewId="0">
      <selection activeCell="F10" sqref="F10"/>
    </sheetView>
  </sheetViews>
  <sheetFormatPr defaultRowHeight="14.25"/>
  <cols>
    <col min="1" max="1" width="22" customWidth="1"/>
    <col min="2" max="2" width="20" customWidth="1"/>
    <col min="3" max="3" width="25" customWidth="1"/>
    <col min="4" max="4" width="22" customWidth="1"/>
    <col min="5" max="5" width="23" customWidth="1"/>
    <col min="6" max="6" width="24" customWidth="1"/>
    <col min="7" max="7" width="12" customWidth="1"/>
    <col min="8" max="8" width="27" customWidth="1"/>
    <col min="9" max="9" width="18" customWidth="1"/>
    <col min="10" max="10" width="34" customWidth="1"/>
    <col min="11" max="11" width="19" customWidth="1"/>
    <col min="12" max="12" width="18" customWidth="1"/>
    <col min="13" max="13" width="17" customWidth="1"/>
    <col min="14" max="14" width="42" customWidth="1"/>
    <col min="15" max="16" width="14" customWidth="1"/>
  </cols>
  <sheetData>
    <row r="1" spans="1:16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22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2" t="s">
        <v>51</v>
      </c>
      <c r="O1" s="3" t="s">
        <v>52</v>
      </c>
      <c r="P1" s="3" t="s">
        <v>53</v>
      </c>
    </row>
    <row r="2" spans="1:16">
      <c r="A2" s="5"/>
      <c r="O2" s="4"/>
      <c r="P2" s="4"/>
    </row>
    <row r="3" spans="1:16">
      <c r="A3" s="5"/>
      <c r="O3" s="4"/>
      <c r="P3" s="4"/>
    </row>
    <row r="4" spans="1:16">
      <c r="A4" s="5"/>
      <c r="O4" s="4"/>
      <c r="P4" s="4"/>
    </row>
    <row r="5" spans="1:16">
      <c r="A5" s="5"/>
      <c r="O5" s="4"/>
      <c r="P5" s="4"/>
    </row>
    <row r="6" spans="1:16">
      <c r="A6" s="5"/>
      <c r="O6" s="4"/>
      <c r="P6" s="4"/>
    </row>
    <row r="7" spans="1:16">
      <c r="A7" s="5"/>
      <c r="O7" s="4"/>
      <c r="P7" s="4"/>
    </row>
    <row r="8" spans="1:16">
      <c r="A8" s="5"/>
      <c r="O8" s="4"/>
      <c r="P8" s="4"/>
    </row>
    <row r="9" spans="1:16">
      <c r="A9" s="5"/>
      <c r="O9" s="4"/>
      <c r="P9" s="4"/>
    </row>
    <row r="10" spans="1:16">
      <c r="A10" s="5"/>
      <c r="O10" s="4"/>
      <c r="P10" s="4"/>
    </row>
    <row r="11" spans="1:16">
      <c r="A11" s="5"/>
      <c r="O11" s="4"/>
      <c r="P11" s="4"/>
    </row>
    <row r="12" spans="1:16">
      <c r="A12" s="5"/>
      <c r="O12" s="4"/>
      <c r="P12" s="4"/>
    </row>
    <row r="13" spans="1:16">
      <c r="A13" s="5"/>
      <c r="O13" s="4"/>
      <c r="P13" s="4"/>
    </row>
    <row r="14" spans="1:16">
      <c r="A14" s="5"/>
      <c r="O14" s="4"/>
      <c r="P14" s="4"/>
    </row>
    <row r="15" spans="1:16">
      <c r="A15" s="5"/>
      <c r="O15" s="4"/>
      <c r="P15" s="4"/>
    </row>
    <row r="16" spans="1:16">
      <c r="A16" s="5"/>
      <c r="O16" s="4"/>
      <c r="P16" s="4"/>
    </row>
    <row r="17" spans="1:16">
      <c r="A17" s="5"/>
      <c r="O17" s="4"/>
      <c r="P17" s="4"/>
    </row>
    <row r="18" spans="1:16">
      <c r="A18" s="5"/>
      <c r="O18" s="4"/>
      <c r="P18" s="4"/>
    </row>
    <row r="19" spans="1:16">
      <c r="A19" s="5"/>
      <c r="O19" s="4"/>
      <c r="P19" s="4"/>
    </row>
    <row r="20" spans="1:16">
      <c r="A20" s="5"/>
      <c r="O20" s="4"/>
      <c r="P20" s="4"/>
    </row>
    <row r="21" spans="1:16">
      <c r="A21" s="5"/>
      <c r="O21" s="4"/>
      <c r="P21" s="4"/>
    </row>
    <row r="22" spans="1:16">
      <c r="A22" s="5"/>
      <c r="O22" s="4"/>
      <c r="P22" s="4"/>
    </row>
    <row r="23" spans="1:16">
      <c r="A23" s="5"/>
      <c r="O23" s="4"/>
      <c r="P23" s="4"/>
    </row>
    <row r="24" spans="1:16">
      <c r="A24" s="5"/>
      <c r="O24" s="4"/>
      <c r="P24" s="4"/>
    </row>
    <row r="25" spans="1:16">
      <c r="A25" s="5"/>
      <c r="O25" s="4"/>
      <c r="P25" s="4"/>
    </row>
    <row r="26" spans="1:16">
      <c r="A26" s="5"/>
      <c r="O26" s="4"/>
      <c r="P26" s="4"/>
    </row>
    <row r="27" spans="1:16">
      <c r="A27" s="5"/>
      <c r="O27" s="4"/>
      <c r="P27" s="4"/>
    </row>
    <row r="28" spans="1:16">
      <c r="A28" s="5"/>
      <c r="O28" s="4"/>
      <c r="P28" s="4"/>
    </row>
    <row r="29" spans="1:16">
      <c r="A29" s="5"/>
      <c r="O29" s="4"/>
      <c r="P29" s="4"/>
    </row>
    <row r="30" spans="1:16">
      <c r="A30" s="5"/>
      <c r="O30" s="4"/>
      <c r="P30" s="4"/>
    </row>
    <row r="31" spans="1:16">
      <c r="A31" s="5"/>
      <c r="O31" s="4"/>
      <c r="P31" s="4"/>
    </row>
    <row r="32" spans="1:16">
      <c r="A32" s="5"/>
      <c r="O32" s="4"/>
      <c r="P32" s="4"/>
    </row>
    <row r="33" spans="1:16">
      <c r="A33" s="5"/>
      <c r="O33" s="4"/>
      <c r="P33" s="4"/>
    </row>
    <row r="34" spans="1:16">
      <c r="A34" s="5"/>
      <c r="O34" s="4"/>
      <c r="P34" s="4"/>
    </row>
    <row r="35" spans="1:16">
      <c r="A35" s="5"/>
      <c r="O35" s="4"/>
      <c r="P35" s="4"/>
    </row>
    <row r="36" spans="1:16">
      <c r="A36" s="5"/>
      <c r="O36" s="4"/>
      <c r="P36" s="4"/>
    </row>
    <row r="37" spans="1:16">
      <c r="A37" s="5"/>
      <c r="O37" s="4"/>
      <c r="P37" s="4"/>
    </row>
    <row r="38" spans="1:16">
      <c r="A38" s="5"/>
      <c r="O38" s="4"/>
      <c r="P38" s="4"/>
    </row>
    <row r="39" spans="1:16">
      <c r="A39" s="5"/>
      <c r="O39" s="4"/>
      <c r="P39" s="4"/>
    </row>
    <row r="40" spans="1:16">
      <c r="A40" s="5"/>
      <c r="O40" s="4"/>
      <c r="P40" s="4"/>
    </row>
    <row r="41" spans="1:16">
      <c r="A41" s="5"/>
      <c r="O41" s="4"/>
      <c r="P41" s="4"/>
    </row>
    <row r="42" spans="1:16">
      <c r="A42" s="5"/>
      <c r="O42" s="4"/>
      <c r="P42" s="4"/>
    </row>
    <row r="43" spans="1:16">
      <c r="A43" s="5"/>
      <c r="O43" s="4"/>
      <c r="P43" s="4"/>
    </row>
    <row r="44" spans="1:16">
      <c r="A44" s="5"/>
      <c r="O44" s="4"/>
      <c r="P44" s="4"/>
    </row>
    <row r="45" spans="1:16">
      <c r="A45" s="5"/>
      <c r="O45" s="4"/>
      <c r="P45" s="4"/>
    </row>
    <row r="46" spans="1:16">
      <c r="A46" s="5"/>
      <c r="O46" s="4"/>
      <c r="P46" s="4"/>
    </row>
    <row r="47" spans="1:16">
      <c r="A47" s="5"/>
      <c r="O47" s="4"/>
      <c r="P47" s="4"/>
    </row>
    <row r="48" spans="1:16">
      <c r="A48" s="5"/>
      <c r="O48" s="4"/>
      <c r="P48" s="4"/>
    </row>
    <row r="49" spans="1:16">
      <c r="A49" s="5"/>
      <c r="O49" s="4"/>
      <c r="P49" s="4"/>
    </row>
    <row r="50" spans="1:16">
      <c r="A50" s="5"/>
      <c r="O50" s="4"/>
      <c r="P50" s="4"/>
    </row>
    <row r="51" spans="1:16">
      <c r="A51" s="5"/>
      <c r="O51" s="4"/>
      <c r="P51" s="4"/>
    </row>
    <row r="52" spans="1:16">
      <c r="A52" s="5"/>
      <c r="O52" s="4"/>
      <c r="P52" s="4"/>
    </row>
    <row r="53" spans="1:16">
      <c r="A53" s="5"/>
      <c r="O53" s="4"/>
      <c r="P53" s="4"/>
    </row>
    <row r="54" spans="1:16">
      <c r="A54" s="5"/>
      <c r="O54" s="4"/>
      <c r="P54" s="4"/>
    </row>
    <row r="55" spans="1:16">
      <c r="A55" s="5"/>
      <c r="O55" s="4"/>
      <c r="P55" s="4"/>
    </row>
    <row r="56" spans="1:16">
      <c r="A56" s="5"/>
      <c r="O56" s="4"/>
      <c r="P56" s="4"/>
    </row>
    <row r="57" spans="1:16">
      <c r="A57" s="5"/>
      <c r="O57" s="4"/>
      <c r="P57" s="4"/>
    </row>
    <row r="58" spans="1:16">
      <c r="A58" s="5"/>
      <c r="O58" s="4"/>
      <c r="P58" s="4"/>
    </row>
    <row r="59" spans="1:16">
      <c r="A59" s="5"/>
      <c r="O59" s="4"/>
      <c r="P59" s="4"/>
    </row>
    <row r="60" spans="1:16">
      <c r="A60" s="5"/>
      <c r="O60" s="4"/>
      <c r="P60" s="4"/>
    </row>
    <row r="61" spans="1:16">
      <c r="A61" s="5"/>
      <c r="O61" s="4"/>
      <c r="P61" s="4"/>
    </row>
    <row r="62" spans="1:16">
      <c r="A62" s="5"/>
      <c r="O62" s="4"/>
      <c r="P62" s="4"/>
    </row>
    <row r="63" spans="1:16">
      <c r="A63" s="5"/>
      <c r="O63" s="4"/>
      <c r="P63" s="4"/>
    </row>
    <row r="64" spans="1:16">
      <c r="A64" s="5"/>
      <c r="O64" s="4"/>
      <c r="P64" s="4"/>
    </row>
    <row r="65" spans="1:16">
      <c r="A65" s="5"/>
      <c r="O65" s="4"/>
      <c r="P65" s="4"/>
    </row>
    <row r="66" spans="1:16">
      <c r="A66" s="5"/>
      <c r="O66" s="4"/>
      <c r="P66" s="4"/>
    </row>
    <row r="67" spans="1:16">
      <c r="A67" s="5"/>
      <c r="O67" s="4"/>
      <c r="P67" s="4"/>
    </row>
    <row r="68" spans="1:16">
      <c r="A68" s="5"/>
      <c r="O68" s="4"/>
      <c r="P68" s="4"/>
    </row>
    <row r="69" spans="1:16">
      <c r="A69" s="5"/>
      <c r="O69" s="4"/>
      <c r="P69" s="4"/>
    </row>
    <row r="70" spans="1:16">
      <c r="A70" s="5"/>
      <c r="O70" s="4"/>
      <c r="P70" s="4"/>
    </row>
    <row r="71" spans="1:16">
      <c r="A71" s="5"/>
      <c r="O71" s="4"/>
      <c r="P71" s="4"/>
    </row>
    <row r="72" spans="1:16">
      <c r="A72" s="5"/>
      <c r="O72" s="4"/>
      <c r="P72" s="4"/>
    </row>
    <row r="73" spans="1:16">
      <c r="A73" s="5"/>
      <c r="O73" s="4"/>
      <c r="P73" s="4"/>
    </row>
    <row r="74" spans="1:16">
      <c r="A74" s="5"/>
      <c r="O74" s="4"/>
      <c r="P74" s="4"/>
    </row>
    <row r="75" spans="1:16">
      <c r="A75" s="5"/>
      <c r="O75" s="4"/>
      <c r="P75" s="4"/>
    </row>
    <row r="76" spans="1:16">
      <c r="A76" s="5"/>
      <c r="O76" s="4"/>
      <c r="P76" s="4"/>
    </row>
    <row r="77" spans="1:16">
      <c r="A77" s="5"/>
      <c r="O77" s="4"/>
      <c r="P77" s="4"/>
    </row>
    <row r="78" spans="1:16">
      <c r="A78" s="5"/>
      <c r="O78" s="4"/>
      <c r="P78" s="4"/>
    </row>
    <row r="79" spans="1:16">
      <c r="A79" s="5"/>
      <c r="O79" s="4"/>
      <c r="P79" s="4"/>
    </row>
    <row r="80" spans="1:16">
      <c r="A80" s="5"/>
      <c r="O80" s="4"/>
      <c r="P80" s="4"/>
    </row>
    <row r="81" spans="1:16">
      <c r="A81" s="5"/>
      <c r="O81" s="4"/>
      <c r="P81" s="4"/>
    </row>
    <row r="82" spans="1:16">
      <c r="A82" s="5"/>
      <c r="O82" s="4"/>
      <c r="P82" s="4"/>
    </row>
    <row r="83" spans="1:16">
      <c r="A83" s="5"/>
      <c r="O83" s="4"/>
      <c r="P83" s="4"/>
    </row>
    <row r="84" spans="1:16">
      <c r="A84" s="5"/>
      <c r="O84" s="4"/>
      <c r="P84" s="4"/>
    </row>
    <row r="85" spans="1:16">
      <c r="A85" s="5"/>
      <c r="O85" s="4"/>
      <c r="P85" s="4"/>
    </row>
    <row r="86" spans="1:16">
      <c r="A86" s="5"/>
      <c r="O86" s="4"/>
      <c r="P86" s="4"/>
    </row>
    <row r="87" spans="1:16">
      <c r="A87" s="5"/>
      <c r="O87" s="4"/>
      <c r="P87" s="4"/>
    </row>
    <row r="88" spans="1:16">
      <c r="A88" s="5"/>
      <c r="O88" s="4"/>
      <c r="P88" s="4"/>
    </row>
    <row r="89" spans="1:16">
      <c r="A89" s="5"/>
      <c r="O89" s="4"/>
      <c r="P89" s="4"/>
    </row>
    <row r="90" spans="1:16">
      <c r="A90" s="5"/>
      <c r="O90" s="4"/>
      <c r="P90" s="4"/>
    </row>
    <row r="91" spans="1:16">
      <c r="A91" s="5"/>
      <c r="O91" s="4"/>
      <c r="P91" s="4"/>
    </row>
    <row r="92" spans="1:16">
      <c r="A92" s="5"/>
      <c r="O92" s="4"/>
      <c r="P92" s="4"/>
    </row>
    <row r="93" spans="1:16">
      <c r="A93" s="5"/>
      <c r="O93" s="4"/>
      <c r="P93" s="4"/>
    </row>
    <row r="94" spans="1:16">
      <c r="A94" s="5"/>
      <c r="O94" s="4"/>
      <c r="P94" s="4"/>
    </row>
    <row r="95" spans="1:16">
      <c r="A95" s="5"/>
      <c r="O95" s="4"/>
      <c r="P95" s="4"/>
    </row>
    <row r="96" spans="1:16">
      <c r="A96" s="5"/>
      <c r="O96" s="4"/>
      <c r="P96" s="4"/>
    </row>
    <row r="97" spans="1:16">
      <c r="A97" s="5"/>
      <c r="O97" s="4"/>
      <c r="P97" s="4"/>
    </row>
    <row r="98" spans="1:16">
      <c r="A98" s="5"/>
      <c r="O98" s="4"/>
      <c r="P98" s="4"/>
    </row>
    <row r="99" spans="1:16">
      <c r="A99" s="5"/>
      <c r="O99" s="4"/>
      <c r="P99" s="4"/>
    </row>
    <row r="100" spans="1:16">
      <c r="A100" s="5"/>
      <c r="O100" s="4"/>
      <c r="P100" s="4"/>
    </row>
    <row r="101" spans="1:16">
      <c r="A101" s="5"/>
      <c r="O101" s="4"/>
      <c r="P101" s="4"/>
    </row>
    <row r="102" spans="1:16">
      <c r="A102" s="5"/>
      <c r="O102" s="4"/>
      <c r="P102" s="4"/>
    </row>
    <row r="103" spans="1:16">
      <c r="A103" s="5"/>
      <c r="O103" s="4"/>
      <c r="P103" s="4"/>
    </row>
    <row r="104" spans="1:16">
      <c r="A104" s="5"/>
      <c r="O104" s="4"/>
      <c r="P104" s="4"/>
    </row>
    <row r="105" spans="1:16">
      <c r="A105" s="5"/>
      <c r="O105" s="4"/>
      <c r="P105" s="4"/>
    </row>
    <row r="106" spans="1:16">
      <c r="A106" s="5"/>
      <c r="O106" s="4"/>
      <c r="P106" s="4"/>
    </row>
    <row r="107" spans="1:16">
      <c r="A107" s="5"/>
      <c r="O107" s="4"/>
      <c r="P107" s="4"/>
    </row>
    <row r="108" spans="1:16">
      <c r="A108" s="5"/>
      <c r="O108" s="4"/>
      <c r="P108" s="4"/>
    </row>
    <row r="109" spans="1:16">
      <c r="A109" s="5"/>
      <c r="O109" s="4"/>
      <c r="P109" s="4"/>
    </row>
    <row r="110" spans="1:16">
      <c r="A110" s="5"/>
      <c r="O110" s="4"/>
      <c r="P110" s="4"/>
    </row>
    <row r="111" spans="1:16">
      <c r="A111" s="5"/>
      <c r="O111" s="4"/>
      <c r="P111" s="4"/>
    </row>
    <row r="112" spans="1:16">
      <c r="A112" s="5"/>
      <c r="O112" s="4"/>
      <c r="P112" s="4"/>
    </row>
    <row r="113" spans="1:16">
      <c r="A113" s="5"/>
      <c r="O113" s="4"/>
      <c r="P113" s="4"/>
    </row>
    <row r="114" spans="1:16">
      <c r="A114" s="5"/>
      <c r="O114" s="4"/>
      <c r="P114" s="4"/>
    </row>
    <row r="115" spans="1:16">
      <c r="A115" s="5"/>
      <c r="O115" s="4"/>
      <c r="P115" s="4"/>
    </row>
    <row r="116" spans="1:16">
      <c r="A116" s="5"/>
      <c r="O116" s="4"/>
      <c r="P116" s="4"/>
    </row>
    <row r="117" spans="1:16">
      <c r="A117" s="5"/>
      <c r="O117" s="4"/>
      <c r="P117" s="4"/>
    </row>
    <row r="118" spans="1:16">
      <c r="A118" s="5"/>
      <c r="O118" s="4"/>
      <c r="P118" s="4"/>
    </row>
    <row r="119" spans="1:16">
      <c r="A119" s="5"/>
      <c r="O119" s="4"/>
      <c r="P119" s="4"/>
    </row>
    <row r="120" spans="1:16">
      <c r="A120" s="5"/>
      <c r="O120" s="4"/>
      <c r="P120" s="4"/>
    </row>
    <row r="121" spans="1:16">
      <c r="A121" s="5"/>
      <c r="O121" s="4"/>
      <c r="P121" s="4"/>
    </row>
    <row r="122" spans="1:16">
      <c r="A122" s="5"/>
      <c r="O122" s="4"/>
      <c r="P122" s="4"/>
    </row>
    <row r="123" spans="1:16">
      <c r="A123" s="5"/>
      <c r="O123" s="4"/>
      <c r="P123" s="4"/>
    </row>
    <row r="124" spans="1:16">
      <c r="A124" s="5"/>
      <c r="O124" s="4"/>
      <c r="P124" s="4"/>
    </row>
    <row r="125" spans="1:16">
      <c r="A125" s="5"/>
      <c r="O125" s="4"/>
      <c r="P125" s="4"/>
    </row>
    <row r="126" spans="1:16">
      <c r="A126" s="5"/>
      <c r="O126" s="4"/>
      <c r="P126" s="4"/>
    </row>
    <row r="127" spans="1:16">
      <c r="A127" s="5"/>
      <c r="O127" s="4"/>
      <c r="P127" s="4"/>
    </row>
    <row r="128" spans="1:16">
      <c r="A128" s="5"/>
      <c r="O128" s="4"/>
      <c r="P128" s="4"/>
    </row>
    <row r="129" spans="1:16">
      <c r="A129" s="5"/>
      <c r="O129" s="4"/>
      <c r="P129" s="4"/>
    </row>
    <row r="130" spans="1:16">
      <c r="A130" s="5"/>
      <c r="O130" s="4"/>
      <c r="P130" s="4"/>
    </row>
    <row r="131" spans="1:16">
      <c r="A131" s="5"/>
      <c r="O131" s="4"/>
      <c r="P131" s="4"/>
    </row>
    <row r="132" spans="1:16">
      <c r="A132" s="5"/>
      <c r="O132" s="4"/>
      <c r="P132" s="4"/>
    </row>
    <row r="133" spans="1:16">
      <c r="A133" s="5"/>
      <c r="O133" s="4"/>
      <c r="P133" s="4"/>
    </row>
    <row r="134" spans="1:16">
      <c r="A134" s="5"/>
      <c r="O134" s="4"/>
      <c r="P134" s="4"/>
    </row>
    <row r="135" spans="1:16">
      <c r="A135" s="5"/>
      <c r="O135" s="4"/>
      <c r="P135" s="4"/>
    </row>
    <row r="136" spans="1:16">
      <c r="A136" s="5"/>
      <c r="O136" s="4"/>
      <c r="P136" s="4"/>
    </row>
    <row r="137" spans="1:16">
      <c r="A137" s="5"/>
      <c r="O137" s="4"/>
      <c r="P137" s="4"/>
    </row>
    <row r="138" spans="1:16">
      <c r="A138" s="5"/>
      <c r="O138" s="4"/>
      <c r="P138" s="4"/>
    </row>
    <row r="139" spans="1:16">
      <c r="A139" s="5"/>
      <c r="O139" s="4"/>
      <c r="P139" s="4"/>
    </row>
    <row r="140" spans="1:16">
      <c r="A140" s="5"/>
      <c r="O140" s="4"/>
      <c r="P140" s="4"/>
    </row>
    <row r="141" spans="1:16">
      <c r="A141" s="5"/>
      <c r="O141" s="4"/>
      <c r="P141" s="4"/>
    </row>
    <row r="142" spans="1:16">
      <c r="A142" s="5"/>
      <c r="O142" s="4"/>
      <c r="P142" s="4"/>
    </row>
    <row r="143" spans="1:16">
      <c r="A143" s="5"/>
      <c r="O143" s="4"/>
      <c r="P143" s="4"/>
    </row>
    <row r="144" spans="1:16">
      <c r="A144" s="5"/>
      <c r="O144" s="4"/>
      <c r="P144" s="4"/>
    </row>
    <row r="145" spans="1:16">
      <c r="A145" s="5"/>
      <c r="O145" s="4"/>
      <c r="P145" s="4"/>
    </row>
    <row r="146" spans="1:16">
      <c r="A146" s="5"/>
      <c r="O146" s="4" t="str">
        <f>IF(A146="","",--(COUNTIF($A$2:A146,A146)=1))</f>
        <v/>
      </c>
      <c r="P146" s="4" t="str">
        <f>IF(A146="","",--(COUNTIFS($A$2:A146,A146,$F$2:F146,F146)=1))</f>
        <v/>
      </c>
    </row>
    <row r="147" spans="1:16">
      <c r="A147" s="5"/>
      <c r="O147" s="4" t="str">
        <f>IF(A147="","",--(COUNTIF($A$2:A147,A147)=1))</f>
        <v/>
      </c>
      <c r="P147" s="4" t="str">
        <f>IF(A147="","",--(COUNTIFS($A$2:A147,A147,$F$2:F147,F147)=1))</f>
        <v/>
      </c>
    </row>
    <row r="148" spans="1:16">
      <c r="A148" s="5"/>
      <c r="O148" s="4" t="str">
        <f>IF(A148="","",--(COUNTIF($A$2:A148,A148)=1))</f>
        <v/>
      </c>
      <c r="P148" s="4" t="str">
        <f>IF(A148="","",--(COUNTIFS($A$2:A148,A148,$F$2:F148,F148)=1))</f>
        <v/>
      </c>
    </row>
    <row r="149" spans="1:16">
      <c r="A149" s="5"/>
      <c r="O149" s="4" t="str">
        <f>IF(A149="","",--(COUNTIF($A$2:A149,A149)=1))</f>
        <v/>
      </c>
      <c r="P149" s="4" t="str">
        <f>IF(A149="","",--(COUNTIFS($A$2:A149,A149,$F$2:F149,F149)=1))</f>
        <v/>
      </c>
    </row>
    <row r="150" spans="1:16">
      <c r="A150" s="5"/>
      <c r="O150" s="4" t="str">
        <f>IF(A150="","",--(COUNTIF($A$2:A150,A150)=1))</f>
        <v/>
      </c>
      <c r="P150" s="4" t="str">
        <f>IF(A150="","",--(COUNTIFS($A$2:A150,A150,$F$2:F150,F150)=1))</f>
        <v/>
      </c>
    </row>
    <row r="151" spans="1:16">
      <c r="A151" s="5"/>
      <c r="O151" s="4" t="str">
        <f>IF(A151="","",--(COUNTIF($A$2:A151,A151)=1))</f>
        <v/>
      </c>
      <c r="P151" s="4" t="str">
        <f>IF(A151="","",--(COUNTIFS($A$2:A151,A151,$F$2:F151,F151)=1))</f>
        <v/>
      </c>
    </row>
    <row r="152" spans="1:16">
      <c r="A152" s="5"/>
      <c r="O152" s="4" t="str">
        <f>IF(A152="","",--(COUNTIF($A$2:A152,A152)=1))</f>
        <v/>
      </c>
      <c r="P152" s="4" t="str">
        <f>IF(A152="","",--(COUNTIFS($A$2:A152,A152,$F$2:F152,F152)=1))</f>
        <v/>
      </c>
    </row>
    <row r="153" spans="1:16">
      <c r="A153" s="5"/>
      <c r="O153" s="4" t="str">
        <f>IF(A153="","",--(COUNTIF($A$2:A153,A153)=1))</f>
        <v/>
      </c>
      <c r="P153" s="4" t="str">
        <f>IF(A153="","",--(COUNTIFS($A$2:A153,A153,$F$2:F153,F153)=1))</f>
        <v/>
      </c>
    </row>
    <row r="154" spans="1:16">
      <c r="A154" s="5"/>
      <c r="O154" s="4" t="str">
        <f>IF(A154="","",--(COUNTIF($A$2:A154,A154)=1))</f>
        <v/>
      </c>
      <c r="P154" s="4" t="str">
        <f>IF(A154="","",--(COUNTIFS($A$2:A154,A154,$F$2:F154,F154)=1))</f>
        <v/>
      </c>
    </row>
    <row r="155" spans="1:16">
      <c r="A155" s="5"/>
      <c r="O155" s="4" t="str">
        <f>IF(A155="","",--(COUNTIF($A$2:A155,A155)=1))</f>
        <v/>
      </c>
      <c r="P155" s="4" t="str">
        <f>IF(A155="","",--(COUNTIFS($A$2:A155,A155,$F$2:F155,F155)=1))</f>
        <v/>
      </c>
    </row>
    <row r="156" spans="1:16">
      <c r="A156" s="5"/>
      <c r="O156" s="4" t="str">
        <f>IF(A156="","",--(COUNTIF($A$2:A156,A156)=1))</f>
        <v/>
      </c>
      <c r="P156" s="4" t="str">
        <f>IF(A156="","",--(COUNTIFS($A$2:A156,A156,$F$2:F156,F156)=1))</f>
        <v/>
      </c>
    </row>
    <row r="157" spans="1:16">
      <c r="A157" s="5"/>
      <c r="O157" s="4" t="str">
        <f>IF(A157="","",--(COUNTIF($A$2:A157,A157)=1))</f>
        <v/>
      </c>
      <c r="P157" s="4" t="str">
        <f>IF(A157="","",--(COUNTIFS($A$2:A157,A157,$F$2:F157,F157)=1))</f>
        <v/>
      </c>
    </row>
    <row r="158" spans="1:16">
      <c r="A158" s="5"/>
      <c r="O158" s="4" t="str">
        <f>IF(A158="","",--(COUNTIF($A$2:A158,A158)=1))</f>
        <v/>
      </c>
      <c r="P158" s="4" t="str">
        <f>IF(A158="","",--(COUNTIFS($A$2:A158,A158,$F$2:F158,F158)=1))</f>
        <v/>
      </c>
    </row>
    <row r="159" spans="1:16">
      <c r="A159" s="5"/>
      <c r="O159" s="4" t="str">
        <f>IF(A159="","",--(COUNTIF($A$2:A159,A159)=1))</f>
        <v/>
      </c>
      <c r="P159" s="4" t="str">
        <f>IF(A159="","",--(COUNTIFS($A$2:A159,A159,$F$2:F159,F159)=1))</f>
        <v/>
      </c>
    </row>
    <row r="160" spans="1:16">
      <c r="A160" s="5"/>
      <c r="O160" s="4" t="str">
        <f>IF(A160="","",--(COUNTIF($A$2:A160,A160)=1))</f>
        <v/>
      </c>
      <c r="P160" s="4" t="str">
        <f>IF(A160="","",--(COUNTIFS($A$2:A160,A160,$F$2:F160,F160)=1))</f>
        <v/>
      </c>
    </row>
    <row r="161" spans="1:16">
      <c r="A161" s="5"/>
      <c r="O161" s="4" t="str">
        <f>IF(A161="","",--(COUNTIF($A$2:A161,A161)=1))</f>
        <v/>
      </c>
      <c r="P161" s="4" t="str">
        <f>IF(A161="","",--(COUNTIFS($A$2:A161,A161,$F$2:F161,F161)=1))</f>
        <v/>
      </c>
    </row>
    <row r="162" spans="1:16">
      <c r="A162" s="5"/>
      <c r="O162" s="4" t="str">
        <f>IF(A162="","",--(COUNTIF($A$2:A162,A162)=1))</f>
        <v/>
      </c>
      <c r="P162" s="4" t="str">
        <f>IF(A162="","",--(COUNTIFS($A$2:A162,A162,$F$2:F162,F162)=1))</f>
        <v/>
      </c>
    </row>
    <row r="163" spans="1:16">
      <c r="A163" s="5"/>
      <c r="O163" s="4" t="str">
        <f>IF(A163="","",--(COUNTIF($A$2:A163,A163)=1))</f>
        <v/>
      </c>
      <c r="P163" s="4" t="str">
        <f>IF(A163="","",--(COUNTIFS($A$2:A163,A163,$F$2:F163,F163)=1))</f>
        <v/>
      </c>
    </row>
    <row r="164" spans="1:16">
      <c r="A164" s="5"/>
      <c r="O164" s="4" t="str">
        <f>IF(A164="","",--(COUNTIF($A$2:A164,A164)=1))</f>
        <v/>
      </c>
      <c r="P164" s="4" t="str">
        <f>IF(A164="","",--(COUNTIFS($A$2:A164,A164,$F$2:F164,F164)=1))</f>
        <v/>
      </c>
    </row>
    <row r="165" spans="1:16">
      <c r="A165" s="5"/>
      <c r="O165" s="4" t="str">
        <f>IF(A165="","",--(COUNTIF($A$2:A165,A165)=1))</f>
        <v/>
      </c>
      <c r="P165" s="4" t="str">
        <f>IF(A165="","",--(COUNTIFS($A$2:A165,A165,$F$2:F165,F165)=1))</f>
        <v/>
      </c>
    </row>
    <row r="166" spans="1:16">
      <c r="A166" s="5"/>
      <c r="O166" s="4" t="str">
        <f>IF(A166="","",--(COUNTIF($A$2:A166,A166)=1))</f>
        <v/>
      </c>
      <c r="P166" s="4" t="str">
        <f>IF(A166="","",--(COUNTIFS($A$2:A166,A166,$F$2:F166,F166)=1))</f>
        <v/>
      </c>
    </row>
    <row r="167" spans="1:16">
      <c r="A167" s="5"/>
      <c r="O167" s="4" t="str">
        <f>IF(A167="","",--(COUNTIF($A$2:A167,A167)=1))</f>
        <v/>
      </c>
      <c r="P167" s="4" t="str">
        <f>IF(A167="","",--(COUNTIFS($A$2:A167,A167,$F$2:F167,F167)=1))</f>
        <v/>
      </c>
    </row>
    <row r="168" spans="1:16">
      <c r="A168" s="5"/>
      <c r="O168" s="4" t="str">
        <f>IF(A168="","",--(COUNTIF($A$2:A168,A168)=1))</f>
        <v/>
      </c>
      <c r="P168" s="4" t="str">
        <f>IF(A168="","",--(COUNTIFS($A$2:A168,A168,$F$2:F168,F168)=1))</f>
        <v/>
      </c>
    </row>
    <row r="169" spans="1:16">
      <c r="A169" s="5"/>
      <c r="O169" s="4" t="str">
        <f>IF(A169="","",--(COUNTIF($A$2:A169,A169)=1))</f>
        <v/>
      </c>
      <c r="P169" s="4" t="str">
        <f>IF(A169="","",--(COUNTIFS($A$2:A169,A169,$F$2:F169,F169)=1))</f>
        <v/>
      </c>
    </row>
    <row r="170" spans="1:16">
      <c r="A170" s="5"/>
      <c r="O170" s="4" t="str">
        <f>IF(A170="","",--(COUNTIF($A$2:A170,A170)=1))</f>
        <v/>
      </c>
      <c r="P170" s="4" t="str">
        <f>IF(A170="","",--(COUNTIFS($A$2:A170,A170,$F$2:F170,F170)=1))</f>
        <v/>
      </c>
    </row>
    <row r="171" spans="1:16">
      <c r="A171" s="5"/>
      <c r="O171" s="4" t="str">
        <f>IF(A171="","",--(COUNTIF($A$2:A171,A171)=1))</f>
        <v/>
      </c>
      <c r="P171" s="4" t="str">
        <f>IF(A171="","",--(COUNTIFS($A$2:A171,A171,$F$2:F171,F171)=1))</f>
        <v/>
      </c>
    </row>
    <row r="172" spans="1:16">
      <c r="A172" s="5"/>
      <c r="O172" s="4" t="str">
        <f>IF(A172="","",--(COUNTIF($A$2:A172,A172)=1))</f>
        <v/>
      </c>
      <c r="P172" s="4" t="str">
        <f>IF(A172="","",--(COUNTIFS($A$2:A172,A172,$F$2:F172,F172)=1))</f>
        <v/>
      </c>
    </row>
    <row r="173" spans="1:16">
      <c r="A173" s="5"/>
      <c r="O173" s="4" t="str">
        <f>IF(A173="","",--(COUNTIF($A$2:A173,A173)=1))</f>
        <v/>
      </c>
      <c r="P173" s="4" t="str">
        <f>IF(A173="","",--(COUNTIFS($A$2:A173,A173,$F$2:F173,F173)=1))</f>
        <v/>
      </c>
    </row>
    <row r="174" spans="1:16">
      <c r="A174" s="5"/>
      <c r="O174" s="4" t="str">
        <f>IF(A174="","",--(COUNTIF($A$2:A174,A174)=1))</f>
        <v/>
      </c>
      <c r="P174" s="4" t="str">
        <f>IF(A174="","",--(COUNTIFS($A$2:A174,A174,$F$2:F174,F174)=1))</f>
        <v/>
      </c>
    </row>
    <row r="175" spans="1:16">
      <c r="A175" s="5"/>
      <c r="O175" s="4" t="str">
        <f>IF(A175="","",--(COUNTIF($A$2:A175,A175)=1))</f>
        <v/>
      </c>
      <c r="P175" s="4" t="str">
        <f>IF(A175="","",--(COUNTIFS($A$2:A175,A175,$F$2:F175,F175)=1))</f>
        <v/>
      </c>
    </row>
    <row r="176" spans="1:16">
      <c r="A176" s="5"/>
      <c r="O176" s="4" t="str">
        <f>IF(A176="","",--(COUNTIF($A$2:A176,A176)=1))</f>
        <v/>
      </c>
      <c r="P176" s="4" t="str">
        <f>IF(A176="","",--(COUNTIFS($A$2:A176,A176,$F$2:F176,F176)=1))</f>
        <v/>
      </c>
    </row>
    <row r="177" spans="1:16">
      <c r="A177" s="5"/>
      <c r="O177" s="4" t="str">
        <f>IF(A177="","",--(COUNTIF($A$2:A177,A177)=1))</f>
        <v/>
      </c>
      <c r="P177" s="4" t="str">
        <f>IF(A177="","",--(COUNTIFS($A$2:A177,A177,$F$2:F177,F177)=1))</f>
        <v/>
      </c>
    </row>
    <row r="178" spans="1:16">
      <c r="A178" s="5"/>
      <c r="O178" s="4" t="str">
        <f>IF(A178="","",--(COUNTIF($A$2:A178,A178)=1))</f>
        <v/>
      </c>
      <c r="P178" s="4" t="str">
        <f>IF(A178="","",--(COUNTIFS($A$2:A178,A178,$F$2:F178,F178)=1))</f>
        <v/>
      </c>
    </row>
    <row r="179" spans="1:16">
      <c r="A179" s="5"/>
      <c r="O179" s="4" t="str">
        <f>IF(A179="","",--(COUNTIF($A$2:A179,A179)=1))</f>
        <v/>
      </c>
      <c r="P179" s="4" t="str">
        <f>IF(A179="","",--(COUNTIFS($A$2:A179,A179,$F$2:F179,F179)=1))</f>
        <v/>
      </c>
    </row>
    <row r="180" spans="1:16">
      <c r="A180" s="5"/>
      <c r="O180" s="4" t="str">
        <f>IF(A180="","",--(COUNTIF($A$2:A180,A180)=1))</f>
        <v/>
      </c>
      <c r="P180" s="4" t="str">
        <f>IF(A180="","",--(COUNTIFS($A$2:A180,A180,$F$2:F180,F180)=1))</f>
        <v/>
      </c>
    </row>
    <row r="181" spans="1:16">
      <c r="A181" s="5"/>
      <c r="O181" s="4" t="str">
        <f>IF(A181="","",--(COUNTIF($A$2:A181,A181)=1))</f>
        <v/>
      </c>
      <c r="P181" s="4" t="str">
        <f>IF(A181="","",--(COUNTIFS($A$2:A181,A181,$F$2:F181,F181)=1))</f>
        <v/>
      </c>
    </row>
    <row r="182" spans="1:16">
      <c r="A182" s="5"/>
      <c r="O182" s="4" t="str">
        <f>IF(A182="","",--(COUNTIF($A$2:A182,A182)=1))</f>
        <v/>
      </c>
      <c r="P182" s="4" t="str">
        <f>IF(A182="","",--(COUNTIFS($A$2:A182,A182,$F$2:F182,F182)=1))</f>
        <v/>
      </c>
    </row>
    <row r="183" spans="1:16">
      <c r="A183" s="5"/>
      <c r="O183" s="4" t="str">
        <f>IF(A183="","",--(COUNTIF($A$2:A183,A183)=1))</f>
        <v/>
      </c>
      <c r="P183" s="4" t="str">
        <f>IF(A183="","",--(COUNTIFS($A$2:A183,A183,$F$2:F183,F183)=1))</f>
        <v/>
      </c>
    </row>
    <row r="184" spans="1:16">
      <c r="A184" s="5"/>
      <c r="O184" s="4" t="str">
        <f>IF(A184="","",--(COUNTIF($A$2:A184,A184)=1))</f>
        <v/>
      </c>
      <c r="P184" s="4" t="str">
        <f>IF(A184="","",--(COUNTIFS($A$2:A184,A184,$F$2:F184,F184)=1))</f>
        <v/>
      </c>
    </row>
    <row r="185" spans="1:16">
      <c r="A185" s="5"/>
      <c r="O185" s="4" t="str">
        <f>IF(A185="","",--(COUNTIF($A$2:A185,A185)=1))</f>
        <v/>
      </c>
      <c r="P185" s="4" t="str">
        <f>IF(A185="","",--(COUNTIFS($A$2:A185,A185,$F$2:F185,F185)=1))</f>
        <v/>
      </c>
    </row>
    <row r="186" spans="1:16">
      <c r="A186" s="5"/>
      <c r="O186" s="4" t="str">
        <f>IF(A186="","",--(COUNTIF($A$2:A186,A186)=1))</f>
        <v/>
      </c>
      <c r="P186" s="4" t="str">
        <f>IF(A186="","",--(COUNTIFS($A$2:A186,A186,$F$2:F186,F186)=1))</f>
        <v/>
      </c>
    </row>
    <row r="187" spans="1:16">
      <c r="A187" s="5"/>
      <c r="O187" s="4" t="str">
        <f>IF(A187="","",--(COUNTIF($A$2:A187,A187)=1))</f>
        <v/>
      </c>
      <c r="P187" s="4" t="str">
        <f>IF(A187="","",--(COUNTIFS($A$2:A187,A187,$F$2:F187,F187)=1))</f>
        <v/>
      </c>
    </row>
    <row r="188" spans="1:16">
      <c r="A188" s="5"/>
      <c r="O188" s="4" t="str">
        <f>IF(A188="","",--(COUNTIF($A$2:A188,A188)=1))</f>
        <v/>
      </c>
      <c r="P188" s="4" t="str">
        <f>IF(A188="","",--(COUNTIFS($A$2:A188,A188,$F$2:F188,F188)=1))</f>
        <v/>
      </c>
    </row>
    <row r="189" spans="1:16">
      <c r="A189" s="5"/>
      <c r="O189" s="4" t="str">
        <f>IF(A189="","",--(COUNTIF($A$2:A189,A189)=1))</f>
        <v/>
      </c>
      <c r="P189" s="4" t="str">
        <f>IF(A189="","",--(COUNTIFS($A$2:A189,A189,$F$2:F189,F189)=1))</f>
        <v/>
      </c>
    </row>
    <row r="190" spans="1:16">
      <c r="A190" s="5"/>
      <c r="O190" s="4" t="str">
        <f>IF(A190="","",--(COUNTIF($A$2:A190,A190)=1))</f>
        <v/>
      </c>
      <c r="P190" s="4" t="str">
        <f>IF(A190="","",--(COUNTIFS($A$2:A190,A190,$F$2:F190,F190)=1))</f>
        <v/>
      </c>
    </row>
    <row r="191" spans="1:16">
      <c r="A191" s="5"/>
      <c r="O191" s="4" t="str">
        <f>IF(A191="","",--(COUNTIF($A$2:A191,A191)=1))</f>
        <v/>
      </c>
      <c r="P191" s="4" t="str">
        <f>IF(A191="","",--(COUNTIFS($A$2:A191,A191,$F$2:F191,F191)=1))</f>
        <v/>
      </c>
    </row>
    <row r="192" spans="1:16">
      <c r="A192" s="5"/>
      <c r="O192" s="4" t="str">
        <f>IF(A192="","",--(COUNTIF($A$2:A192,A192)=1))</f>
        <v/>
      </c>
      <c r="P192" s="4" t="str">
        <f>IF(A192="","",--(COUNTIFS($A$2:A192,A192,$F$2:F192,F192)=1))</f>
        <v/>
      </c>
    </row>
    <row r="193" spans="1:16">
      <c r="A193" s="5"/>
      <c r="O193" s="4" t="str">
        <f>IF(A193="","",--(COUNTIF($A$2:A193,A193)=1))</f>
        <v/>
      </c>
      <c r="P193" s="4" t="str">
        <f>IF(A193="","",--(COUNTIFS($A$2:A193,A193,$F$2:F193,F193)=1))</f>
        <v/>
      </c>
    </row>
    <row r="194" spans="1:16">
      <c r="A194" s="5"/>
      <c r="O194" s="4" t="str">
        <f>IF(A194="","",--(COUNTIF($A$2:A194,A194)=1))</f>
        <v/>
      </c>
      <c r="P194" s="4" t="str">
        <f>IF(A194="","",--(COUNTIFS($A$2:A194,A194,$F$2:F194,F194)=1))</f>
        <v/>
      </c>
    </row>
    <row r="195" spans="1:16">
      <c r="A195" s="5"/>
      <c r="O195" s="4" t="str">
        <f>IF(A195="","",--(COUNTIF($A$2:A195,A195)=1))</f>
        <v/>
      </c>
      <c r="P195" s="4" t="str">
        <f>IF(A195="","",--(COUNTIFS($A$2:A195,A195,$F$2:F195,F195)=1))</f>
        <v/>
      </c>
    </row>
    <row r="196" spans="1:16">
      <c r="A196" s="5"/>
      <c r="O196" s="4" t="str">
        <f>IF(A196="","",--(COUNTIF($A$2:A196,A196)=1))</f>
        <v/>
      </c>
      <c r="P196" s="4" t="str">
        <f>IF(A196="","",--(COUNTIFS($A$2:A196,A196,$F$2:F196,F196)=1))</f>
        <v/>
      </c>
    </row>
    <row r="197" spans="1:16">
      <c r="A197" s="5"/>
      <c r="O197" s="4" t="str">
        <f>IF(A197="","",--(COUNTIF($A$2:A197,A197)=1))</f>
        <v/>
      </c>
      <c r="P197" s="4" t="str">
        <f>IF(A197="","",--(COUNTIFS($A$2:A197,A197,$F$2:F197,F197)=1))</f>
        <v/>
      </c>
    </row>
    <row r="198" spans="1:16">
      <c r="A198" s="5"/>
      <c r="O198" s="4" t="str">
        <f>IF(A198="","",--(COUNTIF($A$2:A198,A198)=1))</f>
        <v/>
      </c>
      <c r="P198" s="4" t="str">
        <f>IF(A198="","",--(COUNTIFS($A$2:A198,A198,$F$2:F198,F198)=1))</f>
        <v/>
      </c>
    </row>
    <row r="199" spans="1:16">
      <c r="A199" s="5"/>
      <c r="O199" s="4" t="str">
        <f>IF(A199="","",--(COUNTIF($A$2:A199,A199)=1))</f>
        <v/>
      </c>
      <c r="P199" s="4" t="str">
        <f>IF(A199="","",--(COUNTIFS($A$2:A199,A199,$F$2:F199,F199)=1))</f>
        <v/>
      </c>
    </row>
    <row r="200" spans="1:16">
      <c r="A200" s="5"/>
      <c r="O200" s="4" t="str">
        <f>IF(A200="","",--(COUNTIF($A$2:A200,A200)=1))</f>
        <v/>
      </c>
      <c r="P200" s="4" t="str">
        <f>IF(A200="","",--(COUNTIFS($A$2:A200,A200,$F$2:F200,F200)=1))</f>
        <v/>
      </c>
    </row>
    <row r="201" spans="1:16">
      <c r="A201" s="5"/>
      <c r="O201" s="4" t="str">
        <f>IF(A201="","",--(COUNTIF($A$2:A201,A201)=1))</f>
        <v/>
      </c>
      <c r="P201" s="4" t="str">
        <f>IF(A201="","",--(COUNTIFS($A$2:A201,A201,$F$2:F201,F201)=1))</f>
        <v/>
      </c>
    </row>
    <row r="202" spans="1:16">
      <c r="A202" s="5"/>
      <c r="O202" s="4" t="str">
        <f>IF(A202="","",--(COUNTIF($A$2:A202,A202)=1))</f>
        <v/>
      </c>
      <c r="P202" s="4" t="str">
        <f>IF(A202="","",--(COUNTIFS($A$2:A202,A202,$F$2:F202,F202)=1))</f>
        <v/>
      </c>
    </row>
    <row r="203" spans="1:16">
      <c r="A203" s="5"/>
      <c r="O203" s="4" t="str">
        <f>IF(A203="","",--(COUNTIF($A$2:A203,A203)=1))</f>
        <v/>
      </c>
      <c r="P203" s="4" t="str">
        <f>IF(A203="","",--(COUNTIFS($A$2:A203,A203,$F$2:F203,F203)=1))</f>
        <v/>
      </c>
    </row>
    <row r="204" spans="1:16">
      <c r="A204" s="5"/>
      <c r="O204" s="4" t="str">
        <f>IF(A204="","",--(COUNTIF($A$2:A204,A204)=1))</f>
        <v/>
      </c>
      <c r="P204" s="4" t="str">
        <f>IF(A204="","",--(COUNTIFS($A$2:A204,A204,$F$2:F204,F204)=1))</f>
        <v/>
      </c>
    </row>
    <row r="205" spans="1:16">
      <c r="A205" s="5"/>
      <c r="O205" s="4" t="str">
        <f>IF(A205="","",--(COUNTIF($A$2:A205,A205)=1))</f>
        <v/>
      </c>
      <c r="P205" s="4" t="str">
        <f>IF(A205="","",--(COUNTIFS($A$2:A205,A205,$F$2:F205,F205)=1))</f>
        <v/>
      </c>
    </row>
    <row r="206" spans="1:16">
      <c r="A206" s="5"/>
      <c r="O206" s="4" t="str">
        <f>IF(A206="","",--(COUNTIF($A$2:A206,A206)=1))</f>
        <v/>
      </c>
      <c r="P206" s="4" t="str">
        <f>IF(A206="","",--(COUNTIFS($A$2:A206,A206,$F$2:F206,F206)=1))</f>
        <v/>
      </c>
    </row>
    <row r="207" spans="1:16">
      <c r="A207" s="5"/>
      <c r="O207" s="4" t="str">
        <f>IF(A207="","",--(COUNTIF($A$2:A207,A207)=1))</f>
        <v/>
      </c>
      <c r="P207" s="4" t="str">
        <f>IF(A207="","",--(COUNTIFS($A$2:A207,A207,$F$2:F207,F207)=1))</f>
        <v/>
      </c>
    </row>
    <row r="208" spans="1:16">
      <c r="A208" s="5"/>
      <c r="O208" s="4" t="str">
        <f>IF(A208="","",--(COUNTIF($A$2:A208,A208)=1))</f>
        <v/>
      </c>
      <c r="P208" s="4" t="str">
        <f>IF(A208="","",--(COUNTIFS($A$2:A208,A208,$F$2:F208,F208)=1))</f>
        <v/>
      </c>
    </row>
    <row r="209" spans="1:16">
      <c r="A209" s="5"/>
      <c r="O209" s="4" t="str">
        <f>IF(A209="","",--(COUNTIF($A$2:A209,A209)=1))</f>
        <v/>
      </c>
      <c r="P209" s="4" t="str">
        <f>IF(A209="","",--(COUNTIFS($A$2:A209,A209,$F$2:F209,F209)=1))</f>
        <v/>
      </c>
    </row>
    <row r="210" spans="1:16">
      <c r="A210" s="5"/>
      <c r="O210" s="4" t="str">
        <f>IF(A210="","",--(COUNTIF($A$2:A210,A210)=1))</f>
        <v/>
      </c>
      <c r="P210" s="4" t="str">
        <f>IF(A210="","",--(COUNTIFS($A$2:A210,A210,$F$2:F210,F210)=1))</f>
        <v/>
      </c>
    </row>
    <row r="211" spans="1:16">
      <c r="A211" s="5"/>
      <c r="O211" s="4" t="str">
        <f>IF(A211="","",--(COUNTIF($A$2:A211,A211)=1))</f>
        <v/>
      </c>
      <c r="P211" s="4" t="str">
        <f>IF(A211="","",--(COUNTIFS($A$2:A211,A211,$F$2:F211,F211)=1))</f>
        <v/>
      </c>
    </row>
    <row r="212" spans="1:16">
      <c r="A212" s="5"/>
      <c r="O212" s="4" t="str">
        <f>IF(A212="","",--(COUNTIF($A$2:A212,A212)=1))</f>
        <v/>
      </c>
      <c r="P212" s="4" t="str">
        <f>IF(A212="","",--(COUNTIFS($A$2:A212,A212,$F$2:F212,F212)=1))</f>
        <v/>
      </c>
    </row>
    <row r="213" spans="1:16">
      <c r="A213" s="5"/>
      <c r="O213" s="4" t="str">
        <f>IF(A213="","",--(COUNTIF($A$2:A213,A213)=1))</f>
        <v/>
      </c>
      <c r="P213" s="4" t="str">
        <f>IF(A213="","",--(COUNTIFS($A$2:A213,A213,$F$2:F213,F213)=1))</f>
        <v/>
      </c>
    </row>
    <row r="214" spans="1:16">
      <c r="A214" s="5"/>
      <c r="O214" s="4" t="str">
        <f>IF(A214="","",--(COUNTIF($A$2:A214,A214)=1))</f>
        <v/>
      </c>
      <c r="P214" s="4" t="str">
        <f>IF(A214="","",--(COUNTIFS($A$2:A214,A214,$F$2:F214,F214)=1))</f>
        <v/>
      </c>
    </row>
    <row r="215" spans="1:16">
      <c r="A215" s="5"/>
      <c r="O215" s="4" t="str">
        <f>IF(A215="","",--(COUNTIF($A$2:A215,A215)=1))</f>
        <v/>
      </c>
      <c r="P215" s="4" t="str">
        <f>IF(A215="","",--(COUNTIFS($A$2:A215,A215,$F$2:F215,F215)=1))</f>
        <v/>
      </c>
    </row>
    <row r="216" spans="1:16">
      <c r="A216" s="5"/>
      <c r="O216" s="4" t="str">
        <f>IF(A216="","",--(COUNTIF($A$2:A216,A216)=1))</f>
        <v/>
      </c>
      <c r="P216" s="4" t="str">
        <f>IF(A216="","",--(COUNTIFS($A$2:A216,A216,$F$2:F216,F216)=1))</f>
        <v/>
      </c>
    </row>
    <row r="217" spans="1:16">
      <c r="A217" s="5"/>
      <c r="O217" s="4" t="str">
        <f>IF(A217="","",--(COUNTIF($A$2:A217,A217)=1))</f>
        <v/>
      </c>
      <c r="P217" s="4" t="str">
        <f>IF(A217="","",--(COUNTIFS($A$2:A217,A217,$F$2:F217,F217)=1))</f>
        <v/>
      </c>
    </row>
    <row r="218" spans="1:16">
      <c r="A218" s="5"/>
      <c r="O218" s="4" t="str">
        <f>IF(A218="","",--(COUNTIF($A$2:A218,A218)=1))</f>
        <v/>
      </c>
      <c r="P218" s="4" t="str">
        <f>IF(A218="","",--(COUNTIFS($A$2:A218,A218,$F$2:F218,F218)=1))</f>
        <v/>
      </c>
    </row>
    <row r="219" spans="1:16">
      <c r="A219" s="5"/>
      <c r="O219" s="4" t="str">
        <f>IF(A219="","",--(COUNTIF($A$2:A219,A219)=1))</f>
        <v/>
      </c>
      <c r="P219" s="4" t="str">
        <f>IF(A219="","",--(COUNTIFS($A$2:A219,A219,$F$2:F219,F219)=1))</f>
        <v/>
      </c>
    </row>
    <row r="220" spans="1:16">
      <c r="A220" s="5"/>
      <c r="O220" s="4" t="str">
        <f>IF(A220="","",--(COUNTIF($A$2:A220,A220)=1))</f>
        <v/>
      </c>
      <c r="P220" s="4" t="str">
        <f>IF(A220="","",--(COUNTIFS($A$2:A220,A220,$F$2:F220,F220)=1))</f>
        <v/>
      </c>
    </row>
    <row r="221" spans="1:16">
      <c r="A221" s="5"/>
      <c r="O221" s="4" t="str">
        <f>IF(A221="","",--(COUNTIF($A$2:A221,A221)=1))</f>
        <v/>
      </c>
      <c r="P221" s="4" t="str">
        <f>IF(A221="","",--(COUNTIFS($A$2:A221,A221,$F$2:F221,F221)=1))</f>
        <v/>
      </c>
    </row>
    <row r="222" spans="1:16">
      <c r="A222" s="5"/>
      <c r="O222" s="4" t="str">
        <f>IF(A222="","",--(COUNTIF($A$2:A222,A222)=1))</f>
        <v/>
      </c>
      <c r="P222" s="4" t="str">
        <f>IF(A222="","",--(COUNTIFS($A$2:A222,A222,$F$2:F222,F222)=1))</f>
        <v/>
      </c>
    </row>
    <row r="223" spans="1:16">
      <c r="A223" s="5"/>
      <c r="O223" s="4" t="str">
        <f>IF(A223="","",--(COUNTIF($A$2:A223,A223)=1))</f>
        <v/>
      </c>
      <c r="P223" s="4" t="str">
        <f>IF(A223="","",--(COUNTIFS($A$2:A223,A223,$F$2:F223,F223)=1))</f>
        <v/>
      </c>
    </row>
    <row r="224" spans="1:16">
      <c r="A224" s="5"/>
      <c r="O224" s="4" t="str">
        <f>IF(A224="","",--(COUNTIF($A$2:A224,A224)=1))</f>
        <v/>
      </c>
      <c r="P224" s="4" t="str">
        <f>IF(A224="","",--(COUNTIFS($A$2:A224,A224,$F$2:F224,F224)=1))</f>
        <v/>
      </c>
    </row>
    <row r="225" spans="1:16">
      <c r="A225" s="5"/>
      <c r="O225" s="4" t="str">
        <f>IF(A225="","",--(COUNTIF($A$2:A225,A225)=1))</f>
        <v/>
      </c>
      <c r="P225" s="4" t="str">
        <f>IF(A225="","",--(COUNTIFS($A$2:A225,A225,$F$2:F225,F225)=1))</f>
        <v/>
      </c>
    </row>
    <row r="226" spans="1:16">
      <c r="A226" s="5"/>
      <c r="O226" s="4" t="str">
        <f>IF(A226="","",--(COUNTIF($A$2:A226,A226)=1))</f>
        <v/>
      </c>
      <c r="P226" s="4" t="str">
        <f>IF(A226="","",--(COUNTIFS($A$2:A226,A226,$F$2:F226,F226)=1))</f>
        <v/>
      </c>
    </row>
    <row r="227" spans="1:16">
      <c r="A227" s="5"/>
      <c r="O227" s="4" t="str">
        <f>IF(A227="","",--(COUNTIF($A$2:A227,A227)=1))</f>
        <v/>
      </c>
      <c r="P227" s="4" t="str">
        <f>IF(A227="","",--(COUNTIFS($A$2:A227,A227,$F$2:F227,F227)=1))</f>
        <v/>
      </c>
    </row>
    <row r="228" spans="1:16">
      <c r="A228" s="5"/>
      <c r="O228" s="4" t="str">
        <f>IF(A228="","",--(COUNTIF($A$2:A228,A228)=1))</f>
        <v/>
      </c>
      <c r="P228" s="4" t="str">
        <f>IF(A228="","",--(COUNTIFS($A$2:A228,A228,$F$2:F228,F228)=1))</f>
        <v/>
      </c>
    </row>
    <row r="229" spans="1:16">
      <c r="A229" s="5"/>
      <c r="O229" s="4" t="str">
        <f>IF(A229="","",--(COUNTIF($A$2:A229,A229)=1))</f>
        <v/>
      </c>
      <c r="P229" s="4" t="str">
        <f>IF(A229="","",--(COUNTIFS($A$2:A229,A229,$F$2:F229,F229)=1))</f>
        <v/>
      </c>
    </row>
    <row r="230" spans="1:16">
      <c r="A230" s="5"/>
      <c r="O230" s="4" t="str">
        <f>IF(A230="","",--(COUNTIF($A$2:A230,A230)=1))</f>
        <v/>
      </c>
      <c r="P230" s="4" t="str">
        <f>IF(A230="","",--(COUNTIFS($A$2:A230,A230,$F$2:F230,F230)=1))</f>
        <v/>
      </c>
    </row>
    <row r="231" spans="1:16">
      <c r="A231" s="5"/>
      <c r="O231" s="4" t="str">
        <f>IF(A231="","",--(COUNTIF($A$2:A231,A231)=1))</f>
        <v/>
      </c>
      <c r="P231" s="4" t="str">
        <f>IF(A231="","",--(COUNTIFS($A$2:A231,A231,$F$2:F231,F231)=1))</f>
        <v/>
      </c>
    </row>
    <row r="232" spans="1:16">
      <c r="A232" s="5"/>
      <c r="O232" s="4" t="str">
        <f>IF(A232="","",--(COUNTIF($A$2:A232,A232)=1))</f>
        <v/>
      </c>
      <c r="P232" s="4" t="str">
        <f>IF(A232="","",--(COUNTIFS($A$2:A232,A232,$F$2:F232,F232)=1))</f>
        <v/>
      </c>
    </row>
    <row r="233" spans="1:16">
      <c r="A233" s="5"/>
      <c r="O233" s="4" t="str">
        <f>IF(A233="","",--(COUNTIF($A$2:A233,A233)=1))</f>
        <v/>
      </c>
      <c r="P233" s="4" t="str">
        <f>IF(A233="","",--(COUNTIFS($A$2:A233,A233,$F$2:F233,F233)=1))</f>
        <v/>
      </c>
    </row>
    <row r="234" spans="1:16">
      <c r="A234" s="5"/>
      <c r="O234" s="4" t="str">
        <f>IF(A234="","",--(COUNTIF($A$2:A234,A234)=1))</f>
        <v/>
      </c>
      <c r="P234" s="4" t="str">
        <f>IF(A234="","",--(COUNTIFS($A$2:A234,A234,$F$2:F234,F234)=1))</f>
        <v/>
      </c>
    </row>
    <row r="235" spans="1:16">
      <c r="A235" s="5"/>
      <c r="O235" s="4" t="str">
        <f>IF(A235="","",--(COUNTIF($A$2:A235,A235)=1))</f>
        <v/>
      </c>
      <c r="P235" s="4" t="str">
        <f>IF(A235="","",--(COUNTIFS($A$2:A235,A235,$F$2:F235,F235)=1))</f>
        <v/>
      </c>
    </row>
    <row r="236" spans="1:16">
      <c r="A236" s="5"/>
      <c r="O236" s="4" t="str">
        <f>IF(A236="","",--(COUNTIF($A$2:A236,A236)=1))</f>
        <v/>
      </c>
      <c r="P236" s="4" t="str">
        <f>IF(A236="","",--(COUNTIFS($A$2:A236,A236,$F$2:F236,F236)=1))</f>
        <v/>
      </c>
    </row>
    <row r="237" spans="1:16">
      <c r="A237" s="5"/>
      <c r="O237" s="4" t="str">
        <f>IF(A237="","",--(COUNTIF($A$2:A237,A237)=1))</f>
        <v/>
      </c>
      <c r="P237" s="4" t="str">
        <f>IF(A237="","",--(COUNTIFS($A$2:A237,A237,$F$2:F237,F237)=1))</f>
        <v/>
      </c>
    </row>
    <row r="238" spans="1:16">
      <c r="A238" s="5"/>
      <c r="O238" s="4" t="str">
        <f>IF(A238="","",--(COUNTIF($A$2:A238,A238)=1))</f>
        <v/>
      </c>
      <c r="P238" s="4" t="str">
        <f>IF(A238="","",--(COUNTIFS($A$2:A238,A238,$F$2:F238,F238)=1))</f>
        <v/>
      </c>
    </row>
    <row r="239" spans="1:16">
      <c r="A239" s="5"/>
      <c r="O239" s="4" t="str">
        <f>IF(A239="","",--(COUNTIF($A$2:A239,A239)=1))</f>
        <v/>
      </c>
      <c r="P239" s="4" t="str">
        <f>IF(A239="","",--(COUNTIFS($A$2:A239,A239,$F$2:F239,F239)=1))</f>
        <v/>
      </c>
    </row>
    <row r="240" spans="1:16">
      <c r="A240" s="5"/>
      <c r="O240" s="4" t="str">
        <f>IF(A240="","",--(COUNTIF($A$2:A240,A240)=1))</f>
        <v/>
      </c>
      <c r="P240" s="4" t="str">
        <f>IF(A240="","",--(COUNTIFS($A$2:A240,A240,$F$2:F240,F240)=1))</f>
        <v/>
      </c>
    </row>
    <row r="241" spans="1:16">
      <c r="A241" s="5"/>
      <c r="O241" s="4" t="str">
        <f>IF(A241="","",--(COUNTIF($A$2:A241,A241)=1))</f>
        <v/>
      </c>
      <c r="P241" s="4" t="str">
        <f>IF(A241="","",--(COUNTIFS($A$2:A241,A241,$F$2:F241,F241)=1))</f>
        <v/>
      </c>
    </row>
    <row r="242" spans="1:16">
      <c r="A242" s="5"/>
      <c r="O242" s="4" t="str">
        <f>IF(A242="","",--(COUNTIF($A$2:A242,A242)=1))</f>
        <v/>
      </c>
      <c r="P242" s="4" t="str">
        <f>IF(A242="","",--(COUNTIFS($A$2:A242,A242,$F$2:F242,F242)=1))</f>
        <v/>
      </c>
    </row>
    <row r="243" spans="1:16">
      <c r="A243" s="5"/>
      <c r="O243" s="4" t="str">
        <f>IF(A243="","",--(COUNTIF($A$2:A243,A243)=1))</f>
        <v/>
      </c>
      <c r="P243" s="4" t="str">
        <f>IF(A243="","",--(COUNTIFS($A$2:A243,A243,$F$2:F243,F243)=1))</f>
        <v/>
      </c>
    </row>
    <row r="244" spans="1:16">
      <c r="A244" s="5"/>
      <c r="O244" s="4" t="str">
        <f>IF(A244="","",--(COUNTIF($A$2:A244,A244)=1))</f>
        <v/>
      </c>
      <c r="P244" s="4" t="str">
        <f>IF(A244="","",--(COUNTIFS($A$2:A244,A244,$F$2:F244,F244)=1))</f>
        <v/>
      </c>
    </row>
    <row r="245" spans="1:16">
      <c r="A245" s="5"/>
      <c r="O245" s="4" t="str">
        <f>IF(A245="","",--(COUNTIF($A$2:A245,A245)=1))</f>
        <v/>
      </c>
      <c r="P245" s="4" t="str">
        <f>IF(A245="","",--(COUNTIFS($A$2:A245,A245,$F$2:F245,F245)=1))</f>
        <v/>
      </c>
    </row>
    <row r="246" spans="1:16">
      <c r="A246" s="5"/>
      <c r="O246" s="4" t="str">
        <f>IF(A246="","",--(COUNTIF($A$2:A246,A246)=1))</f>
        <v/>
      </c>
      <c r="P246" s="4" t="str">
        <f>IF(A246="","",--(COUNTIFS($A$2:A246,A246,$F$2:F246,F246)=1))</f>
        <v/>
      </c>
    </row>
    <row r="247" spans="1:16">
      <c r="A247" s="5"/>
      <c r="O247" s="4" t="str">
        <f>IF(A247="","",--(COUNTIF($A$2:A247,A247)=1))</f>
        <v/>
      </c>
      <c r="P247" s="4" t="str">
        <f>IF(A247="","",--(COUNTIFS($A$2:A247,A247,$F$2:F247,F247)=1))</f>
        <v/>
      </c>
    </row>
    <row r="248" spans="1:16">
      <c r="A248" s="5"/>
      <c r="O248" s="4" t="str">
        <f>IF(A248="","",--(COUNTIF($A$2:A248,A248)=1))</f>
        <v/>
      </c>
      <c r="P248" s="4" t="str">
        <f>IF(A248="","",--(COUNTIFS($A$2:A248,A248,$F$2:F248,F248)=1))</f>
        <v/>
      </c>
    </row>
    <row r="249" spans="1:16">
      <c r="A249" s="5"/>
      <c r="O249" s="4" t="str">
        <f>IF(A249="","",--(COUNTIF($A$2:A249,A249)=1))</f>
        <v/>
      </c>
      <c r="P249" s="4" t="str">
        <f>IF(A249="","",--(COUNTIFS($A$2:A249,A249,$F$2:F249,F249)=1))</f>
        <v/>
      </c>
    </row>
    <row r="250" spans="1:16">
      <c r="A250" s="5"/>
      <c r="O250" s="4" t="str">
        <f>IF(A250="","",--(COUNTIF($A$2:A250,A250)=1))</f>
        <v/>
      </c>
      <c r="P250" s="4" t="str">
        <f>IF(A250="","",--(COUNTIFS($A$2:A250,A250,$F$2:F250,F250)=1))</f>
        <v/>
      </c>
    </row>
    <row r="251" spans="1:16">
      <c r="A251" s="5"/>
      <c r="O251" s="4" t="str">
        <f>IF(A251="","",--(COUNTIF($A$2:A251,A251)=1))</f>
        <v/>
      </c>
      <c r="P251" s="4" t="str">
        <f>IF(A251="","",--(COUNTIFS($A$2:A251,A251,$F$2:F251,F251)=1))</f>
        <v/>
      </c>
    </row>
    <row r="252" spans="1:16">
      <c r="A252" s="5"/>
      <c r="O252" s="4" t="str">
        <f>IF(A252="","",--(COUNTIF($A$2:A252,A252)=1))</f>
        <v/>
      </c>
      <c r="P252" s="4" t="str">
        <f>IF(A252="","",--(COUNTIFS($A$2:A252,A252,$F$2:F252,F252)=1))</f>
        <v/>
      </c>
    </row>
    <row r="253" spans="1:16">
      <c r="A253" s="5"/>
      <c r="O253" s="4" t="str">
        <f>IF(A253="","",--(COUNTIF($A$2:A253,A253)=1))</f>
        <v/>
      </c>
      <c r="P253" s="4" t="str">
        <f>IF(A253="","",--(COUNTIFS($A$2:A253,A253,$F$2:F253,F253)=1))</f>
        <v/>
      </c>
    </row>
    <row r="254" spans="1:16">
      <c r="A254" s="5"/>
      <c r="O254" s="4" t="str">
        <f>IF(A254="","",--(COUNTIF($A$2:A254,A254)=1))</f>
        <v/>
      </c>
      <c r="P254" s="4" t="str">
        <f>IF(A254="","",--(COUNTIFS($A$2:A254,A254,$F$2:F254,F254)=1))</f>
        <v/>
      </c>
    </row>
    <row r="255" spans="1:16">
      <c r="A255" s="5"/>
      <c r="O255" s="4" t="str">
        <f>IF(A255="","",--(COUNTIF($A$2:A255,A255)=1))</f>
        <v/>
      </c>
      <c r="P255" s="4" t="str">
        <f>IF(A255="","",--(COUNTIFS($A$2:A255,A255,$F$2:F255,F255)=1))</f>
        <v/>
      </c>
    </row>
    <row r="256" spans="1:16">
      <c r="A256" s="5"/>
      <c r="O256" s="4" t="str">
        <f>IF(A256="","",--(COUNTIF($A$2:A256,A256)=1))</f>
        <v/>
      </c>
      <c r="P256" s="4" t="str">
        <f>IF(A256="","",--(COUNTIFS($A$2:A256,A256,$F$2:F256,F256)=1))</f>
        <v/>
      </c>
    </row>
    <row r="257" spans="1:16">
      <c r="A257" s="5"/>
      <c r="O257" s="4" t="str">
        <f>IF(A257="","",--(COUNTIF($A$2:A257,A257)=1))</f>
        <v/>
      </c>
      <c r="P257" s="4" t="str">
        <f>IF(A257="","",--(COUNTIFS($A$2:A257,A257,$F$2:F257,F257)=1))</f>
        <v/>
      </c>
    </row>
    <row r="258" spans="1:16">
      <c r="A258" s="5"/>
      <c r="O258" s="4" t="str">
        <f>IF(A258="","",--(COUNTIF($A$2:A258,A258)=1))</f>
        <v/>
      </c>
      <c r="P258" s="4" t="str">
        <f>IF(A258="","",--(COUNTIFS($A$2:A258,A258,$F$2:F258,F258)=1))</f>
        <v/>
      </c>
    </row>
    <row r="259" spans="1:16">
      <c r="A259" s="5"/>
      <c r="O259" s="4" t="str">
        <f>IF(A259="","",--(COUNTIF($A$2:A259,A259)=1))</f>
        <v/>
      </c>
      <c r="P259" s="4" t="str">
        <f>IF(A259="","",--(COUNTIFS($A$2:A259,A259,$F$2:F259,F259)=1))</f>
        <v/>
      </c>
    </row>
    <row r="260" spans="1:16">
      <c r="A260" s="5"/>
      <c r="O260" s="4" t="str">
        <f>IF(A260="","",--(COUNTIF($A$2:A260,A260)=1))</f>
        <v/>
      </c>
      <c r="P260" s="4" t="str">
        <f>IF(A260="","",--(COUNTIFS($A$2:A260,A260,$F$2:F260,F260)=1))</f>
        <v/>
      </c>
    </row>
    <row r="261" spans="1:16">
      <c r="A261" s="5"/>
      <c r="O261" s="4" t="str">
        <f>IF(A261="","",--(COUNTIF($A$2:A261,A261)=1))</f>
        <v/>
      </c>
      <c r="P261" s="4" t="str">
        <f>IF(A261="","",--(COUNTIFS($A$2:A261,A261,$F$2:F261,F261)=1))</f>
        <v/>
      </c>
    </row>
    <row r="262" spans="1:16">
      <c r="A262" s="5"/>
      <c r="O262" s="4" t="str">
        <f>IF(A262="","",--(COUNTIF($A$2:A262,A262)=1))</f>
        <v/>
      </c>
      <c r="P262" s="4" t="str">
        <f>IF(A262="","",--(COUNTIFS($A$2:A262,A262,$F$2:F262,F262)=1))</f>
        <v/>
      </c>
    </row>
    <row r="263" spans="1:16">
      <c r="A263" s="5"/>
      <c r="O263" s="4" t="str">
        <f>IF(A263="","",--(COUNTIF($A$2:A263,A263)=1))</f>
        <v/>
      </c>
      <c r="P263" s="4" t="str">
        <f>IF(A263="","",--(COUNTIFS($A$2:A263,A263,$F$2:F263,F263)=1))</f>
        <v/>
      </c>
    </row>
    <row r="264" spans="1:16">
      <c r="A264" s="5"/>
      <c r="O264" s="4" t="str">
        <f>IF(A264="","",--(COUNTIF($A$2:A264,A264)=1))</f>
        <v/>
      </c>
      <c r="P264" s="4" t="str">
        <f>IF(A264="","",--(COUNTIFS($A$2:A264,A264,$F$2:F264,F264)=1))</f>
        <v/>
      </c>
    </row>
    <row r="265" spans="1:16">
      <c r="A265" s="5"/>
      <c r="O265" s="4" t="str">
        <f>IF(A265="","",--(COUNTIF($A$2:A265,A265)=1))</f>
        <v/>
      </c>
      <c r="P265" s="4" t="str">
        <f>IF(A265="","",--(COUNTIFS($A$2:A265,A265,$F$2:F265,F265)=1))</f>
        <v/>
      </c>
    </row>
    <row r="266" spans="1:16">
      <c r="A266" s="5"/>
      <c r="O266" s="4" t="str">
        <f>IF(A266="","",--(COUNTIF($A$2:A266,A266)=1))</f>
        <v/>
      </c>
      <c r="P266" s="4" t="str">
        <f>IF(A266="","",--(COUNTIFS($A$2:A266,A266,$F$2:F266,F266)=1))</f>
        <v/>
      </c>
    </row>
    <row r="267" spans="1:16">
      <c r="A267" s="5"/>
      <c r="O267" s="4" t="str">
        <f>IF(A267="","",--(COUNTIF($A$2:A267,A267)=1))</f>
        <v/>
      </c>
      <c r="P267" s="4" t="str">
        <f>IF(A267="","",--(COUNTIFS($A$2:A267,A267,$F$2:F267,F267)=1))</f>
        <v/>
      </c>
    </row>
    <row r="268" spans="1:16">
      <c r="A268" s="5"/>
      <c r="O268" s="4" t="str">
        <f>IF(A268="","",--(COUNTIF($A$2:A268,A268)=1))</f>
        <v/>
      </c>
      <c r="P268" s="4" t="str">
        <f>IF(A268="","",--(COUNTIFS($A$2:A268,A268,$F$2:F268,F268)=1))</f>
        <v/>
      </c>
    </row>
    <row r="269" spans="1:16">
      <c r="A269" s="5"/>
      <c r="O269" s="4" t="str">
        <f>IF(A269="","",--(COUNTIF($A$2:A269,A269)=1))</f>
        <v/>
      </c>
      <c r="P269" s="4" t="str">
        <f>IF(A269="","",--(COUNTIFS($A$2:A269,A269,$F$2:F269,F269)=1))</f>
        <v/>
      </c>
    </row>
    <row r="270" spans="1:16">
      <c r="A270" s="5"/>
      <c r="O270" s="4" t="str">
        <f>IF(A270="","",--(COUNTIF($A$2:A270,A270)=1))</f>
        <v/>
      </c>
      <c r="P270" s="4" t="str">
        <f>IF(A270="","",--(COUNTIFS($A$2:A270,A270,$F$2:F270,F270)=1))</f>
        <v/>
      </c>
    </row>
    <row r="271" spans="1:16">
      <c r="A271" s="5"/>
      <c r="O271" s="4" t="str">
        <f>IF(A271="","",--(COUNTIF($A$2:A271,A271)=1))</f>
        <v/>
      </c>
      <c r="P271" s="4" t="str">
        <f>IF(A271="","",--(COUNTIFS($A$2:A271,A271,$F$2:F271,F271)=1))</f>
        <v/>
      </c>
    </row>
    <row r="272" spans="1:16">
      <c r="A272" s="5"/>
      <c r="O272" s="4" t="str">
        <f>IF(A272="","",--(COUNTIF($A$2:A272,A272)=1))</f>
        <v/>
      </c>
      <c r="P272" s="4" t="str">
        <f>IF(A272="","",--(COUNTIFS($A$2:A272,A272,$F$2:F272,F272)=1))</f>
        <v/>
      </c>
    </row>
    <row r="273" spans="1:16">
      <c r="A273" s="5"/>
      <c r="O273" s="4" t="str">
        <f>IF(A273="","",--(COUNTIF($A$2:A273,A273)=1))</f>
        <v/>
      </c>
      <c r="P273" s="4" t="str">
        <f>IF(A273="","",--(COUNTIFS($A$2:A273,A273,$F$2:F273,F273)=1))</f>
        <v/>
      </c>
    </row>
    <row r="274" spans="1:16">
      <c r="A274" s="5"/>
      <c r="O274" s="4" t="str">
        <f>IF(A274="","",--(COUNTIF($A$2:A274,A274)=1))</f>
        <v/>
      </c>
      <c r="P274" s="4" t="str">
        <f>IF(A274="","",--(COUNTIFS($A$2:A274,A274,$F$2:F274,F274)=1))</f>
        <v/>
      </c>
    </row>
    <row r="275" spans="1:16">
      <c r="A275" s="5"/>
      <c r="O275" s="4" t="str">
        <f>IF(A275="","",--(COUNTIF($A$2:A275,A275)=1))</f>
        <v/>
      </c>
      <c r="P275" s="4" t="str">
        <f>IF(A275="","",--(COUNTIFS($A$2:A275,A275,$F$2:F275,F275)=1))</f>
        <v/>
      </c>
    </row>
    <row r="276" spans="1:16">
      <c r="A276" s="5"/>
      <c r="O276" s="4" t="str">
        <f>IF(A276="","",--(COUNTIF($A$2:A276,A276)=1))</f>
        <v/>
      </c>
      <c r="P276" s="4" t="str">
        <f>IF(A276="","",--(COUNTIFS($A$2:A276,A276,$F$2:F276,F276)=1))</f>
        <v/>
      </c>
    </row>
    <row r="277" spans="1:16">
      <c r="A277" s="5"/>
      <c r="O277" s="4" t="str">
        <f>IF(A277="","",--(COUNTIF($A$2:A277,A277)=1))</f>
        <v/>
      </c>
      <c r="P277" s="4" t="str">
        <f>IF(A277="","",--(COUNTIFS($A$2:A277,A277,$F$2:F277,F277)=1))</f>
        <v/>
      </c>
    </row>
    <row r="278" spans="1:16">
      <c r="A278" s="5"/>
      <c r="O278" s="4" t="str">
        <f>IF(A278="","",--(COUNTIF($A$2:A278,A278)=1))</f>
        <v/>
      </c>
      <c r="P278" s="4" t="str">
        <f>IF(A278="","",--(COUNTIFS($A$2:A278,A278,$F$2:F278,F278)=1))</f>
        <v/>
      </c>
    </row>
    <row r="279" spans="1:16">
      <c r="A279" s="5"/>
      <c r="O279" s="4" t="str">
        <f>IF(A279="","",--(COUNTIF($A$2:A279,A279)=1))</f>
        <v/>
      </c>
      <c r="P279" s="4" t="str">
        <f>IF(A279="","",--(COUNTIFS($A$2:A279,A279,$F$2:F279,F279)=1))</f>
        <v/>
      </c>
    </row>
    <row r="280" spans="1:16">
      <c r="A280" s="5"/>
      <c r="O280" s="4" t="str">
        <f>IF(A280="","",--(COUNTIF($A$2:A280,A280)=1))</f>
        <v/>
      </c>
      <c r="P280" s="4" t="str">
        <f>IF(A280="","",--(COUNTIFS($A$2:A280,A280,$F$2:F280,F280)=1))</f>
        <v/>
      </c>
    </row>
    <row r="281" spans="1:16">
      <c r="A281" s="5"/>
      <c r="O281" s="4" t="str">
        <f>IF(A281="","",--(COUNTIF($A$2:A281,A281)=1))</f>
        <v/>
      </c>
      <c r="P281" s="4" t="str">
        <f>IF(A281="","",--(COUNTIFS($A$2:A281,A281,$F$2:F281,F281)=1))</f>
        <v/>
      </c>
    </row>
    <row r="282" spans="1:16">
      <c r="A282" s="5"/>
      <c r="O282" s="4" t="str">
        <f>IF(A282="","",--(COUNTIF($A$2:A282,A282)=1))</f>
        <v/>
      </c>
      <c r="P282" s="4" t="str">
        <f>IF(A282="","",--(COUNTIFS($A$2:A282,A282,$F$2:F282,F282)=1))</f>
        <v/>
      </c>
    </row>
    <row r="283" spans="1:16">
      <c r="A283" s="5"/>
      <c r="O283" s="4" t="str">
        <f>IF(A283="","",--(COUNTIF($A$2:A283,A283)=1))</f>
        <v/>
      </c>
      <c r="P283" s="4" t="str">
        <f>IF(A283="","",--(COUNTIFS($A$2:A283,A283,$F$2:F283,F283)=1))</f>
        <v/>
      </c>
    </row>
    <row r="284" spans="1:16">
      <c r="A284" s="5"/>
      <c r="O284" s="4" t="str">
        <f>IF(A284="","",--(COUNTIF($A$2:A284,A284)=1))</f>
        <v/>
      </c>
      <c r="P284" s="4" t="str">
        <f>IF(A284="","",--(COUNTIFS($A$2:A284,A284,$F$2:F284,F284)=1))</f>
        <v/>
      </c>
    </row>
    <row r="285" spans="1:16">
      <c r="A285" s="5"/>
      <c r="O285" s="4" t="str">
        <f>IF(A285="","",--(COUNTIF($A$2:A285,A285)=1))</f>
        <v/>
      </c>
      <c r="P285" s="4" t="str">
        <f>IF(A285="","",--(COUNTIFS($A$2:A285,A285,$F$2:F285,F285)=1))</f>
        <v/>
      </c>
    </row>
    <row r="286" spans="1:16">
      <c r="A286" s="5"/>
      <c r="O286" s="4" t="str">
        <f>IF(A286="","",--(COUNTIF($A$2:A286,A286)=1))</f>
        <v/>
      </c>
      <c r="P286" s="4" t="str">
        <f>IF(A286="","",--(COUNTIFS($A$2:A286,A286,$F$2:F286,F286)=1))</f>
        <v/>
      </c>
    </row>
    <row r="287" spans="1:16">
      <c r="A287" s="5"/>
      <c r="O287" s="4" t="str">
        <f>IF(A287="","",--(COUNTIF($A$2:A287,A287)=1))</f>
        <v/>
      </c>
      <c r="P287" s="4" t="str">
        <f>IF(A287="","",--(COUNTIFS($A$2:A287,A287,$F$2:F287,F287)=1))</f>
        <v/>
      </c>
    </row>
    <row r="288" spans="1:16">
      <c r="A288" s="5"/>
      <c r="O288" s="4" t="str">
        <f>IF(A288="","",--(COUNTIF($A$2:A288,A288)=1))</f>
        <v/>
      </c>
      <c r="P288" s="4" t="str">
        <f>IF(A288="","",--(COUNTIFS($A$2:A288,A288,$F$2:F288,F288)=1))</f>
        <v/>
      </c>
    </row>
    <row r="289" spans="1:16">
      <c r="A289" s="5"/>
      <c r="O289" s="4" t="str">
        <f>IF(A289="","",--(COUNTIF($A$2:A289,A289)=1))</f>
        <v/>
      </c>
      <c r="P289" s="4" t="str">
        <f>IF(A289="","",--(COUNTIFS($A$2:A289,A289,$F$2:F289,F289)=1))</f>
        <v/>
      </c>
    </row>
    <row r="290" spans="1:16">
      <c r="A290" s="5"/>
      <c r="O290" s="4" t="str">
        <f>IF(A290="","",--(COUNTIF($A$2:A290,A290)=1))</f>
        <v/>
      </c>
      <c r="P290" s="4" t="str">
        <f>IF(A290="","",--(COUNTIFS($A$2:A290,A290,$F$2:F290,F290)=1))</f>
        <v/>
      </c>
    </row>
    <row r="291" spans="1:16">
      <c r="A291" s="5"/>
      <c r="O291" s="4" t="str">
        <f>IF(A291="","",--(COUNTIF($A$2:A291,A291)=1))</f>
        <v/>
      </c>
      <c r="P291" s="4" t="str">
        <f>IF(A291="","",--(COUNTIFS($A$2:A291,A291,$F$2:F291,F291)=1))</f>
        <v/>
      </c>
    </row>
    <row r="292" spans="1:16">
      <c r="A292" s="5"/>
      <c r="O292" s="4" t="str">
        <f>IF(A292="","",--(COUNTIF($A$2:A292,A292)=1))</f>
        <v/>
      </c>
      <c r="P292" s="4" t="str">
        <f>IF(A292="","",--(COUNTIFS($A$2:A292,A292,$F$2:F292,F292)=1))</f>
        <v/>
      </c>
    </row>
    <row r="293" spans="1:16">
      <c r="A293" s="5"/>
      <c r="O293" s="4" t="str">
        <f>IF(A293="","",--(COUNTIF($A$2:A293,A293)=1))</f>
        <v/>
      </c>
      <c r="P293" s="4" t="str">
        <f>IF(A293="","",--(COUNTIFS($A$2:A293,A293,$F$2:F293,F293)=1))</f>
        <v/>
      </c>
    </row>
    <row r="294" spans="1:16">
      <c r="A294" s="5"/>
      <c r="O294" s="4" t="str">
        <f>IF(A294="","",--(COUNTIF($A$2:A294,A294)=1))</f>
        <v/>
      </c>
      <c r="P294" s="4" t="str">
        <f>IF(A294="","",--(COUNTIFS($A$2:A294,A294,$F$2:F294,F294)=1))</f>
        <v/>
      </c>
    </row>
    <row r="295" spans="1:16">
      <c r="A295" s="5"/>
      <c r="O295" s="4" t="str">
        <f>IF(A295="","",--(COUNTIF($A$2:A295,A295)=1))</f>
        <v/>
      </c>
      <c r="P295" s="4" t="str">
        <f>IF(A295="","",--(COUNTIFS($A$2:A295,A295,$F$2:F295,F295)=1))</f>
        <v/>
      </c>
    </row>
    <row r="296" spans="1:16">
      <c r="A296" s="5"/>
      <c r="O296" s="4" t="str">
        <f>IF(A296="","",--(COUNTIF($A$2:A296,A296)=1))</f>
        <v/>
      </c>
      <c r="P296" s="4" t="str">
        <f>IF(A296="","",--(COUNTIFS($A$2:A296,A296,$F$2:F296,F296)=1))</f>
        <v/>
      </c>
    </row>
    <row r="297" spans="1:16">
      <c r="A297" s="5"/>
      <c r="O297" s="4" t="str">
        <f>IF(A297="","",--(COUNTIF($A$2:A297,A297)=1))</f>
        <v/>
      </c>
      <c r="P297" s="4" t="str">
        <f>IF(A297="","",--(COUNTIFS($A$2:A297,A297,$F$2:F297,F297)=1))</f>
        <v/>
      </c>
    </row>
    <row r="298" spans="1:16">
      <c r="A298" s="5"/>
      <c r="O298" s="4" t="str">
        <f>IF(A298="","",--(COUNTIF($A$2:A298,A298)=1))</f>
        <v/>
      </c>
      <c r="P298" s="4" t="str">
        <f>IF(A298="","",--(COUNTIFS($A$2:A298,A298,$F$2:F298,F298)=1))</f>
        <v/>
      </c>
    </row>
    <row r="299" spans="1:16">
      <c r="A299" s="5"/>
      <c r="O299" s="4" t="str">
        <f>IF(A299="","",--(COUNTIF($A$2:A299,A299)=1))</f>
        <v/>
      </c>
      <c r="P299" s="4" t="str">
        <f>IF(A299="","",--(COUNTIFS($A$2:A299,A299,$F$2:F299,F299)=1))</f>
        <v/>
      </c>
    </row>
    <row r="300" spans="1:16">
      <c r="A300" s="5"/>
      <c r="O300" s="4" t="str">
        <f>IF(A300="","",--(COUNTIF($A$2:A300,A300)=1))</f>
        <v/>
      </c>
      <c r="P300" s="4" t="str">
        <f>IF(A300="","",--(COUNTIFS($A$2:A300,A300,$F$2:F300,F300)=1))</f>
        <v/>
      </c>
    </row>
    <row r="301" spans="1:16">
      <c r="A301" s="5"/>
      <c r="O301" s="4" t="str">
        <f>IF(A301="","",--(COUNTIF($A$2:A301,A301)=1))</f>
        <v/>
      </c>
      <c r="P301" s="4" t="str">
        <f>IF(A301="","",--(COUNTIFS($A$2:A301,A301,$F$2:F301,F301)=1))</f>
        <v/>
      </c>
    </row>
    <row r="302" spans="1:16">
      <c r="A302" s="5"/>
      <c r="O302" s="4" t="str">
        <f>IF(A302="","",--(COUNTIF($A$2:A302,A302)=1))</f>
        <v/>
      </c>
      <c r="P302" s="4" t="str">
        <f>IF(A302="","",--(COUNTIFS($A$2:A302,A302,$F$2:F302,F302)=1))</f>
        <v/>
      </c>
    </row>
    <row r="303" spans="1:16">
      <c r="A303" s="5"/>
      <c r="O303" s="4" t="str">
        <f>IF(A303="","",--(COUNTIF($A$2:A303,A303)=1))</f>
        <v/>
      </c>
      <c r="P303" s="4" t="str">
        <f>IF(A303="","",--(COUNTIFS($A$2:A303,A303,$F$2:F303,F303)=1))</f>
        <v/>
      </c>
    </row>
    <row r="304" spans="1:16">
      <c r="A304" s="5"/>
      <c r="O304" s="4" t="str">
        <f>IF(A304="","",--(COUNTIF($A$2:A304,A304)=1))</f>
        <v/>
      </c>
      <c r="P304" s="4" t="str">
        <f>IF(A304="","",--(COUNTIFS($A$2:A304,A304,$F$2:F304,F304)=1))</f>
        <v/>
      </c>
    </row>
    <row r="305" spans="1:16">
      <c r="A305" s="5"/>
      <c r="O305" s="4" t="str">
        <f>IF(A305="","",--(COUNTIF($A$2:A305,A305)=1))</f>
        <v/>
      </c>
      <c r="P305" s="4" t="str">
        <f>IF(A305="","",--(COUNTIFS($A$2:A305,A305,$F$2:F305,F305)=1))</f>
        <v/>
      </c>
    </row>
    <row r="306" spans="1:16">
      <c r="A306" s="5"/>
      <c r="O306" s="4" t="str">
        <f>IF(A306="","",--(COUNTIF($A$2:A306,A306)=1))</f>
        <v/>
      </c>
      <c r="P306" s="4" t="str">
        <f>IF(A306="","",--(COUNTIFS($A$2:A306,A306,$F$2:F306,F306)=1))</f>
        <v/>
      </c>
    </row>
    <row r="307" spans="1:16">
      <c r="A307" s="5"/>
      <c r="O307" s="4" t="str">
        <f>IF(A307="","",--(COUNTIF($A$2:A307,A307)=1))</f>
        <v/>
      </c>
      <c r="P307" s="4" t="str">
        <f>IF(A307="","",--(COUNTIFS($A$2:A307,A307,$F$2:F307,F307)=1))</f>
        <v/>
      </c>
    </row>
    <row r="308" spans="1:16">
      <c r="A308" s="5"/>
      <c r="O308" s="4" t="str">
        <f>IF(A308="","",--(COUNTIF($A$2:A308,A308)=1))</f>
        <v/>
      </c>
      <c r="P308" s="4" t="str">
        <f>IF(A308="","",--(COUNTIFS($A$2:A308,A308,$F$2:F308,F308)=1))</f>
        <v/>
      </c>
    </row>
    <row r="309" spans="1:16">
      <c r="A309" s="5"/>
      <c r="O309" s="4" t="str">
        <f>IF(A309="","",--(COUNTIF($A$2:A309,A309)=1))</f>
        <v/>
      </c>
      <c r="P309" s="4" t="str">
        <f>IF(A309="","",--(COUNTIFS($A$2:A309,A309,$F$2:F309,F309)=1))</f>
        <v/>
      </c>
    </row>
    <row r="310" spans="1:16">
      <c r="A310" s="5"/>
      <c r="O310" s="4" t="str">
        <f>IF(A310="","",--(COUNTIF($A$2:A310,A310)=1))</f>
        <v/>
      </c>
      <c r="P310" s="4" t="str">
        <f>IF(A310="","",--(COUNTIFS($A$2:A310,A310,$F$2:F310,F310)=1))</f>
        <v/>
      </c>
    </row>
    <row r="311" spans="1:16">
      <c r="A311" s="5"/>
      <c r="O311" s="4" t="str">
        <f>IF(A311="","",--(COUNTIF($A$2:A311,A311)=1))</f>
        <v/>
      </c>
      <c r="P311" s="4" t="str">
        <f>IF(A311="","",--(COUNTIFS($A$2:A311,A311,$F$2:F311,F311)=1))</f>
        <v/>
      </c>
    </row>
    <row r="312" spans="1:16">
      <c r="A312" s="5"/>
      <c r="O312" s="4" t="str">
        <f>IF(A312="","",--(COUNTIF($A$2:A312,A312)=1))</f>
        <v/>
      </c>
      <c r="P312" s="4" t="str">
        <f>IF(A312="","",--(COUNTIFS($A$2:A312,A312,$F$2:F312,F312)=1))</f>
        <v/>
      </c>
    </row>
    <row r="313" spans="1:16">
      <c r="A313" s="5"/>
      <c r="O313" s="4" t="str">
        <f>IF(A313="","",--(COUNTIF($A$2:A313,A313)=1))</f>
        <v/>
      </c>
      <c r="P313" s="4" t="str">
        <f>IF(A313="","",--(COUNTIFS($A$2:A313,A313,$F$2:F313,F313)=1))</f>
        <v/>
      </c>
    </row>
    <row r="314" spans="1:16">
      <c r="A314" s="5"/>
      <c r="O314" s="4" t="str">
        <f>IF(A314="","",--(COUNTIF($A$2:A314,A314)=1))</f>
        <v/>
      </c>
      <c r="P314" s="4" t="str">
        <f>IF(A314="","",--(COUNTIFS($A$2:A314,A314,$F$2:F314,F314)=1))</f>
        <v/>
      </c>
    </row>
    <row r="315" spans="1:16">
      <c r="A315" s="5"/>
      <c r="O315" s="4" t="str">
        <f>IF(A315="","",--(COUNTIF($A$2:A315,A315)=1))</f>
        <v/>
      </c>
      <c r="P315" s="4" t="str">
        <f>IF(A315="","",--(COUNTIFS($A$2:A315,A315,$F$2:F315,F315)=1))</f>
        <v/>
      </c>
    </row>
    <row r="316" spans="1:16">
      <c r="A316" s="5"/>
      <c r="O316" s="4" t="str">
        <f>IF(A316="","",--(COUNTIF($A$2:A316,A316)=1))</f>
        <v/>
      </c>
      <c r="P316" s="4" t="str">
        <f>IF(A316="","",--(COUNTIFS($A$2:A316,A316,$F$2:F316,F316)=1))</f>
        <v/>
      </c>
    </row>
    <row r="317" spans="1:16">
      <c r="A317" s="5"/>
      <c r="O317" s="4" t="str">
        <f>IF(A317="","",--(COUNTIF($A$2:A317,A317)=1))</f>
        <v/>
      </c>
      <c r="P317" s="4" t="str">
        <f>IF(A317="","",--(COUNTIFS($A$2:A317,A317,$F$2:F317,F317)=1))</f>
        <v/>
      </c>
    </row>
    <row r="318" spans="1:16">
      <c r="A318" s="5"/>
      <c r="O318" s="4" t="str">
        <f>IF(A318="","",--(COUNTIF($A$2:A318,A318)=1))</f>
        <v/>
      </c>
      <c r="P318" s="4" t="str">
        <f>IF(A318="","",--(COUNTIFS($A$2:A318,A318,$F$2:F318,F318)=1))</f>
        <v/>
      </c>
    </row>
    <row r="319" spans="1:16">
      <c r="A319" s="5"/>
      <c r="O319" s="4" t="str">
        <f>IF(A319="","",--(COUNTIF($A$2:A319,A319)=1))</f>
        <v/>
      </c>
      <c r="P319" s="4" t="str">
        <f>IF(A319="","",--(COUNTIFS($A$2:A319,A319,$F$2:F319,F319)=1))</f>
        <v/>
      </c>
    </row>
    <row r="320" spans="1:16">
      <c r="A320" s="5"/>
      <c r="O320" s="4" t="str">
        <f>IF(A320="","",--(COUNTIF($A$2:A320,A320)=1))</f>
        <v/>
      </c>
      <c r="P320" s="4" t="str">
        <f>IF(A320="","",--(COUNTIFS($A$2:A320,A320,$F$2:F320,F320)=1))</f>
        <v/>
      </c>
    </row>
    <row r="321" spans="1:16">
      <c r="A321" s="5"/>
      <c r="O321" s="4" t="str">
        <f>IF(A321="","",--(COUNTIF($A$2:A321,A321)=1))</f>
        <v/>
      </c>
      <c r="P321" s="4" t="str">
        <f>IF(A321="","",--(COUNTIFS($A$2:A321,A321,$F$2:F321,F321)=1))</f>
        <v/>
      </c>
    </row>
    <row r="322" spans="1:16">
      <c r="A322" s="5"/>
      <c r="O322" s="4" t="str">
        <f>IF(A322="","",--(COUNTIF($A$2:A322,A322)=1))</f>
        <v/>
      </c>
      <c r="P322" s="4" t="str">
        <f>IF(A322="","",--(COUNTIFS($A$2:A322,A322,$F$2:F322,F322)=1))</f>
        <v/>
      </c>
    </row>
    <row r="323" spans="1:16">
      <c r="A323" s="5"/>
      <c r="O323" s="4" t="str">
        <f>IF(A323="","",--(COUNTIF($A$2:A323,A323)=1))</f>
        <v/>
      </c>
      <c r="P323" s="4" t="str">
        <f>IF(A323="","",--(COUNTIFS($A$2:A323,A323,$F$2:F323,F323)=1))</f>
        <v/>
      </c>
    </row>
    <row r="324" spans="1:16">
      <c r="A324" s="5"/>
      <c r="O324" s="4" t="str">
        <f>IF(A324="","",--(COUNTIF($A$2:A324,A324)=1))</f>
        <v/>
      </c>
      <c r="P324" s="4" t="str">
        <f>IF(A324="","",--(COUNTIFS($A$2:A324,A324,$F$2:F324,F324)=1))</f>
        <v/>
      </c>
    </row>
    <row r="325" spans="1:16">
      <c r="A325" s="5"/>
      <c r="O325" s="4" t="str">
        <f>IF(A325="","",--(COUNTIF($A$2:A325,A325)=1))</f>
        <v/>
      </c>
      <c r="P325" s="4" t="str">
        <f>IF(A325="","",--(COUNTIFS($A$2:A325,A325,$F$2:F325,F325)=1))</f>
        <v/>
      </c>
    </row>
    <row r="326" spans="1:16">
      <c r="A326" s="5"/>
      <c r="O326" s="4" t="str">
        <f>IF(A326="","",--(COUNTIF($A$2:A326,A326)=1))</f>
        <v/>
      </c>
      <c r="P326" s="4" t="str">
        <f>IF(A326="","",--(COUNTIFS($A$2:A326,A326,$F$2:F326,F326)=1))</f>
        <v/>
      </c>
    </row>
    <row r="327" spans="1:16">
      <c r="A327" s="5"/>
      <c r="O327" s="4" t="str">
        <f>IF(A327="","",--(COUNTIF($A$2:A327,A327)=1))</f>
        <v/>
      </c>
      <c r="P327" s="4" t="str">
        <f>IF(A327="","",--(COUNTIFS($A$2:A327,A327,$F$2:F327,F327)=1))</f>
        <v/>
      </c>
    </row>
    <row r="328" spans="1:16">
      <c r="A328" s="5"/>
      <c r="O328" s="4" t="str">
        <f>IF(A328="","",--(COUNTIF($A$2:A328,A328)=1))</f>
        <v/>
      </c>
      <c r="P328" s="4" t="str">
        <f>IF(A328="","",--(COUNTIFS($A$2:A328,A328,$F$2:F328,F328)=1))</f>
        <v/>
      </c>
    </row>
    <row r="329" spans="1:16">
      <c r="A329" s="5"/>
      <c r="O329" s="4" t="str">
        <f>IF(A329="","",--(COUNTIF($A$2:A329,A329)=1))</f>
        <v/>
      </c>
      <c r="P329" s="4" t="str">
        <f>IF(A329="","",--(COUNTIFS($A$2:A329,A329,$F$2:F329,F329)=1))</f>
        <v/>
      </c>
    </row>
    <row r="330" spans="1:16">
      <c r="A330" s="5"/>
      <c r="O330" s="4" t="str">
        <f>IF(A330="","",--(COUNTIF($A$2:A330,A330)=1))</f>
        <v/>
      </c>
      <c r="P330" s="4" t="str">
        <f>IF(A330="","",--(COUNTIFS($A$2:A330,A330,$F$2:F330,F330)=1))</f>
        <v/>
      </c>
    </row>
    <row r="331" spans="1:16">
      <c r="A331" s="5"/>
      <c r="O331" s="4" t="str">
        <f>IF(A331="","",--(COUNTIF($A$2:A331,A331)=1))</f>
        <v/>
      </c>
      <c r="P331" s="4" t="str">
        <f>IF(A331="","",--(COUNTIFS($A$2:A331,A331,$F$2:F331,F331)=1))</f>
        <v/>
      </c>
    </row>
    <row r="332" spans="1:16">
      <c r="A332" s="5"/>
      <c r="O332" s="4" t="str">
        <f>IF(A332="","",--(COUNTIF($A$2:A332,A332)=1))</f>
        <v/>
      </c>
      <c r="P332" s="4" t="str">
        <f>IF(A332="","",--(COUNTIFS($A$2:A332,A332,$F$2:F332,F332)=1))</f>
        <v/>
      </c>
    </row>
    <row r="333" spans="1:16">
      <c r="A333" s="5"/>
      <c r="O333" s="4" t="str">
        <f>IF(A333="","",--(COUNTIF($A$2:A333,A333)=1))</f>
        <v/>
      </c>
      <c r="P333" s="4" t="str">
        <f>IF(A333="","",--(COUNTIFS($A$2:A333,A333,$F$2:F333,F333)=1))</f>
        <v/>
      </c>
    </row>
    <row r="334" spans="1:16">
      <c r="A334" s="5"/>
      <c r="O334" s="4" t="str">
        <f>IF(A334="","",--(COUNTIF($A$2:A334,A334)=1))</f>
        <v/>
      </c>
      <c r="P334" s="4" t="str">
        <f>IF(A334="","",--(COUNTIFS($A$2:A334,A334,$F$2:F334,F334)=1))</f>
        <v/>
      </c>
    </row>
    <row r="335" spans="1:16">
      <c r="A335" s="5"/>
      <c r="O335" s="4" t="str">
        <f>IF(A335="","",--(COUNTIF($A$2:A335,A335)=1))</f>
        <v/>
      </c>
      <c r="P335" s="4" t="str">
        <f>IF(A335="","",--(COUNTIFS($A$2:A335,A335,$F$2:F335,F335)=1))</f>
        <v/>
      </c>
    </row>
    <row r="336" spans="1:16">
      <c r="A336" s="5"/>
      <c r="O336" s="4" t="str">
        <f>IF(A336="","",--(COUNTIF($A$2:A336,A336)=1))</f>
        <v/>
      </c>
      <c r="P336" s="4" t="str">
        <f>IF(A336="","",--(COUNTIFS($A$2:A336,A336,$F$2:F336,F336)=1))</f>
        <v/>
      </c>
    </row>
    <row r="337" spans="1:16">
      <c r="A337" s="5"/>
      <c r="O337" s="4" t="str">
        <f>IF(A337="","",--(COUNTIF($A$2:A337,A337)=1))</f>
        <v/>
      </c>
      <c r="P337" s="4" t="str">
        <f>IF(A337="","",--(COUNTIFS($A$2:A337,A337,$F$2:F337,F337)=1))</f>
        <v/>
      </c>
    </row>
    <row r="338" spans="1:16">
      <c r="A338" s="5"/>
      <c r="O338" s="4" t="str">
        <f>IF(A338="","",--(COUNTIF($A$2:A338,A338)=1))</f>
        <v/>
      </c>
      <c r="P338" s="4" t="str">
        <f>IF(A338="","",--(COUNTIFS($A$2:A338,A338,$F$2:F338,F338)=1))</f>
        <v/>
      </c>
    </row>
    <row r="339" spans="1:16">
      <c r="A339" s="5"/>
      <c r="O339" s="4" t="str">
        <f>IF(A339="","",--(COUNTIF($A$2:A339,A339)=1))</f>
        <v/>
      </c>
      <c r="P339" s="4" t="str">
        <f>IF(A339="","",--(COUNTIFS($A$2:A339,A339,$F$2:F339,F339)=1))</f>
        <v/>
      </c>
    </row>
    <row r="340" spans="1:16">
      <c r="A340" s="5"/>
      <c r="O340" s="4" t="str">
        <f>IF(A340="","",--(COUNTIF($A$2:A340,A340)=1))</f>
        <v/>
      </c>
      <c r="P340" s="4" t="str">
        <f>IF(A340="","",--(COUNTIFS($A$2:A340,A340,$F$2:F340,F340)=1))</f>
        <v/>
      </c>
    </row>
    <row r="341" spans="1:16">
      <c r="A341" s="5"/>
      <c r="O341" s="4" t="str">
        <f>IF(A341="","",--(COUNTIF($A$2:A341,A341)=1))</f>
        <v/>
      </c>
      <c r="P341" s="4" t="str">
        <f>IF(A341="","",--(COUNTIFS($A$2:A341,A341,$F$2:F341,F341)=1))</f>
        <v/>
      </c>
    </row>
    <row r="342" spans="1:16">
      <c r="A342" s="5"/>
      <c r="O342" s="4" t="str">
        <f>IF(A342="","",--(COUNTIF($A$2:A342,A342)=1))</f>
        <v/>
      </c>
      <c r="P342" s="4" t="str">
        <f>IF(A342="","",--(COUNTIFS($A$2:A342,A342,$F$2:F342,F342)=1))</f>
        <v/>
      </c>
    </row>
    <row r="343" spans="1:16">
      <c r="A343" s="5"/>
      <c r="O343" s="4" t="str">
        <f>IF(A343="","",--(COUNTIF($A$2:A343,A343)=1))</f>
        <v/>
      </c>
      <c r="P343" s="4" t="str">
        <f>IF(A343="","",--(COUNTIFS($A$2:A343,A343,$F$2:F343,F343)=1))</f>
        <v/>
      </c>
    </row>
    <row r="344" spans="1:16">
      <c r="A344" s="5"/>
      <c r="O344" s="4" t="str">
        <f>IF(A344="","",--(COUNTIF($A$2:A344,A344)=1))</f>
        <v/>
      </c>
      <c r="P344" s="4" t="str">
        <f>IF(A344="","",--(COUNTIFS($A$2:A344,A344,$F$2:F344,F344)=1))</f>
        <v/>
      </c>
    </row>
    <row r="345" spans="1:16">
      <c r="A345" s="5"/>
      <c r="O345" s="4" t="str">
        <f>IF(A345="","",--(COUNTIF($A$2:A345,A345)=1))</f>
        <v/>
      </c>
      <c r="P345" s="4" t="str">
        <f>IF(A345="","",--(COUNTIFS($A$2:A345,A345,$F$2:F345,F345)=1))</f>
        <v/>
      </c>
    </row>
    <row r="346" spans="1:16">
      <c r="A346" s="5"/>
      <c r="O346" s="4" t="str">
        <f>IF(A346="","",--(COUNTIF($A$2:A346,A346)=1))</f>
        <v/>
      </c>
      <c r="P346" s="4" t="str">
        <f>IF(A346="","",--(COUNTIFS($A$2:A346,A346,$F$2:F346,F346)=1))</f>
        <v/>
      </c>
    </row>
    <row r="347" spans="1:16">
      <c r="A347" s="5"/>
      <c r="O347" s="4" t="str">
        <f>IF(A347="","",--(COUNTIF($A$2:A347,A347)=1))</f>
        <v/>
      </c>
      <c r="P347" s="4" t="str">
        <f>IF(A347="","",--(COUNTIFS($A$2:A347,A347,$F$2:F347,F347)=1))</f>
        <v/>
      </c>
    </row>
    <row r="348" spans="1:16">
      <c r="A348" s="5"/>
      <c r="O348" s="4" t="str">
        <f>IF(A348="","",--(COUNTIF($A$2:A348,A348)=1))</f>
        <v/>
      </c>
      <c r="P348" s="4" t="str">
        <f>IF(A348="","",--(COUNTIFS($A$2:A348,A348,$F$2:F348,F348)=1))</f>
        <v/>
      </c>
    </row>
    <row r="349" spans="1:16">
      <c r="A349" s="5"/>
      <c r="O349" s="4" t="str">
        <f>IF(A349="","",--(COUNTIF($A$2:A349,A349)=1))</f>
        <v/>
      </c>
      <c r="P349" s="4" t="str">
        <f>IF(A349="","",--(COUNTIFS($A$2:A349,A349,$F$2:F349,F349)=1))</f>
        <v/>
      </c>
    </row>
    <row r="350" spans="1:16">
      <c r="A350" s="5"/>
      <c r="O350" s="4" t="str">
        <f>IF(A350="","",--(COUNTIF($A$2:A350,A350)=1))</f>
        <v/>
      </c>
      <c r="P350" s="4" t="str">
        <f>IF(A350="","",--(COUNTIFS($A$2:A350,A350,$F$2:F350,F350)=1))</f>
        <v/>
      </c>
    </row>
    <row r="351" spans="1:16">
      <c r="A351" s="5"/>
      <c r="O351" s="4" t="str">
        <f>IF(A351="","",--(COUNTIF($A$2:A351,A351)=1))</f>
        <v/>
      </c>
      <c r="P351" s="4" t="str">
        <f>IF(A351="","",--(COUNTIFS($A$2:A351,A351,$F$2:F351,F351)=1))</f>
        <v/>
      </c>
    </row>
    <row r="352" spans="1:16">
      <c r="A352" s="5"/>
      <c r="O352" s="4" t="str">
        <f>IF(A352="","",--(COUNTIF($A$2:A352,A352)=1))</f>
        <v/>
      </c>
      <c r="P352" s="4" t="str">
        <f>IF(A352="","",--(COUNTIFS($A$2:A352,A352,$F$2:F352,F352)=1))</f>
        <v/>
      </c>
    </row>
    <row r="353" spans="1:16">
      <c r="A353" s="5"/>
      <c r="O353" s="4" t="str">
        <f>IF(A353="","",--(COUNTIF($A$2:A353,A353)=1))</f>
        <v/>
      </c>
      <c r="P353" s="4" t="str">
        <f>IF(A353="","",--(COUNTIFS($A$2:A353,A353,$F$2:F353,F353)=1))</f>
        <v/>
      </c>
    </row>
    <row r="354" spans="1:16">
      <c r="A354" s="5"/>
      <c r="O354" s="4" t="str">
        <f>IF(A354="","",--(COUNTIF($A$2:A354,A354)=1))</f>
        <v/>
      </c>
      <c r="P354" s="4" t="str">
        <f>IF(A354="","",--(COUNTIFS($A$2:A354,A354,$F$2:F354,F354)=1))</f>
        <v/>
      </c>
    </row>
    <row r="355" spans="1:16">
      <c r="A355" s="5"/>
      <c r="O355" s="4" t="str">
        <f>IF(A355="","",--(COUNTIF($A$2:A355,A355)=1))</f>
        <v/>
      </c>
      <c r="P355" s="4" t="str">
        <f>IF(A355="","",--(COUNTIFS($A$2:A355,A355,$F$2:F355,F355)=1))</f>
        <v/>
      </c>
    </row>
    <row r="356" spans="1:16">
      <c r="A356" s="5"/>
      <c r="O356" s="4" t="str">
        <f>IF(A356="","",--(COUNTIF($A$2:A356,A356)=1))</f>
        <v/>
      </c>
      <c r="P356" s="4" t="str">
        <f>IF(A356="","",--(COUNTIFS($A$2:A356,A356,$F$2:F356,F356)=1))</f>
        <v/>
      </c>
    </row>
    <row r="357" spans="1:16">
      <c r="A357" s="5"/>
      <c r="O357" s="4" t="str">
        <f>IF(A357="","",--(COUNTIF($A$2:A357,A357)=1))</f>
        <v/>
      </c>
      <c r="P357" s="4" t="str">
        <f>IF(A357="","",--(COUNTIFS($A$2:A357,A357,$F$2:F357,F357)=1))</f>
        <v/>
      </c>
    </row>
    <row r="358" spans="1:16">
      <c r="A358" s="5"/>
      <c r="O358" s="4" t="str">
        <f>IF(A358="","",--(COUNTIF($A$2:A358,A358)=1))</f>
        <v/>
      </c>
      <c r="P358" s="4" t="str">
        <f>IF(A358="","",--(COUNTIFS($A$2:A358,A358,$F$2:F358,F358)=1))</f>
        <v/>
      </c>
    </row>
    <row r="359" spans="1:16">
      <c r="A359" s="5"/>
      <c r="O359" s="4" t="str">
        <f>IF(A359="","",--(COUNTIF($A$2:A359,A359)=1))</f>
        <v/>
      </c>
      <c r="P359" s="4" t="str">
        <f>IF(A359="","",--(COUNTIFS($A$2:A359,A359,$F$2:F359,F359)=1))</f>
        <v/>
      </c>
    </row>
    <row r="360" spans="1:16">
      <c r="A360" s="5"/>
      <c r="O360" s="4" t="str">
        <f>IF(A360="","",--(COUNTIF($A$2:A360,A360)=1))</f>
        <v/>
      </c>
      <c r="P360" s="4" t="str">
        <f>IF(A360="","",--(COUNTIFS($A$2:A360,A360,$F$2:F360,F360)=1))</f>
        <v/>
      </c>
    </row>
    <row r="361" spans="1:16">
      <c r="A361" s="5"/>
      <c r="O361" s="4" t="str">
        <f>IF(A361="","",--(COUNTIF($A$2:A361,A361)=1))</f>
        <v/>
      </c>
      <c r="P361" s="4" t="str">
        <f>IF(A361="","",--(COUNTIFS($A$2:A361,A361,$F$2:F361,F361)=1))</f>
        <v/>
      </c>
    </row>
    <row r="362" spans="1:16">
      <c r="A362" s="5"/>
      <c r="O362" s="4" t="str">
        <f>IF(A362="","",--(COUNTIF($A$2:A362,A362)=1))</f>
        <v/>
      </c>
      <c r="P362" s="4" t="str">
        <f>IF(A362="","",--(COUNTIFS($A$2:A362,A362,$F$2:F362,F362)=1))</f>
        <v/>
      </c>
    </row>
    <row r="363" spans="1:16">
      <c r="A363" s="5"/>
      <c r="O363" s="4" t="str">
        <f>IF(A363="","",--(COUNTIF($A$2:A363,A363)=1))</f>
        <v/>
      </c>
      <c r="P363" s="4" t="str">
        <f>IF(A363="","",--(COUNTIFS($A$2:A363,A363,$F$2:F363,F363)=1))</f>
        <v/>
      </c>
    </row>
    <row r="364" spans="1:16">
      <c r="A364" s="5"/>
      <c r="O364" s="4" t="str">
        <f>IF(A364="","",--(COUNTIF($A$2:A364,A364)=1))</f>
        <v/>
      </c>
      <c r="P364" s="4" t="str">
        <f>IF(A364="","",--(COUNTIFS($A$2:A364,A364,$F$2:F364,F364)=1))</f>
        <v/>
      </c>
    </row>
    <row r="365" spans="1:16">
      <c r="A365" s="5"/>
      <c r="O365" s="4" t="str">
        <f>IF(A365="","",--(COUNTIF($A$2:A365,A365)=1))</f>
        <v/>
      </c>
      <c r="P365" s="4" t="str">
        <f>IF(A365="","",--(COUNTIFS($A$2:A365,A365,$F$2:F365,F365)=1))</f>
        <v/>
      </c>
    </row>
    <row r="366" spans="1:16">
      <c r="A366" s="5"/>
      <c r="O366" s="4" t="str">
        <f>IF(A366="","",--(COUNTIF($A$2:A366,A366)=1))</f>
        <v/>
      </c>
      <c r="P366" s="4" t="str">
        <f>IF(A366="","",--(COUNTIFS($A$2:A366,A366,$F$2:F366,F366)=1))</f>
        <v/>
      </c>
    </row>
    <row r="367" spans="1:16">
      <c r="A367" s="5"/>
      <c r="O367" s="4" t="str">
        <f>IF(A367="","",--(COUNTIF($A$2:A367,A367)=1))</f>
        <v/>
      </c>
      <c r="P367" s="4" t="str">
        <f>IF(A367="","",--(COUNTIFS($A$2:A367,A367,$F$2:F367,F367)=1))</f>
        <v/>
      </c>
    </row>
    <row r="368" spans="1:16">
      <c r="A368" s="5"/>
      <c r="O368" s="4" t="str">
        <f>IF(A368="","",--(COUNTIF($A$2:A368,A368)=1))</f>
        <v/>
      </c>
      <c r="P368" s="4" t="str">
        <f>IF(A368="","",--(COUNTIFS($A$2:A368,A368,$F$2:F368,F368)=1))</f>
        <v/>
      </c>
    </row>
    <row r="369" spans="1:16">
      <c r="A369" s="5"/>
      <c r="O369" s="4" t="str">
        <f>IF(A369="","",--(COUNTIF($A$2:A369,A369)=1))</f>
        <v/>
      </c>
      <c r="P369" s="4" t="str">
        <f>IF(A369="","",--(COUNTIFS($A$2:A369,A369,$F$2:F369,F369)=1))</f>
        <v/>
      </c>
    </row>
    <row r="370" spans="1:16">
      <c r="A370" s="5"/>
      <c r="O370" s="4" t="str">
        <f>IF(A370="","",--(COUNTIF($A$2:A370,A370)=1))</f>
        <v/>
      </c>
      <c r="P370" s="4" t="str">
        <f>IF(A370="","",--(COUNTIFS($A$2:A370,A370,$F$2:F370,F370)=1))</f>
        <v/>
      </c>
    </row>
    <row r="371" spans="1:16">
      <c r="A371" s="5"/>
      <c r="O371" s="4" t="str">
        <f>IF(A371="","",--(COUNTIF($A$2:A371,A371)=1))</f>
        <v/>
      </c>
      <c r="P371" s="4" t="str">
        <f>IF(A371="","",--(COUNTIFS($A$2:A371,A371,$F$2:F371,F371)=1))</f>
        <v/>
      </c>
    </row>
    <row r="372" spans="1:16">
      <c r="A372" s="5"/>
      <c r="O372" s="4" t="str">
        <f>IF(A372="","",--(COUNTIF($A$2:A372,A372)=1))</f>
        <v/>
      </c>
      <c r="P372" s="4" t="str">
        <f>IF(A372="","",--(COUNTIFS($A$2:A372,A372,$F$2:F372,F372)=1))</f>
        <v/>
      </c>
    </row>
    <row r="373" spans="1:16">
      <c r="A373" s="5"/>
      <c r="O373" s="4" t="str">
        <f>IF(A373="","",--(COUNTIF($A$2:A373,A373)=1))</f>
        <v/>
      </c>
      <c r="P373" s="4" t="str">
        <f>IF(A373="","",--(COUNTIFS($A$2:A373,A373,$F$2:F373,F373)=1))</f>
        <v/>
      </c>
    </row>
    <row r="374" spans="1:16">
      <c r="A374" s="5"/>
      <c r="O374" s="4" t="str">
        <f>IF(A374="","",--(COUNTIF($A$2:A374,A374)=1))</f>
        <v/>
      </c>
      <c r="P374" s="4" t="str">
        <f>IF(A374="","",--(COUNTIFS($A$2:A374,A374,$F$2:F374,F374)=1))</f>
        <v/>
      </c>
    </row>
    <row r="375" spans="1:16">
      <c r="A375" s="5"/>
      <c r="O375" s="4" t="str">
        <f>IF(A375="","",--(COUNTIF($A$2:A375,A375)=1))</f>
        <v/>
      </c>
      <c r="P375" s="4" t="str">
        <f>IF(A375="","",--(COUNTIFS($A$2:A375,A375,$F$2:F375,F375)=1))</f>
        <v/>
      </c>
    </row>
    <row r="376" spans="1:16">
      <c r="A376" s="5"/>
      <c r="O376" s="4" t="str">
        <f>IF(A376="","",--(COUNTIF($A$2:A376,A376)=1))</f>
        <v/>
      </c>
      <c r="P376" s="4" t="str">
        <f>IF(A376="","",--(COUNTIFS($A$2:A376,A376,$F$2:F376,F376)=1))</f>
        <v/>
      </c>
    </row>
    <row r="377" spans="1:16">
      <c r="A377" s="5"/>
      <c r="O377" s="4" t="str">
        <f>IF(A377="","",--(COUNTIF($A$2:A377,A377)=1))</f>
        <v/>
      </c>
      <c r="P377" s="4" t="str">
        <f>IF(A377="","",--(COUNTIFS($A$2:A377,A377,$F$2:F377,F377)=1))</f>
        <v/>
      </c>
    </row>
    <row r="378" spans="1:16">
      <c r="A378" s="5"/>
      <c r="O378" s="4" t="str">
        <f>IF(A378="","",--(COUNTIF($A$2:A378,A378)=1))</f>
        <v/>
      </c>
      <c r="P378" s="4" t="str">
        <f>IF(A378="","",--(COUNTIFS($A$2:A378,A378,$F$2:F378,F378)=1))</f>
        <v/>
      </c>
    </row>
    <row r="379" spans="1:16">
      <c r="A379" s="5"/>
      <c r="O379" s="4" t="str">
        <f>IF(A379="","",--(COUNTIF($A$2:A379,A379)=1))</f>
        <v/>
      </c>
      <c r="P379" s="4" t="str">
        <f>IF(A379="","",--(COUNTIFS($A$2:A379,A379,$F$2:F379,F379)=1))</f>
        <v/>
      </c>
    </row>
    <row r="380" spans="1:16">
      <c r="A380" s="5"/>
      <c r="O380" s="4" t="str">
        <f>IF(A380="","",--(COUNTIF($A$2:A380,A380)=1))</f>
        <v/>
      </c>
      <c r="P380" s="4" t="str">
        <f>IF(A380="","",--(COUNTIFS($A$2:A380,A380,$F$2:F380,F380)=1))</f>
        <v/>
      </c>
    </row>
    <row r="381" spans="1:16">
      <c r="A381" s="5"/>
      <c r="O381" s="4" t="str">
        <f>IF(A381="","",--(COUNTIF($A$2:A381,A381)=1))</f>
        <v/>
      </c>
      <c r="P381" s="4" t="str">
        <f>IF(A381="","",--(COUNTIFS($A$2:A381,A381,$F$2:F381,F381)=1))</f>
        <v/>
      </c>
    </row>
    <row r="382" spans="1:16">
      <c r="A382" s="5"/>
      <c r="O382" s="4" t="str">
        <f>IF(A382="","",--(COUNTIF($A$2:A382,A382)=1))</f>
        <v/>
      </c>
      <c r="P382" s="4" t="str">
        <f>IF(A382="","",--(COUNTIFS($A$2:A382,A382,$F$2:F382,F382)=1))</f>
        <v/>
      </c>
    </row>
    <row r="383" spans="1:16">
      <c r="A383" s="5"/>
      <c r="O383" s="4" t="str">
        <f>IF(A383="","",--(COUNTIF($A$2:A383,A383)=1))</f>
        <v/>
      </c>
      <c r="P383" s="4" t="str">
        <f>IF(A383="","",--(COUNTIFS($A$2:A383,A383,$F$2:F383,F383)=1))</f>
        <v/>
      </c>
    </row>
    <row r="384" spans="1:16">
      <c r="A384" s="5"/>
      <c r="O384" s="4" t="str">
        <f>IF(A384="","",--(COUNTIF($A$2:A384,A384)=1))</f>
        <v/>
      </c>
      <c r="P384" s="4" t="str">
        <f>IF(A384="","",--(COUNTIFS($A$2:A384,A384,$F$2:F384,F384)=1))</f>
        <v/>
      </c>
    </row>
    <row r="385" spans="1:16">
      <c r="A385" s="5"/>
      <c r="O385" s="4" t="str">
        <f>IF(A385="","",--(COUNTIF($A$2:A385,A385)=1))</f>
        <v/>
      </c>
      <c r="P385" s="4" t="str">
        <f>IF(A385="","",--(COUNTIFS($A$2:A385,A385,$F$2:F385,F385)=1))</f>
        <v/>
      </c>
    </row>
    <row r="386" spans="1:16">
      <c r="A386" s="5"/>
      <c r="O386" s="4" t="str">
        <f>IF(A386="","",--(COUNTIF($A$2:A386,A386)=1))</f>
        <v/>
      </c>
      <c r="P386" s="4" t="str">
        <f>IF(A386="","",--(COUNTIFS($A$2:A386,A386,$F$2:F386,F386)=1))</f>
        <v/>
      </c>
    </row>
    <row r="387" spans="1:16">
      <c r="A387" s="5"/>
      <c r="O387" s="4" t="str">
        <f>IF(A387="","",--(COUNTIF($A$2:A387,A387)=1))</f>
        <v/>
      </c>
      <c r="P387" s="4" t="str">
        <f>IF(A387="","",--(COUNTIFS($A$2:A387,A387,$F$2:F387,F387)=1))</f>
        <v/>
      </c>
    </row>
    <row r="388" spans="1:16">
      <c r="A388" s="5"/>
      <c r="O388" s="4" t="str">
        <f>IF(A388="","",--(COUNTIF($A$2:A388,A388)=1))</f>
        <v/>
      </c>
      <c r="P388" s="4" t="str">
        <f>IF(A388="","",--(COUNTIFS($A$2:A388,A388,$F$2:F388,F388)=1))</f>
        <v/>
      </c>
    </row>
    <row r="389" spans="1:16">
      <c r="A389" s="5"/>
      <c r="O389" s="4" t="str">
        <f>IF(A389="","",--(COUNTIF($A$2:A389,A389)=1))</f>
        <v/>
      </c>
      <c r="P389" s="4" t="str">
        <f>IF(A389="","",--(COUNTIFS($A$2:A389,A389,$F$2:F389,F389)=1))</f>
        <v/>
      </c>
    </row>
    <row r="390" spans="1:16">
      <c r="A390" s="5"/>
      <c r="O390" s="4" t="str">
        <f>IF(A390="","",--(COUNTIF($A$2:A390,A390)=1))</f>
        <v/>
      </c>
      <c r="P390" s="4" t="str">
        <f>IF(A390="","",--(COUNTIFS($A$2:A390,A390,$F$2:F390,F390)=1))</f>
        <v/>
      </c>
    </row>
    <row r="391" spans="1:16">
      <c r="A391" s="5"/>
      <c r="O391" s="4" t="str">
        <f>IF(A391="","",--(COUNTIF($A$2:A391,A391)=1))</f>
        <v/>
      </c>
      <c r="P391" s="4" t="str">
        <f>IF(A391="","",--(COUNTIFS($A$2:A391,A391,$F$2:F391,F391)=1))</f>
        <v/>
      </c>
    </row>
    <row r="392" spans="1:16">
      <c r="A392" s="5"/>
      <c r="O392" s="4" t="str">
        <f>IF(A392="","",--(COUNTIF($A$2:A392,A392)=1))</f>
        <v/>
      </c>
      <c r="P392" s="4" t="str">
        <f>IF(A392="","",--(COUNTIFS($A$2:A392,A392,$F$2:F392,F392)=1))</f>
        <v/>
      </c>
    </row>
    <row r="393" spans="1:16">
      <c r="A393" s="5"/>
      <c r="O393" s="4" t="str">
        <f>IF(A393="","",--(COUNTIF($A$2:A393,A393)=1))</f>
        <v/>
      </c>
      <c r="P393" s="4" t="str">
        <f>IF(A393="","",--(COUNTIFS($A$2:A393,A393,$F$2:F393,F393)=1))</f>
        <v/>
      </c>
    </row>
    <row r="394" spans="1:16">
      <c r="A394" s="5"/>
      <c r="O394" s="4" t="str">
        <f>IF(A394="","",--(COUNTIF($A$2:A394,A394)=1))</f>
        <v/>
      </c>
      <c r="P394" s="4" t="str">
        <f>IF(A394="","",--(COUNTIFS($A$2:A394,A394,$F$2:F394,F394)=1))</f>
        <v/>
      </c>
    </row>
    <row r="395" spans="1:16">
      <c r="A395" s="5"/>
      <c r="O395" s="4" t="str">
        <f>IF(A395="","",--(COUNTIF($A$2:A395,A395)=1))</f>
        <v/>
      </c>
      <c r="P395" s="4" t="str">
        <f>IF(A395="","",--(COUNTIFS($A$2:A395,A395,$F$2:F395,F395)=1))</f>
        <v/>
      </c>
    </row>
    <row r="396" spans="1:16">
      <c r="A396" s="5"/>
      <c r="O396" s="4" t="str">
        <f>IF(A396="","",--(COUNTIF($A$2:A396,A396)=1))</f>
        <v/>
      </c>
      <c r="P396" s="4" t="str">
        <f>IF(A396="","",--(COUNTIFS($A$2:A396,A396,$F$2:F396,F396)=1))</f>
        <v/>
      </c>
    </row>
    <row r="397" spans="1:16">
      <c r="A397" s="5"/>
      <c r="O397" s="4" t="str">
        <f>IF(A397="","",--(COUNTIF($A$2:A397,A397)=1))</f>
        <v/>
      </c>
      <c r="P397" s="4" t="str">
        <f>IF(A397="","",--(COUNTIFS($A$2:A397,A397,$F$2:F397,F397)=1))</f>
        <v/>
      </c>
    </row>
    <row r="398" spans="1:16">
      <c r="A398" s="5"/>
      <c r="O398" s="4" t="str">
        <f>IF(A398="","",--(COUNTIF($A$2:A398,A398)=1))</f>
        <v/>
      </c>
      <c r="P398" s="4" t="str">
        <f>IF(A398="","",--(COUNTIFS($A$2:A398,A398,$F$2:F398,F398)=1))</f>
        <v/>
      </c>
    </row>
    <row r="399" spans="1:16">
      <c r="A399" s="5"/>
      <c r="O399" s="4" t="str">
        <f>IF(A399="","",--(COUNTIF($A$2:A399,A399)=1))</f>
        <v/>
      </c>
      <c r="P399" s="4" t="str">
        <f>IF(A399="","",--(COUNTIFS($A$2:A399,A399,$F$2:F399,F399)=1))</f>
        <v/>
      </c>
    </row>
    <row r="400" spans="1:16">
      <c r="A400" s="5"/>
      <c r="O400" s="4" t="str">
        <f>IF(A400="","",--(COUNTIF($A$2:A400,A400)=1))</f>
        <v/>
      </c>
      <c r="P400" s="4" t="str">
        <f>IF(A400="","",--(COUNTIFS($A$2:A400,A400,$F$2:F400,F400)=1))</f>
        <v/>
      </c>
    </row>
    <row r="401" spans="1:16">
      <c r="A401" s="5"/>
      <c r="O401" s="4" t="str">
        <f>IF(A401="","",--(COUNTIF($A$2:A401,A401)=1))</f>
        <v/>
      </c>
      <c r="P401" s="4" t="str">
        <f>IF(A401="","",--(COUNTIFS($A$2:A401,A401,$F$2:F401,F401)=1))</f>
        <v/>
      </c>
    </row>
    <row r="402" spans="1:16">
      <c r="A402" s="5"/>
      <c r="O402" s="4" t="str">
        <f>IF(A402="","",--(COUNTIF($A$2:A402,A402)=1))</f>
        <v/>
      </c>
      <c r="P402" s="4" t="str">
        <f>IF(A402="","",--(COUNTIFS($A$2:A402,A402,$F$2:F402,F402)=1))</f>
        <v/>
      </c>
    </row>
    <row r="403" spans="1:16">
      <c r="A403" s="5"/>
      <c r="O403" s="4" t="str">
        <f>IF(A403="","",--(COUNTIF($A$2:A403,A403)=1))</f>
        <v/>
      </c>
      <c r="P403" s="4" t="str">
        <f>IF(A403="","",--(COUNTIFS($A$2:A403,A403,$F$2:F403,F403)=1))</f>
        <v/>
      </c>
    </row>
    <row r="404" spans="1:16">
      <c r="A404" s="5"/>
      <c r="O404" s="4" t="str">
        <f>IF(A404="","",--(COUNTIF($A$2:A404,A404)=1))</f>
        <v/>
      </c>
      <c r="P404" s="4" t="str">
        <f>IF(A404="","",--(COUNTIFS($A$2:A404,A404,$F$2:F404,F404)=1))</f>
        <v/>
      </c>
    </row>
    <row r="405" spans="1:16">
      <c r="A405" s="5"/>
      <c r="O405" s="4" t="str">
        <f>IF(A405="","",--(COUNTIF($A$2:A405,A405)=1))</f>
        <v/>
      </c>
      <c r="P405" s="4" t="str">
        <f>IF(A405="","",--(COUNTIFS($A$2:A405,A405,$F$2:F405,F405)=1))</f>
        <v/>
      </c>
    </row>
    <row r="406" spans="1:16">
      <c r="A406" s="5"/>
      <c r="O406" s="4" t="str">
        <f>IF(A406="","",--(COUNTIF($A$2:A406,A406)=1))</f>
        <v/>
      </c>
      <c r="P406" s="4" t="str">
        <f>IF(A406="","",--(COUNTIFS($A$2:A406,A406,$F$2:F406,F406)=1))</f>
        <v/>
      </c>
    </row>
    <row r="407" spans="1:16">
      <c r="A407" s="5"/>
      <c r="O407" s="4" t="str">
        <f>IF(A407="","",--(COUNTIF($A$2:A407,A407)=1))</f>
        <v/>
      </c>
      <c r="P407" s="4" t="str">
        <f>IF(A407="","",--(COUNTIFS($A$2:A407,A407,$F$2:F407,F407)=1))</f>
        <v/>
      </c>
    </row>
    <row r="408" spans="1:16">
      <c r="A408" s="5"/>
      <c r="O408" s="4" t="str">
        <f>IF(A408="","",--(COUNTIF($A$2:A408,A408)=1))</f>
        <v/>
      </c>
      <c r="P408" s="4" t="str">
        <f>IF(A408="","",--(COUNTIFS($A$2:A408,A408,$F$2:F408,F408)=1))</f>
        <v/>
      </c>
    </row>
    <row r="409" spans="1:16">
      <c r="A409" s="5"/>
      <c r="O409" s="4" t="str">
        <f>IF(A409="","",--(COUNTIF($A$2:A409,A409)=1))</f>
        <v/>
      </c>
      <c r="P409" s="4" t="str">
        <f>IF(A409="","",--(COUNTIFS($A$2:A409,A409,$F$2:F409,F409)=1))</f>
        <v/>
      </c>
    </row>
    <row r="410" spans="1:16">
      <c r="A410" s="5"/>
      <c r="O410" s="4" t="str">
        <f>IF(A410="","",--(COUNTIF($A$2:A410,A410)=1))</f>
        <v/>
      </c>
      <c r="P410" s="4" t="str">
        <f>IF(A410="","",--(COUNTIFS($A$2:A410,A410,$F$2:F410,F410)=1))</f>
        <v/>
      </c>
    </row>
    <row r="411" spans="1:16">
      <c r="A411" s="5"/>
      <c r="O411" s="4" t="str">
        <f>IF(A411="","",--(COUNTIF($A$2:A411,A411)=1))</f>
        <v/>
      </c>
      <c r="P411" s="4" t="str">
        <f>IF(A411="","",--(COUNTIFS($A$2:A411,A411,$F$2:F411,F411)=1))</f>
        <v/>
      </c>
    </row>
    <row r="412" spans="1:16">
      <c r="A412" s="5"/>
      <c r="O412" s="4" t="str">
        <f>IF(A412="","",--(COUNTIF($A$2:A412,A412)=1))</f>
        <v/>
      </c>
      <c r="P412" s="4" t="str">
        <f>IF(A412="","",--(COUNTIFS($A$2:A412,A412,$F$2:F412,F412)=1))</f>
        <v/>
      </c>
    </row>
    <row r="413" spans="1:16">
      <c r="A413" s="5"/>
      <c r="O413" s="4" t="str">
        <f>IF(A413="","",--(COUNTIF($A$2:A413,A413)=1))</f>
        <v/>
      </c>
      <c r="P413" s="4" t="str">
        <f>IF(A413="","",--(COUNTIFS($A$2:A413,A413,$F$2:F413,F413)=1))</f>
        <v/>
      </c>
    </row>
    <row r="414" spans="1:16">
      <c r="A414" s="5"/>
      <c r="O414" s="4" t="str">
        <f>IF(A414="","",--(COUNTIF($A$2:A414,A414)=1))</f>
        <v/>
      </c>
      <c r="P414" s="4" t="str">
        <f>IF(A414="","",--(COUNTIFS($A$2:A414,A414,$F$2:F414,F414)=1))</f>
        <v/>
      </c>
    </row>
    <row r="415" spans="1:16">
      <c r="A415" s="5"/>
      <c r="O415" s="4" t="str">
        <f>IF(A415="","",--(COUNTIF($A$2:A415,A415)=1))</f>
        <v/>
      </c>
      <c r="P415" s="4" t="str">
        <f>IF(A415="","",--(COUNTIFS($A$2:A415,A415,$F$2:F415,F415)=1))</f>
        <v/>
      </c>
    </row>
    <row r="416" spans="1:16">
      <c r="A416" s="5"/>
      <c r="O416" s="4" t="str">
        <f>IF(A416="","",--(COUNTIF($A$2:A416,A416)=1))</f>
        <v/>
      </c>
      <c r="P416" s="4" t="str">
        <f>IF(A416="","",--(COUNTIFS($A$2:A416,A416,$F$2:F416,F416)=1))</f>
        <v/>
      </c>
    </row>
    <row r="417" spans="1:16">
      <c r="A417" s="5"/>
      <c r="O417" s="4" t="str">
        <f>IF(A417="","",--(COUNTIF($A$2:A417,A417)=1))</f>
        <v/>
      </c>
      <c r="P417" s="4" t="str">
        <f>IF(A417="","",--(COUNTIFS($A$2:A417,A417,$F$2:F417,F417)=1))</f>
        <v/>
      </c>
    </row>
    <row r="418" spans="1:16">
      <c r="A418" s="5"/>
      <c r="O418" s="4" t="str">
        <f>IF(A418="","",--(COUNTIF($A$2:A418,A418)=1))</f>
        <v/>
      </c>
      <c r="P418" s="4" t="str">
        <f>IF(A418="","",--(COUNTIFS($A$2:A418,A418,$F$2:F418,F418)=1))</f>
        <v/>
      </c>
    </row>
    <row r="419" spans="1:16">
      <c r="A419" s="5"/>
      <c r="O419" s="4" t="str">
        <f>IF(A419="","",--(COUNTIF($A$2:A419,A419)=1))</f>
        <v/>
      </c>
      <c r="P419" s="4" t="str">
        <f>IF(A419="","",--(COUNTIFS($A$2:A419,A419,$F$2:F419,F419)=1))</f>
        <v/>
      </c>
    </row>
    <row r="420" spans="1:16">
      <c r="A420" s="5"/>
      <c r="O420" s="4" t="str">
        <f>IF(A420="","",--(COUNTIF($A$2:A420,A420)=1))</f>
        <v/>
      </c>
      <c r="P420" s="4" t="str">
        <f>IF(A420="","",--(COUNTIFS($A$2:A420,A420,$F$2:F420,F420)=1))</f>
        <v/>
      </c>
    </row>
    <row r="421" spans="1:16">
      <c r="A421" s="5"/>
      <c r="O421" s="4" t="str">
        <f>IF(A421="","",--(COUNTIF($A$2:A421,A421)=1))</f>
        <v/>
      </c>
      <c r="P421" s="4" t="str">
        <f>IF(A421="","",--(COUNTIFS($A$2:A421,A421,$F$2:F421,F421)=1))</f>
        <v/>
      </c>
    </row>
    <row r="422" spans="1:16">
      <c r="A422" s="5"/>
      <c r="O422" s="4" t="str">
        <f>IF(A422="","",--(COUNTIF($A$2:A422,A422)=1))</f>
        <v/>
      </c>
      <c r="P422" s="4" t="str">
        <f>IF(A422="","",--(COUNTIFS($A$2:A422,A422,$F$2:F422,F422)=1))</f>
        <v/>
      </c>
    </row>
    <row r="423" spans="1:16">
      <c r="A423" s="5"/>
      <c r="O423" s="4" t="str">
        <f>IF(A423="","",--(COUNTIF($A$2:A423,A423)=1))</f>
        <v/>
      </c>
      <c r="P423" s="4" t="str">
        <f>IF(A423="","",--(COUNTIFS($A$2:A423,A423,$F$2:F423,F423)=1))</f>
        <v/>
      </c>
    </row>
    <row r="424" spans="1:16">
      <c r="A424" s="5"/>
      <c r="O424" s="4" t="str">
        <f>IF(A424="","",--(COUNTIF($A$2:A424,A424)=1))</f>
        <v/>
      </c>
      <c r="P424" s="4" t="str">
        <f>IF(A424="","",--(COUNTIFS($A$2:A424,A424,$F$2:F424,F424)=1))</f>
        <v/>
      </c>
    </row>
    <row r="425" spans="1:16">
      <c r="A425" s="5"/>
      <c r="O425" s="4" t="str">
        <f>IF(A425="","",--(COUNTIF($A$2:A425,A425)=1))</f>
        <v/>
      </c>
      <c r="P425" s="4" t="str">
        <f>IF(A425="","",--(COUNTIFS($A$2:A425,A425,$F$2:F425,F425)=1))</f>
        <v/>
      </c>
    </row>
    <row r="426" spans="1:16">
      <c r="A426" s="5"/>
      <c r="O426" s="4" t="str">
        <f>IF(A426="","",--(COUNTIF($A$2:A426,A426)=1))</f>
        <v/>
      </c>
      <c r="P426" s="4" t="str">
        <f>IF(A426="","",--(COUNTIFS($A$2:A426,A426,$F$2:F426,F426)=1))</f>
        <v/>
      </c>
    </row>
    <row r="427" spans="1:16">
      <c r="A427" s="5"/>
      <c r="O427" s="4" t="str">
        <f>IF(A427="","",--(COUNTIF($A$2:A427,A427)=1))</f>
        <v/>
      </c>
      <c r="P427" s="4" t="str">
        <f>IF(A427="","",--(COUNTIFS($A$2:A427,A427,$F$2:F427,F427)=1))</f>
        <v/>
      </c>
    </row>
    <row r="428" spans="1:16">
      <c r="A428" s="5"/>
      <c r="O428" s="4" t="str">
        <f>IF(A428="","",--(COUNTIF($A$2:A428,A428)=1))</f>
        <v/>
      </c>
      <c r="P428" s="4" t="str">
        <f>IF(A428="","",--(COUNTIFS($A$2:A428,A428,$F$2:F428,F428)=1))</f>
        <v/>
      </c>
    </row>
    <row r="429" spans="1:16">
      <c r="A429" s="5"/>
      <c r="O429" s="4" t="str">
        <f>IF(A429="","",--(COUNTIF($A$2:A429,A429)=1))</f>
        <v/>
      </c>
      <c r="P429" s="4" t="str">
        <f>IF(A429="","",--(COUNTIFS($A$2:A429,A429,$F$2:F429,F429)=1))</f>
        <v/>
      </c>
    </row>
    <row r="430" spans="1:16">
      <c r="A430" s="5"/>
      <c r="O430" s="4" t="str">
        <f>IF(A430="","",--(COUNTIF($A$2:A430,A430)=1))</f>
        <v/>
      </c>
      <c r="P430" s="4" t="str">
        <f>IF(A430="","",--(COUNTIFS($A$2:A430,A430,$F$2:F430,F430)=1))</f>
        <v/>
      </c>
    </row>
    <row r="431" spans="1:16">
      <c r="A431" s="5"/>
      <c r="O431" s="4" t="str">
        <f>IF(A431="","",--(COUNTIF($A$2:A431,A431)=1))</f>
        <v/>
      </c>
      <c r="P431" s="4" t="str">
        <f>IF(A431="","",--(COUNTIFS($A$2:A431,A431,$F$2:F431,F431)=1))</f>
        <v/>
      </c>
    </row>
    <row r="432" spans="1:16">
      <c r="A432" s="5"/>
      <c r="O432" s="4" t="str">
        <f>IF(A432="","",--(COUNTIF($A$2:A432,A432)=1))</f>
        <v/>
      </c>
      <c r="P432" s="4" t="str">
        <f>IF(A432="","",--(COUNTIFS($A$2:A432,A432,$F$2:F432,F432)=1))</f>
        <v/>
      </c>
    </row>
    <row r="433" spans="1:16">
      <c r="A433" s="5"/>
      <c r="O433" s="4" t="str">
        <f>IF(A433="","",--(COUNTIF($A$2:A433,A433)=1))</f>
        <v/>
      </c>
      <c r="P433" s="4" t="str">
        <f>IF(A433="","",--(COUNTIFS($A$2:A433,A433,$F$2:F433,F433)=1))</f>
        <v/>
      </c>
    </row>
    <row r="434" spans="1:16">
      <c r="A434" s="5"/>
      <c r="O434" s="4" t="str">
        <f>IF(A434="","",--(COUNTIF($A$2:A434,A434)=1))</f>
        <v/>
      </c>
      <c r="P434" s="4" t="str">
        <f>IF(A434="","",--(COUNTIFS($A$2:A434,A434,$F$2:F434,F434)=1))</f>
        <v/>
      </c>
    </row>
    <row r="435" spans="1:16">
      <c r="A435" s="5"/>
      <c r="O435" s="4" t="str">
        <f>IF(A435="","",--(COUNTIF($A$2:A435,A435)=1))</f>
        <v/>
      </c>
      <c r="P435" s="4" t="str">
        <f>IF(A435="","",--(COUNTIFS($A$2:A435,A435,$F$2:F435,F435)=1))</f>
        <v/>
      </c>
    </row>
    <row r="436" spans="1:16">
      <c r="A436" s="5"/>
      <c r="O436" s="4" t="str">
        <f>IF(A436="","",--(COUNTIF($A$2:A436,A436)=1))</f>
        <v/>
      </c>
      <c r="P436" s="4" t="str">
        <f>IF(A436="","",--(COUNTIFS($A$2:A436,A436,$F$2:F436,F436)=1))</f>
        <v/>
      </c>
    </row>
    <row r="437" spans="1:16">
      <c r="A437" s="5"/>
      <c r="O437" s="4" t="str">
        <f>IF(A437="","",--(COUNTIF($A$2:A437,A437)=1))</f>
        <v/>
      </c>
      <c r="P437" s="4" t="str">
        <f>IF(A437="","",--(COUNTIFS($A$2:A437,A437,$F$2:F437,F437)=1))</f>
        <v/>
      </c>
    </row>
    <row r="438" spans="1:16">
      <c r="A438" s="5"/>
      <c r="O438" s="4" t="str">
        <f>IF(A438="","",--(COUNTIF($A$2:A438,A438)=1))</f>
        <v/>
      </c>
      <c r="P438" s="4" t="str">
        <f>IF(A438="","",--(COUNTIFS($A$2:A438,A438,$F$2:F438,F438)=1))</f>
        <v/>
      </c>
    </row>
    <row r="439" spans="1:16">
      <c r="A439" s="5"/>
      <c r="O439" s="4" t="str">
        <f>IF(A439="","",--(COUNTIF($A$2:A439,A439)=1))</f>
        <v/>
      </c>
      <c r="P439" s="4" t="str">
        <f>IF(A439="","",--(COUNTIFS($A$2:A439,A439,$F$2:F439,F439)=1))</f>
        <v/>
      </c>
    </row>
    <row r="440" spans="1:16">
      <c r="A440" s="5"/>
      <c r="O440" s="4" t="str">
        <f>IF(A440="","",--(COUNTIF($A$2:A440,A440)=1))</f>
        <v/>
      </c>
      <c r="P440" s="4" t="str">
        <f>IF(A440="","",--(COUNTIFS($A$2:A440,A440,$F$2:F440,F440)=1))</f>
        <v/>
      </c>
    </row>
    <row r="441" spans="1:16">
      <c r="A441" s="5"/>
      <c r="O441" s="4" t="str">
        <f>IF(A441="","",--(COUNTIF($A$2:A441,A441)=1))</f>
        <v/>
      </c>
      <c r="P441" s="4" t="str">
        <f>IF(A441="","",--(COUNTIFS($A$2:A441,A441,$F$2:F441,F441)=1))</f>
        <v/>
      </c>
    </row>
    <row r="442" spans="1:16">
      <c r="A442" s="5"/>
      <c r="O442" s="4" t="str">
        <f>IF(A442="","",--(COUNTIF($A$2:A442,A442)=1))</f>
        <v/>
      </c>
      <c r="P442" s="4" t="str">
        <f>IF(A442="","",--(COUNTIFS($A$2:A442,A442,$F$2:F442,F442)=1))</f>
        <v/>
      </c>
    </row>
    <row r="443" spans="1:16">
      <c r="A443" s="5"/>
      <c r="O443" s="4" t="str">
        <f>IF(A443="","",--(COUNTIF($A$2:A443,A443)=1))</f>
        <v/>
      </c>
      <c r="P443" s="4" t="str">
        <f>IF(A443="","",--(COUNTIFS($A$2:A443,A443,$F$2:F443,F443)=1))</f>
        <v/>
      </c>
    </row>
    <row r="444" spans="1:16">
      <c r="A444" s="5"/>
      <c r="O444" s="4" t="str">
        <f>IF(A444="","",--(COUNTIF($A$2:A444,A444)=1))</f>
        <v/>
      </c>
      <c r="P444" s="4" t="str">
        <f>IF(A444="","",--(COUNTIFS($A$2:A444,A444,$F$2:F444,F444)=1))</f>
        <v/>
      </c>
    </row>
    <row r="445" spans="1:16">
      <c r="A445" s="5"/>
      <c r="O445" s="4" t="str">
        <f>IF(A445="","",--(COUNTIF($A$2:A445,A445)=1))</f>
        <v/>
      </c>
      <c r="P445" s="4" t="str">
        <f>IF(A445="","",--(COUNTIFS($A$2:A445,A445,$F$2:F445,F445)=1))</f>
        <v/>
      </c>
    </row>
    <row r="446" spans="1:16">
      <c r="A446" s="5"/>
      <c r="O446" s="4" t="str">
        <f>IF(A446="","",--(COUNTIF($A$2:A446,A446)=1))</f>
        <v/>
      </c>
      <c r="P446" s="4" t="str">
        <f>IF(A446="","",--(COUNTIFS($A$2:A446,A446,$F$2:F446,F446)=1))</f>
        <v/>
      </c>
    </row>
    <row r="447" spans="1:16">
      <c r="A447" s="5"/>
      <c r="O447" s="4" t="str">
        <f>IF(A447="","",--(COUNTIF($A$2:A447,A447)=1))</f>
        <v/>
      </c>
      <c r="P447" s="4" t="str">
        <f>IF(A447="","",--(COUNTIFS($A$2:A447,A447,$F$2:F447,F447)=1))</f>
        <v/>
      </c>
    </row>
    <row r="448" spans="1:16">
      <c r="A448" s="5"/>
      <c r="O448" s="4" t="str">
        <f>IF(A448="","",--(COUNTIF($A$2:A448,A448)=1))</f>
        <v/>
      </c>
      <c r="P448" s="4" t="str">
        <f>IF(A448="","",--(COUNTIFS($A$2:A448,A448,$F$2:F448,F448)=1))</f>
        <v/>
      </c>
    </row>
    <row r="449" spans="1:16">
      <c r="A449" s="5"/>
      <c r="O449" s="4" t="str">
        <f>IF(A449="","",--(COUNTIF($A$2:A449,A449)=1))</f>
        <v/>
      </c>
      <c r="P449" s="4" t="str">
        <f>IF(A449="","",--(COUNTIFS($A$2:A449,A449,$F$2:F449,F449)=1))</f>
        <v/>
      </c>
    </row>
    <row r="450" spans="1:16">
      <c r="A450" s="5"/>
      <c r="O450" s="4" t="str">
        <f>IF(A450="","",--(COUNTIF($A$2:A450,A450)=1))</f>
        <v/>
      </c>
      <c r="P450" s="4" t="str">
        <f>IF(A450="","",--(COUNTIFS($A$2:A450,A450,$F$2:F450,F450)=1))</f>
        <v/>
      </c>
    </row>
    <row r="451" spans="1:16">
      <c r="A451" s="5"/>
      <c r="O451" s="4" t="str">
        <f>IF(A451="","",--(COUNTIF($A$2:A451,A451)=1))</f>
        <v/>
      </c>
      <c r="P451" s="4" t="str">
        <f>IF(A451="","",--(COUNTIFS($A$2:A451,A451,$F$2:F451,F451)=1))</f>
        <v/>
      </c>
    </row>
    <row r="452" spans="1:16">
      <c r="A452" s="5"/>
      <c r="O452" s="4" t="str">
        <f>IF(A452="","",--(COUNTIF($A$2:A452,A452)=1))</f>
        <v/>
      </c>
      <c r="P452" s="4" t="str">
        <f>IF(A452="","",--(COUNTIFS($A$2:A452,A452,$F$2:F452,F452)=1))</f>
        <v/>
      </c>
    </row>
    <row r="453" spans="1:16">
      <c r="A453" s="5"/>
      <c r="O453" s="4" t="str">
        <f>IF(A453="","",--(COUNTIF($A$2:A453,A453)=1))</f>
        <v/>
      </c>
      <c r="P453" s="4" t="str">
        <f>IF(A453="","",--(COUNTIFS($A$2:A453,A453,$F$2:F453,F453)=1))</f>
        <v/>
      </c>
    </row>
    <row r="454" spans="1:16">
      <c r="A454" s="5"/>
      <c r="O454" s="4" t="str">
        <f>IF(A454="","",--(COUNTIF($A$2:A454,A454)=1))</f>
        <v/>
      </c>
      <c r="P454" s="4" t="str">
        <f>IF(A454="","",--(COUNTIFS($A$2:A454,A454,$F$2:F454,F454)=1))</f>
        <v/>
      </c>
    </row>
    <row r="455" spans="1:16">
      <c r="A455" s="5"/>
      <c r="O455" s="4" t="str">
        <f>IF(A455="","",--(COUNTIF($A$2:A455,A455)=1))</f>
        <v/>
      </c>
      <c r="P455" s="4" t="str">
        <f>IF(A455="","",--(COUNTIFS($A$2:A455,A455,$F$2:F455,F455)=1))</f>
        <v/>
      </c>
    </row>
    <row r="456" spans="1:16">
      <c r="A456" s="5"/>
      <c r="O456" s="4" t="str">
        <f>IF(A456="","",--(COUNTIF($A$2:A456,A456)=1))</f>
        <v/>
      </c>
      <c r="P456" s="4" t="str">
        <f>IF(A456="","",--(COUNTIFS($A$2:A456,A456,$F$2:F456,F456)=1))</f>
        <v/>
      </c>
    </row>
    <row r="457" spans="1:16">
      <c r="A457" s="5"/>
      <c r="O457" s="4" t="str">
        <f>IF(A457="","",--(COUNTIF($A$2:A457,A457)=1))</f>
        <v/>
      </c>
      <c r="P457" s="4" t="str">
        <f>IF(A457="","",--(COUNTIFS($A$2:A457,A457,$F$2:F457,F457)=1))</f>
        <v/>
      </c>
    </row>
    <row r="458" spans="1:16">
      <c r="A458" s="5"/>
      <c r="O458" s="4" t="str">
        <f>IF(A458="","",--(COUNTIF($A$2:A458,A458)=1))</f>
        <v/>
      </c>
      <c r="P458" s="4" t="str">
        <f>IF(A458="","",--(COUNTIFS($A$2:A458,A458,$F$2:F458,F458)=1))</f>
        <v/>
      </c>
    </row>
    <row r="459" spans="1:16">
      <c r="A459" s="5"/>
      <c r="O459" s="4" t="str">
        <f>IF(A459="","",--(COUNTIF($A$2:A459,A459)=1))</f>
        <v/>
      </c>
      <c r="P459" s="4" t="str">
        <f>IF(A459="","",--(COUNTIFS($A$2:A459,A459,$F$2:F459,F459)=1))</f>
        <v/>
      </c>
    </row>
    <row r="460" spans="1:16">
      <c r="A460" s="5"/>
      <c r="O460" s="4" t="str">
        <f>IF(A460="","",--(COUNTIF($A$2:A460,A460)=1))</f>
        <v/>
      </c>
      <c r="P460" s="4" t="str">
        <f>IF(A460="","",--(COUNTIFS($A$2:A460,A460,$F$2:F460,F460)=1))</f>
        <v/>
      </c>
    </row>
    <row r="461" spans="1:16">
      <c r="A461" s="5"/>
      <c r="O461" s="4" t="str">
        <f>IF(A461="","",--(COUNTIF($A$2:A461,A461)=1))</f>
        <v/>
      </c>
      <c r="P461" s="4" t="str">
        <f>IF(A461="","",--(COUNTIFS($A$2:A461,A461,$F$2:F461,F461)=1))</f>
        <v/>
      </c>
    </row>
    <row r="462" spans="1:16">
      <c r="A462" s="5"/>
      <c r="O462" s="4" t="str">
        <f>IF(A462="","",--(COUNTIF($A$2:A462,A462)=1))</f>
        <v/>
      </c>
      <c r="P462" s="4" t="str">
        <f>IF(A462="","",--(COUNTIFS($A$2:A462,A462,$F$2:F462,F462)=1))</f>
        <v/>
      </c>
    </row>
    <row r="463" spans="1:16">
      <c r="A463" s="5"/>
      <c r="O463" s="4" t="str">
        <f>IF(A463="","",--(COUNTIF($A$2:A463,A463)=1))</f>
        <v/>
      </c>
      <c r="P463" s="4" t="str">
        <f>IF(A463="","",--(COUNTIFS($A$2:A463,A463,$F$2:F463,F463)=1))</f>
        <v/>
      </c>
    </row>
    <row r="464" spans="1:16">
      <c r="A464" s="5"/>
      <c r="O464" s="4" t="str">
        <f>IF(A464="","",--(COUNTIF($A$2:A464,A464)=1))</f>
        <v/>
      </c>
      <c r="P464" s="4" t="str">
        <f>IF(A464="","",--(COUNTIFS($A$2:A464,A464,$F$2:F464,F464)=1))</f>
        <v/>
      </c>
    </row>
    <row r="465" spans="1:16">
      <c r="A465" s="5"/>
      <c r="O465" s="4" t="str">
        <f>IF(A465="","",--(COUNTIF($A$2:A465,A465)=1))</f>
        <v/>
      </c>
      <c r="P465" s="4" t="str">
        <f>IF(A465="","",--(COUNTIFS($A$2:A465,A465,$F$2:F465,F465)=1))</f>
        <v/>
      </c>
    </row>
    <row r="466" spans="1:16">
      <c r="A466" s="5"/>
      <c r="O466" s="4" t="str">
        <f>IF(A466="","",--(COUNTIF($A$2:A466,A466)=1))</f>
        <v/>
      </c>
      <c r="P466" s="4" t="str">
        <f>IF(A466="","",--(COUNTIFS($A$2:A466,A466,$F$2:F466,F466)=1))</f>
        <v/>
      </c>
    </row>
    <row r="467" spans="1:16">
      <c r="A467" s="5"/>
      <c r="O467" s="4" t="str">
        <f>IF(A467="","",--(COUNTIF($A$2:A467,A467)=1))</f>
        <v/>
      </c>
      <c r="P467" s="4" t="str">
        <f>IF(A467="","",--(COUNTIFS($A$2:A467,A467,$F$2:F467,F467)=1))</f>
        <v/>
      </c>
    </row>
    <row r="468" spans="1:16">
      <c r="A468" s="5"/>
      <c r="O468" s="4" t="str">
        <f>IF(A468="","",--(COUNTIF($A$2:A468,A468)=1))</f>
        <v/>
      </c>
      <c r="P468" s="4" t="str">
        <f>IF(A468="","",--(COUNTIFS($A$2:A468,A468,$F$2:F468,F468)=1))</f>
        <v/>
      </c>
    </row>
    <row r="469" spans="1:16">
      <c r="A469" s="5"/>
      <c r="O469" s="4" t="str">
        <f>IF(A469="","",--(COUNTIF($A$2:A469,A469)=1))</f>
        <v/>
      </c>
      <c r="P469" s="4" t="str">
        <f>IF(A469="","",--(COUNTIFS($A$2:A469,A469,$F$2:F469,F469)=1))</f>
        <v/>
      </c>
    </row>
    <row r="470" spans="1:16">
      <c r="A470" s="5"/>
      <c r="O470" s="4" t="str">
        <f>IF(A470="","",--(COUNTIF($A$2:A470,A470)=1))</f>
        <v/>
      </c>
      <c r="P470" s="4" t="str">
        <f>IF(A470="","",--(COUNTIFS($A$2:A470,A470,$F$2:F470,F470)=1))</f>
        <v/>
      </c>
    </row>
    <row r="471" spans="1:16">
      <c r="A471" s="5"/>
      <c r="O471" s="4" t="str">
        <f>IF(A471="","",--(COUNTIF($A$2:A471,A471)=1))</f>
        <v/>
      </c>
      <c r="P471" s="4" t="str">
        <f>IF(A471="","",--(COUNTIFS($A$2:A471,A471,$F$2:F471,F471)=1))</f>
        <v/>
      </c>
    </row>
    <row r="472" spans="1:16">
      <c r="A472" s="5"/>
      <c r="O472" s="4" t="str">
        <f>IF(A472="","",--(COUNTIF($A$2:A472,A472)=1))</f>
        <v/>
      </c>
      <c r="P472" s="4" t="str">
        <f>IF(A472="","",--(COUNTIFS($A$2:A472,A472,$F$2:F472,F472)=1))</f>
        <v/>
      </c>
    </row>
    <row r="473" spans="1:16">
      <c r="A473" s="5"/>
      <c r="O473" s="4" t="str">
        <f>IF(A473="","",--(COUNTIF($A$2:A473,A473)=1))</f>
        <v/>
      </c>
      <c r="P473" s="4" t="str">
        <f>IF(A473="","",--(COUNTIFS($A$2:A473,A473,$F$2:F473,F473)=1))</f>
        <v/>
      </c>
    </row>
    <row r="474" spans="1:16">
      <c r="A474" s="5"/>
      <c r="O474" s="4" t="str">
        <f>IF(A474="","",--(COUNTIF($A$2:A474,A474)=1))</f>
        <v/>
      </c>
      <c r="P474" s="4" t="str">
        <f>IF(A474="","",--(COUNTIFS($A$2:A474,A474,$F$2:F474,F474)=1))</f>
        <v/>
      </c>
    </row>
    <row r="475" spans="1:16">
      <c r="A475" s="5"/>
      <c r="O475" s="4" t="str">
        <f>IF(A475="","",--(COUNTIF($A$2:A475,A475)=1))</f>
        <v/>
      </c>
      <c r="P475" s="4" t="str">
        <f>IF(A475="","",--(COUNTIFS($A$2:A475,A475,$F$2:F475,F475)=1))</f>
        <v/>
      </c>
    </row>
    <row r="476" spans="1:16">
      <c r="A476" s="5"/>
      <c r="O476" s="4" t="str">
        <f>IF(A476="","",--(COUNTIF($A$2:A476,A476)=1))</f>
        <v/>
      </c>
      <c r="P476" s="4" t="str">
        <f>IF(A476="","",--(COUNTIFS($A$2:A476,A476,$F$2:F476,F476)=1))</f>
        <v/>
      </c>
    </row>
    <row r="477" spans="1:16">
      <c r="A477" s="5"/>
      <c r="O477" s="4" t="str">
        <f>IF(A477="","",--(COUNTIF($A$2:A477,A477)=1))</f>
        <v/>
      </c>
      <c r="P477" s="4" t="str">
        <f>IF(A477="","",--(COUNTIFS($A$2:A477,A477,$F$2:F477,F477)=1))</f>
        <v/>
      </c>
    </row>
    <row r="478" spans="1:16">
      <c r="A478" s="5"/>
      <c r="O478" s="4" t="str">
        <f>IF(A478="","",--(COUNTIF($A$2:A478,A478)=1))</f>
        <v/>
      </c>
      <c r="P478" s="4" t="str">
        <f>IF(A478="","",--(COUNTIFS($A$2:A478,A478,$F$2:F478,F478)=1))</f>
        <v/>
      </c>
    </row>
    <row r="479" spans="1:16">
      <c r="A479" s="5"/>
      <c r="O479" s="4" t="str">
        <f>IF(A479="","",--(COUNTIF($A$2:A479,A479)=1))</f>
        <v/>
      </c>
      <c r="P479" s="4" t="str">
        <f>IF(A479="","",--(COUNTIFS($A$2:A479,A479,$F$2:F479,F479)=1))</f>
        <v/>
      </c>
    </row>
    <row r="480" spans="1:16">
      <c r="A480" s="5"/>
      <c r="O480" s="4" t="str">
        <f>IF(A480="","",--(COUNTIF($A$2:A480,A480)=1))</f>
        <v/>
      </c>
      <c r="P480" s="4" t="str">
        <f>IF(A480="","",--(COUNTIFS($A$2:A480,A480,$F$2:F480,F480)=1))</f>
        <v/>
      </c>
    </row>
    <row r="481" spans="1:16">
      <c r="A481" s="5"/>
      <c r="O481" s="4" t="str">
        <f>IF(A481="","",--(COUNTIF($A$2:A481,A481)=1))</f>
        <v/>
      </c>
      <c r="P481" s="4" t="str">
        <f>IF(A481="","",--(COUNTIFS($A$2:A481,A481,$F$2:F481,F481)=1))</f>
        <v/>
      </c>
    </row>
    <row r="482" spans="1:16">
      <c r="A482" s="5"/>
      <c r="O482" s="4" t="str">
        <f>IF(A482="","",--(COUNTIF($A$2:A482,A482)=1))</f>
        <v/>
      </c>
      <c r="P482" s="4" t="str">
        <f>IF(A482="","",--(COUNTIFS($A$2:A482,A482,$F$2:F482,F482)=1))</f>
        <v/>
      </c>
    </row>
    <row r="483" spans="1:16">
      <c r="A483" s="5"/>
      <c r="O483" s="4" t="str">
        <f>IF(A483="","",--(COUNTIF($A$2:A483,A483)=1))</f>
        <v/>
      </c>
      <c r="P483" s="4" t="str">
        <f>IF(A483="","",--(COUNTIFS($A$2:A483,A483,$F$2:F483,F483)=1))</f>
        <v/>
      </c>
    </row>
    <row r="484" spans="1:16">
      <c r="A484" s="5"/>
      <c r="O484" s="4" t="str">
        <f>IF(A484="","",--(COUNTIF($A$2:A484,A484)=1))</f>
        <v/>
      </c>
      <c r="P484" s="4" t="str">
        <f>IF(A484="","",--(COUNTIFS($A$2:A484,A484,$F$2:F484,F484)=1))</f>
        <v/>
      </c>
    </row>
    <row r="485" spans="1:16">
      <c r="A485" s="5"/>
      <c r="O485" s="4" t="str">
        <f>IF(A485="","",--(COUNTIF($A$2:A485,A485)=1))</f>
        <v/>
      </c>
      <c r="P485" s="4" t="str">
        <f>IF(A485="","",--(COUNTIFS($A$2:A485,A485,$F$2:F485,F485)=1))</f>
        <v/>
      </c>
    </row>
    <row r="486" spans="1:16">
      <c r="A486" s="5"/>
      <c r="O486" s="4" t="str">
        <f>IF(A486="","",--(COUNTIF($A$2:A486,A486)=1))</f>
        <v/>
      </c>
      <c r="P486" s="4" t="str">
        <f>IF(A486="","",--(COUNTIFS($A$2:A486,A486,$F$2:F486,F486)=1))</f>
        <v/>
      </c>
    </row>
    <row r="487" spans="1:16">
      <c r="A487" s="5"/>
      <c r="O487" s="4" t="str">
        <f>IF(A487="","",--(COUNTIF($A$2:A487,A487)=1))</f>
        <v/>
      </c>
      <c r="P487" s="4" t="str">
        <f>IF(A487="","",--(COUNTIFS($A$2:A487,A487,$F$2:F487,F487)=1))</f>
        <v/>
      </c>
    </row>
    <row r="488" spans="1:16">
      <c r="A488" s="5"/>
      <c r="O488" s="4" t="str">
        <f>IF(A488="","",--(COUNTIF($A$2:A488,A488)=1))</f>
        <v/>
      </c>
      <c r="P488" s="4" t="str">
        <f>IF(A488="","",--(COUNTIFS($A$2:A488,A488,$F$2:F488,F488)=1))</f>
        <v/>
      </c>
    </row>
    <row r="489" spans="1:16">
      <c r="A489" s="5"/>
      <c r="O489" s="4" t="str">
        <f>IF(A489="","",--(COUNTIF($A$2:A489,A489)=1))</f>
        <v/>
      </c>
      <c r="P489" s="4" t="str">
        <f>IF(A489="","",--(COUNTIFS($A$2:A489,A489,$F$2:F489,F489)=1))</f>
        <v/>
      </c>
    </row>
    <row r="490" spans="1:16">
      <c r="A490" s="5"/>
      <c r="O490" s="4" t="str">
        <f>IF(A490="","",--(COUNTIF($A$2:A490,A490)=1))</f>
        <v/>
      </c>
      <c r="P490" s="4" t="str">
        <f>IF(A490="","",--(COUNTIFS($A$2:A490,A490,$F$2:F490,F490)=1))</f>
        <v/>
      </c>
    </row>
    <row r="491" spans="1:16">
      <c r="A491" s="5"/>
      <c r="O491" s="4" t="str">
        <f>IF(A491="","",--(COUNTIF($A$2:A491,A491)=1))</f>
        <v/>
      </c>
      <c r="P491" s="4" t="str">
        <f>IF(A491="","",--(COUNTIFS($A$2:A491,A491,$F$2:F491,F491)=1))</f>
        <v/>
      </c>
    </row>
    <row r="492" spans="1:16">
      <c r="A492" s="5"/>
      <c r="O492" s="4" t="str">
        <f>IF(A492="","",--(COUNTIF($A$2:A492,A492)=1))</f>
        <v/>
      </c>
      <c r="P492" s="4" t="str">
        <f>IF(A492="","",--(COUNTIFS($A$2:A492,A492,$F$2:F492,F492)=1))</f>
        <v/>
      </c>
    </row>
    <row r="493" spans="1:16">
      <c r="A493" s="5"/>
      <c r="O493" s="4" t="str">
        <f>IF(A493="","",--(COUNTIF($A$2:A493,A493)=1))</f>
        <v/>
      </c>
      <c r="P493" s="4" t="str">
        <f>IF(A493="","",--(COUNTIFS($A$2:A493,A493,$F$2:F493,F493)=1))</f>
        <v/>
      </c>
    </row>
    <row r="494" spans="1:16">
      <c r="A494" s="5"/>
      <c r="O494" s="4" t="str">
        <f>IF(A494="","",--(COUNTIF($A$2:A494,A494)=1))</f>
        <v/>
      </c>
      <c r="P494" s="4" t="str">
        <f>IF(A494="","",--(COUNTIFS($A$2:A494,A494,$F$2:F494,F494)=1))</f>
        <v/>
      </c>
    </row>
    <row r="495" spans="1:16">
      <c r="A495" s="5"/>
      <c r="O495" s="4" t="str">
        <f>IF(A495="","",--(COUNTIF($A$2:A495,A495)=1))</f>
        <v/>
      </c>
      <c r="P495" s="4" t="str">
        <f>IF(A495="","",--(COUNTIFS($A$2:A495,A495,$F$2:F495,F495)=1))</f>
        <v/>
      </c>
    </row>
    <row r="496" spans="1:16">
      <c r="A496" s="5"/>
      <c r="O496" s="4" t="str">
        <f>IF(A496="","",--(COUNTIF($A$2:A496,A496)=1))</f>
        <v/>
      </c>
      <c r="P496" s="4" t="str">
        <f>IF(A496="","",--(COUNTIFS($A$2:A496,A496,$F$2:F496,F496)=1))</f>
        <v/>
      </c>
    </row>
    <row r="497" spans="1:16">
      <c r="A497" s="5"/>
      <c r="O497" s="4" t="str">
        <f>IF(A497="","",--(COUNTIF($A$2:A497,A497)=1))</f>
        <v/>
      </c>
      <c r="P497" s="4" t="str">
        <f>IF(A497="","",--(COUNTIFS($A$2:A497,A497,$F$2:F497,F497)=1))</f>
        <v/>
      </c>
    </row>
    <row r="498" spans="1:16">
      <c r="A498" s="5"/>
      <c r="O498" s="4" t="str">
        <f>IF(A498="","",--(COUNTIF($A$2:A498,A498)=1))</f>
        <v/>
      </c>
      <c r="P498" s="4" t="str">
        <f>IF(A498="","",--(COUNTIFS($A$2:A498,A498,$F$2:F498,F498)=1))</f>
        <v/>
      </c>
    </row>
    <row r="499" spans="1:16">
      <c r="A499" s="5"/>
      <c r="O499" s="4" t="str">
        <f>IF(A499="","",--(COUNTIF($A$2:A499,A499)=1))</f>
        <v/>
      </c>
      <c r="P499" s="4" t="str">
        <f>IF(A499="","",--(COUNTIFS($A$2:A499,A499,$F$2:F499,F499)=1))</f>
        <v/>
      </c>
    </row>
    <row r="500" spans="1:16">
      <c r="A500" s="5"/>
      <c r="O500" s="4" t="str">
        <f>IF(A500="","",--(COUNTIF($A$2:A500,A500)=1))</f>
        <v/>
      </c>
      <c r="P500" s="4" t="str">
        <f>IF(A500="","",--(COUNTIFS($A$2:A500,A500,$F$2:F500,F500)=1))</f>
        <v/>
      </c>
    </row>
    <row r="501" spans="1:16">
      <c r="A501" s="5"/>
      <c r="O501" s="4" t="str">
        <f>IF(A501="","",--(COUNTIF($A$2:A501,A501)=1))</f>
        <v/>
      </c>
      <c r="P501" s="4" t="str">
        <f>IF(A501="","",--(COUNTIFS($A$2:A501,A501,$F$2:F501,F501)=1))</f>
        <v/>
      </c>
    </row>
    <row r="502" spans="1:16">
      <c r="A502" s="5"/>
      <c r="O502" s="4" t="str">
        <f>IF(A502="","",--(COUNTIF($A$2:A502,A502)=1))</f>
        <v/>
      </c>
      <c r="P502" s="4" t="str">
        <f>IF(A502="","",--(COUNTIFS($A$2:A502,A502,$F$2:F502,F502)=1))</f>
        <v/>
      </c>
    </row>
    <row r="503" spans="1:16">
      <c r="A503" s="5"/>
      <c r="O503" s="4" t="str">
        <f>IF(A503="","",--(COUNTIF($A$2:A503,A503)=1))</f>
        <v/>
      </c>
      <c r="P503" s="4" t="str">
        <f>IF(A503="","",--(COUNTIFS($A$2:A503,A503,$F$2:F503,F503)=1))</f>
        <v/>
      </c>
    </row>
    <row r="504" spans="1:16">
      <c r="A504" s="5"/>
      <c r="O504" s="4" t="str">
        <f>IF(A504="","",--(COUNTIF($A$2:A504,A504)=1))</f>
        <v/>
      </c>
      <c r="P504" s="4" t="str">
        <f>IF(A504="","",--(COUNTIFS($A$2:A504,A504,$F$2:F504,F504)=1))</f>
        <v/>
      </c>
    </row>
    <row r="505" spans="1:16">
      <c r="A505" s="5"/>
      <c r="O505" s="4" t="str">
        <f>IF(A505="","",--(COUNTIF($A$2:A505,A505)=1))</f>
        <v/>
      </c>
      <c r="P505" s="4" t="str">
        <f>IF(A505="","",--(COUNTIFS($A$2:A505,A505,$F$2:F505,F505)=1))</f>
        <v/>
      </c>
    </row>
    <row r="506" spans="1:16">
      <c r="A506" s="5"/>
      <c r="O506" s="4" t="str">
        <f>IF(A506="","",--(COUNTIF($A$2:A506,A506)=1))</f>
        <v/>
      </c>
      <c r="P506" s="4" t="str">
        <f>IF(A506="","",--(COUNTIFS($A$2:A506,A506,$F$2:F506,F506)=1))</f>
        <v/>
      </c>
    </row>
    <row r="507" spans="1:16">
      <c r="A507" s="5"/>
      <c r="O507" s="4" t="str">
        <f>IF(A507="","",--(COUNTIF($A$2:A507,A507)=1))</f>
        <v/>
      </c>
      <c r="P507" s="4" t="str">
        <f>IF(A507="","",--(COUNTIFS($A$2:A507,A507,$F$2:F507,F507)=1))</f>
        <v/>
      </c>
    </row>
    <row r="508" spans="1:16">
      <c r="A508" s="5"/>
      <c r="O508" s="4" t="str">
        <f>IF(A508="","",--(COUNTIF($A$2:A508,A508)=1))</f>
        <v/>
      </c>
      <c r="P508" s="4" t="str">
        <f>IF(A508="","",--(COUNTIFS($A$2:A508,A508,$F$2:F508,F508)=1))</f>
        <v/>
      </c>
    </row>
    <row r="509" spans="1:16">
      <c r="A509" s="5"/>
      <c r="O509" s="4" t="str">
        <f>IF(A509="","",--(COUNTIF($A$2:A509,A509)=1))</f>
        <v/>
      </c>
      <c r="P509" s="4" t="str">
        <f>IF(A509="","",--(COUNTIFS($A$2:A509,A509,$F$2:F509,F509)=1))</f>
        <v/>
      </c>
    </row>
    <row r="510" spans="1:16">
      <c r="A510" s="5"/>
      <c r="O510" s="4" t="str">
        <f>IF(A510="","",--(COUNTIF($A$2:A510,A510)=1))</f>
        <v/>
      </c>
      <c r="P510" s="4" t="str">
        <f>IF(A510="","",--(COUNTIFS($A$2:A510,A510,$F$2:F510,F510)=1))</f>
        <v/>
      </c>
    </row>
    <row r="511" spans="1:16">
      <c r="A511" s="5"/>
      <c r="O511" s="4" t="str">
        <f>IF(A511="","",--(COUNTIF($A$2:A511,A511)=1))</f>
        <v/>
      </c>
      <c r="P511" s="4" t="str">
        <f>IF(A511="","",--(COUNTIFS($A$2:A511,A511,$F$2:F511,F511)=1))</f>
        <v/>
      </c>
    </row>
    <row r="512" spans="1:16">
      <c r="A512" s="5"/>
      <c r="O512" s="4" t="str">
        <f>IF(A512="","",--(COUNTIF($A$2:A512,A512)=1))</f>
        <v/>
      </c>
      <c r="P512" s="4" t="str">
        <f>IF(A512="","",--(COUNTIFS($A$2:A512,A512,$F$2:F512,F512)=1))</f>
        <v/>
      </c>
    </row>
    <row r="513" spans="1:16">
      <c r="A513" s="5"/>
      <c r="O513" s="4" t="str">
        <f>IF(A513="","",--(COUNTIF($A$2:A513,A513)=1))</f>
        <v/>
      </c>
      <c r="P513" s="4" t="str">
        <f>IF(A513="","",--(COUNTIFS($A$2:A513,A513,$F$2:F513,F513)=1))</f>
        <v/>
      </c>
    </row>
    <row r="514" spans="1:16">
      <c r="A514" s="5"/>
      <c r="O514" s="4" t="str">
        <f>IF(A514="","",--(COUNTIF($A$2:A514,A514)=1))</f>
        <v/>
      </c>
      <c r="P514" s="4" t="str">
        <f>IF(A514="","",--(COUNTIFS($A$2:A514,A514,$F$2:F514,F514)=1))</f>
        <v/>
      </c>
    </row>
    <row r="515" spans="1:16">
      <c r="A515" s="5"/>
      <c r="O515" s="4" t="str">
        <f>IF(A515="","",--(COUNTIF($A$2:A515,A515)=1))</f>
        <v/>
      </c>
      <c r="P515" s="4" t="str">
        <f>IF(A515="","",--(COUNTIFS($A$2:A515,A515,$F$2:F515,F515)=1))</f>
        <v/>
      </c>
    </row>
    <row r="516" spans="1:16">
      <c r="A516" s="5"/>
      <c r="O516" s="4" t="str">
        <f>IF(A516="","",--(COUNTIF($A$2:A516,A516)=1))</f>
        <v/>
      </c>
      <c r="P516" s="4" t="str">
        <f>IF(A516="","",--(COUNTIFS($A$2:A516,A516,$F$2:F516,F516)=1))</f>
        <v/>
      </c>
    </row>
    <row r="517" spans="1:16">
      <c r="A517" s="5"/>
      <c r="O517" s="4" t="str">
        <f>IF(A517="","",--(COUNTIF($A$2:A517,A517)=1))</f>
        <v/>
      </c>
      <c r="P517" s="4" t="str">
        <f>IF(A517="","",--(COUNTIFS($A$2:A517,A517,$F$2:F517,F517)=1))</f>
        <v/>
      </c>
    </row>
    <row r="518" spans="1:16">
      <c r="A518" s="5"/>
      <c r="O518" s="4" t="str">
        <f>IF(A518="","",--(COUNTIF($A$2:A518,A518)=1))</f>
        <v/>
      </c>
      <c r="P518" s="4" t="str">
        <f>IF(A518="","",--(COUNTIFS($A$2:A518,A518,$F$2:F518,F518)=1))</f>
        <v/>
      </c>
    </row>
    <row r="519" spans="1:16">
      <c r="A519" s="5"/>
      <c r="O519" s="4" t="str">
        <f>IF(A519="","",--(COUNTIF($A$2:A519,A519)=1))</f>
        <v/>
      </c>
      <c r="P519" s="4" t="str">
        <f>IF(A519="","",--(COUNTIFS($A$2:A519,A519,$F$2:F519,F519)=1))</f>
        <v/>
      </c>
    </row>
    <row r="520" spans="1:16">
      <c r="A520" s="5"/>
      <c r="O520" s="4" t="str">
        <f>IF(A520="","",--(COUNTIF($A$2:A520,A520)=1))</f>
        <v/>
      </c>
      <c r="P520" s="4" t="str">
        <f>IF(A520="","",--(COUNTIFS($A$2:A520,A520,$F$2:F520,F520)=1))</f>
        <v/>
      </c>
    </row>
    <row r="521" spans="1:16">
      <c r="A521" s="5"/>
      <c r="O521" s="4" t="str">
        <f>IF(A521="","",--(COUNTIF($A$2:A521,A521)=1))</f>
        <v/>
      </c>
      <c r="P521" s="4" t="str">
        <f>IF(A521="","",--(COUNTIFS($A$2:A521,A521,$F$2:F521,F521)=1))</f>
        <v/>
      </c>
    </row>
    <row r="522" spans="1:16">
      <c r="A522" s="5"/>
      <c r="O522" s="4" t="str">
        <f>IF(A522="","",--(COUNTIF($A$2:A522,A522)=1))</f>
        <v/>
      </c>
      <c r="P522" s="4" t="str">
        <f>IF(A522="","",--(COUNTIFS($A$2:A522,A522,$F$2:F522,F522)=1))</f>
        <v/>
      </c>
    </row>
    <row r="523" spans="1:16">
      <c r="A523" s="5"/>
      <c r="O523" s="4" t="str">
        <f>IF(A523="","",--(COUNTIF($A$2:A523,A523)=1))</f>
        <v/>
      </c>
      <c r="P523" s="4" t="str">
        <f>IF(A523="","",--(COUNTIFS($A$2:A523,A523,$F$2:F523,F523)=1))</f>
        <v/>
      </c>
    </row>
    <row r="524" spans="1:16">
      <c r="A524" s="5"/>
      <c r="O524" s="4" t="str">
        <f>IF(A524="","",--(COUNTIF($A$2:A524,A524)=1))</f>
        <v/>
      </c>
      <c r="P524" s="4" t="str">
        <f>IF(A524="","",--(COUNTIFS($A$2:A524,A524,$F$2:F524,F524)=1))</f>
        <v/>
      </c>
    </row>
    <row r="525" spans="1:16">
      <c r="A525" s="5"/>
      <c r="O525" s="4" t="str">
        <f>IF(A525="","",--(COUNTIF($A$2:A525,A525)=1))</f>
        <v/>
      </c>
      <c r="P525" s="4" t="str">
        <f>IF(A525="","",--(COUNTIFS($A$2:A525,A525,$F$2:F525,F525)=1))</f>
        <v/>
      </c>
    </row>
    <row r="526" spans="1:16">
      <c r="A526" s="5"/>
      <c r="O526" s="4" t="str">
        <f>IF(A526="","",--(COUNTIF($A$2:A526,A526)=1))</f>
        <v/>
      </c>
      <c r="P526" s="4" t="str">
        <f>IF(A526="","",--(COUNTIFS($A$2:A526,A526,$F$2:F526,F526)=1))</f>
        <v/>
      </c>
    </row>
    <row r="527" spans="1:16">
      <c r="A527" s="5"/>
      <c r="O527" s="4" t="str">
        <f>IF(A527="","",--(COUNTIF($A$2:A527,A527)=1))</f>
        <v/>
      </c>
      <c r="P527" s="4" t="str">
        <f>IF(A527="","",--(COUNTIFS($A$2:A527,A527,$F$2:F527,F527)=1))</f>
        <v/>
      </c>
    </row>
    <row r="528" spans="1:16">
      <c r="A528" s="5"/>
      <c r="O528" s="4" t="str">
        <f>IF(A528="","",--(COUNTIF($A$2:A528,A528)=1))</f>
        <v/>
      </c>
      <c r="P528" s="4" t="str">
        <f>IF(A528="","",--(COUNTIFS($A$2:A528,A528,$F$2:F528,F528)=1))</f>
        <v/>
      </c>
    </row>
    <row r="529" spans="1:16">
      <c r="A529" s="5"/>
      <c r="O529" s="4" t="str">
        <f>IF(A529="","",--(COUNTIF($A$2:A529,A529)=1))</f>
        <v/>
      </c>
      <c r="P529" s="4" t="str">
        <f>IF(A529="","",--(COUNTIFS($A$2:A529,A529,$F$2:F529,F529)=1))</f>
        <v/>
      </c>
    </row>
    <row r="530" spans="1:16">
      <c r="A530" s="5"/>
      <c r="O530" s="4" t="str">
        <f>IF(A530="","",--(COUNTIF($A$2:A530,A530)=1))</f>
        <v/>
      </c>
      <c r="P530" s="4" t="str">
        <f>IF(A530="","",--(COUNTIFS($A$2:A530,A530,$F$2:F530,F530)=1))</f>
        <v/>
      </c>
    </row>
    <row r="531" spans="1:16">
      <c r="A531" s="5"/>
      <c r="O531" s="4" t="str">
        <f>IF(A531="","",--(COUNTIF($A$2:A531,A531)=1))</f>
        <v/>
      </c>
      <c r="P531" s="4" t="str">
        <f>IF(A531="","",--(COUNTIFS($A$2:A531,A531,$F$2:F531,F531)=1))</f>
        <v/>
      </c>
    </row>
    <row r="532" spans="1:16">
      <c r="A532" s="5"/>
      <c r="O532" s="4" t="str">
        <f>IF(A532="","",--(COUNTIF($A$2:A532,A532)=1))</f>
        <v/>
      </c>
      <c r="P532" s="4" t="str">
        <f>IF(A532="","",--(COUNTIFS($A$2:A532,A532,$F$2:F532,F532)=1))</f>
        <v/>
      </c>
    </row>
    <row r="533" spans="1:16">
      <c r="A533" s="5"/>
      <c r="O533" s="4" t="str">
        <f>IF(A533="","",--(COUNTIF($A$2:A533,A533)=1))</f>
        <v/>
      </c>
      <c r="P533" s="4" t="str">
        <f>IF(A533="","",--(COUNTIFS($A$2:A533,A533,$F$2:F533,F533)=1))</f>
        <v/>
      </c>
    </row>
    <row r="534" spans="1:16">
      <c r="A534" s="5"/>
      <c r="O534" s="4" t="str">
        <f>IF(A534="","",--(COUNTIF($A$2:A534,A534)=1))</f>
        <v/>
      </c>
      <c r="P534" s="4" t="str">
        <f>IF(A534="","",--(COUNTIFS($A$2:A534,A534,$F$2:F534,F534)=1))</f>
        <v/>
      </c>
    </row>
    <row r="535" spans="1:16">
      <c r="A535" s="5"/>
      <c r="O535" s="4" t="str">
        <f>IF(A535="","",--(COUNTIF($A$2:A535,A535)=1))</f>
        <v/>
      </c>
      <c r="P535" s="4" t="str">
        <f>IF(A535="","",--(COUNTIFS($A$2:A535,A535,$F$2:F535,F535)=1))</f>
        <v/>
      </c>
    </row>
    <row r="536" spans="1:16">
      <c r="A536" s="5"/>
      <c r="O536" s="4" t="str">
        <f>IF(A536="","",--(COUNTIF($A$2:A536,A536)=1))</f>
        <v/>
      </c>
      <c r="P536" s="4" t="str">
        <f>IF(A536="","",--(COUNTIFS($A$2:A536,A536,$F$2:F536,F536)=1))</f>
        <v/>
      </c>
    </row>
    <row r="537" spans="1:16">
      <c r="A537" s="5"/>
      <c r="O537" s="4" t="str">
        <f>IF(A537="","",--(COUNTIF($A$2:A537,A537)=1))</f>
        <v/>
      </c>
      <c r="P537" s="4" t="str">
        <f>IF(A537="","",--(COUNTIFS($A$2:A537,A537,$F$2:F537,F537)=1))</f>
        <v/>
      </c>
    </row>
    <row r="538" spans="1:16">
      <c r="A538" s="5"/>
      <c r="O538" s="4" t="str">
        <f>IF(A538="","",--(COUNTIF($A$2:A538,A538)=1))</f>
        <v/>
      </c>
      <c r="P538" s="4" t="str">
        <f>IF(A538="","",--(COUNTIFS($A$2:A538,A538,$F$2:F538,F538)=1))</f>
        <v/>
      </c>
    </row>
    <row r="539" spans="1:16">
      <c r="A539" s="5"/>
      <c r="O539" s="4" t="str">
        <f>IF(A539="","",--(COUNTIF($A$2:A539,A539)=1))</f>
        <v/>
      </c>
      <c r="P539" s="4" t="str">
        <f>IF(A539="","",--(COUNTIFS($A$2:A539,A539,$F$2:F539,F539)=1))</f>
        <v/>
      </c>
    </row>
    <row r="540" spans="1:16">
      <c r="A540" s="5"/>
      <c r="O540" s="4" t="str">
        <f>IF(A540="","",--(COUNTIF($A$2:A540,A540)=1))</f>
        <v/>
      </c>
      <c r="P540" s="4" t="str">
        <f>IF(A540="","",--(COUNTIFS($A$2:A540,A540,$F$2:F540,F540)=1))</f>
        <v/>
      </c>
    </row>
    <row r="541" spans="1:16">
      <c r="A541" s="5"/>
      <c r="O541" s="4" t="str">
        <f>IF(A541="","",--(COUNTIF($A$2:A541,A541)=1))</f>
        <v/>
      </c>
      <c r="P541" s="4" t="str">
        <f>IF(A541="","",--(COUNTIFS($A$2:A541,A541,$F$2:F541,F541)=1))</f>
        <v/>
      </c>
    </row>
    <row r="542" spans="1:16">
      <c r="A542" s="5"/>
      <c r="O542" s="4" t="str">
        <f>IF(A542="","",--(COUNTIF($A$2:A542,A542)=1))</f>
        <v/>
      </c>
      <c r="P542" s="4" t="str">
        <f>IF(A542="","",--(COUNTIFS($A$2:A542,A542,$F$2:F542,F542)=1))</f>
        <v/>
      </c>
    </row>
    <row r="543" spans="1:16">
      <c r="A543" s="5"/>
      <c r="O543" s="4" t="str">
        <f>IF(A543="","",--(COUNTIF($A$2:A543,A543)=1))</f>
        <v/>
      </c>
      <c r="P543" s="4" t="str">
        <f>IF(A543="","",--(COUNTIFS($A$2:A543,A543,$F$2:F543,F543)=1))</f>
        <v/>
      </c>
    </row>
    <row r="544" spans="1:16">
      <c r="A544" s="5"/>
      <c r="O544" s="4" t="str">
        <f>IF(A544="","",--(COUNTIF($A$2:A544,A544)=1))</f>
        <v/>
      </c>
      <c r="P544" s="4" t="str">
        <f>IF(A544="","",--(COUNTIFS($A$2:A544,A544,$F$2:F544,F544)=1))</f>
        <v/>
      </c>
    </row>
    <row r="545" spans="1:16">
      <c r="A545" s="5"/>
      <c r="O545" s="4" t="str">
        <f>IF(A545="","",--(COUNTIF($A$2:A545,A545)=1))</f>
        <v/>
      </c>
      <c r="P545" s="4" t="str">
        <f>IF(A545="","",--(COUNTIFS($A$2:A545,A545,$F$2:F545,F545)=1))</f>
        <v/>
      </c>
    </row>
    <row r="546" spans="1:16">
      <c r="A546" s="5"/>
      <c r="O546" s="4" t="str">
        <f>IF(A546="","",--(COUNTIF($A$2:A546,A546)=1))</f>
        <v/>
      </c>
      <c r="P546" s="4" t="str">
        <f>IF(A546="","",--(COUNTIFS($A$2:A546,A546,$F$2:F546,F546)=1))</f>
        <v/>
      </c>
    </row>
    <row r="547" spans="1:16">
      <c r="A547" s="5"/>
      <c r="O547" s="4" t="str">
        <f>IF(A547="","",--(COUNTIF($A$2:A547,A547)=1))</f>
        <v/>
      </c>
      <c r="P547" s="4" t="str">
        <f>IF(A547="","",--(COUNTIFS($A$2:A547,A547,$F$2:F547,F547)=1))</f>
        <v/>
      </c>
    </row>
    <row r="548" spans="1:16">
      <c r="A548" s="5"/>
      <c r="O548" s="4" t="str">
        <f>IF(A548="","",--(COUNTIF($A$2:A548,A548)=1))</f>
        <v/>
      </c>
      <c r="P548" s="4" t="str">
        <f>IF(A548="","",--(COUNTIFS($A$2:A548,A548,$F$2:F548,F548)=1))</f>
        <v/>
      </c>
    </row>
    <row r="549" spans="1:16">
      <c r="A549" s="5"/>
      <c r="O549" s="4" t="str">
        <f>IF(A549="","",--(COUNTIF($A$2:A549,A549)=1))</f>
        <v/>
      </c>
      <c r="P549" s="4" t="str">
        <f>IF(A549="","",--(COUNTIFS($A$2:A549,A549,$F$2:F549,F549)=1))</f>
        <v/>
      </c>
    </row>
    <row r="550" spans="1:16">
      <c r="A550" s="5"/>
      <c r="O550" s="4" t="str">
        <f>IF(A550="","",--(COUNTIF($A$2:A550,A550)=1))</f>
        <v/>
      </c>
      <c r="P550" s="4" t="str">
        <f>IF(A550="","",--(COUNTIFS($A$2:A550,A550,$F$2:F550,F550)=1))</f>
        <v/>
      </c>
    </row>
    <row r="551" spans="1:16">
      <c r="A551" s="5"/>
      <c r="O551" s="4" t="str">
        <f>IF(A551="","",--(COUNTIF($A$2:A551,A551)=1))</f>
        <v/>
      </c>
      <c r="P551" s="4" t="str">
        <f>IF(A551="","",--(COUNTIFS($A$2:A551,A551,$F$2:F551,F551)=1))</f>
        <v/>
      </c>
    </row>
    <row r="552" spans="1:16">
      <c r="A552" s="5"/>
      <c r="O552" s="4" t="str">
        <f>IF(A552="","",--(COUNTIF($A$2:A552,A552)=1))</f>
        <v/>
      </c>
      <c r="P552" s="4" t="str">
        <f>IF(A552="","",--(COUNTIFS($A$2:A552,A552,$F$2:F552,F552)=1))</f>
        <v/>
      </c>
    </row>
    <row r="553" spans="1:16">
      <c r="A553" s="5"/>
      <c r="O553" s="4" t="str">
        <f>IF(A553="","",--(COUNTIF($A$2:A553,A553)=1))</f>
        <v/>
      </c>
      <c r="P553" s="4" t="str">
        <f>IF(A553="","",--(COUNTIFS($A$2:A553,A553,$F$2:F553,F553)=1))</f>
        <v/>
      </c>
    </row>
    <row r="554" spans="1:16">
      <c r="A554" s="5"/>
      <c r="O554" s="4" t="str">
        <f>IF(A554="","",--(COUNTIF($A$2:A554,A554)=1))</f>
        <v/>
      </c>
      <c r="P554" s="4" t="str">
        <f>IF(A554="","",--(COUNTIFS($A$2:A554,A554,$F$2:F554,F554)=1))</f>
        <v/>
      </c>
    </row>
    <row r="555" spans="1:16">
      <c r="A555" s="5"/>
      <c r="O555" s="4" t="str">
        <f>IF(A555="","",--(COUNTIF($A$2:A555,A555)=1))</f>
        <v/>
      </c>
      <c r="P555" s="4" t="str">
        <f>IF(A555="","",--(COUNTIFS($A$2:A555,A555,$F$2:F555,F555)=1))</f>
        <v/>
      </c>
    </row>
    <row r="556" spans="1:16">
      <c r="A556" s="5"/>
      <c r="O556" s="4" t="str">
        <f>IF(A556="","",--(COUNTIF($A$2:A556,A556)=1))</f>
        <v/>
      </c>
      <c r="P556" s="4" t="str">
        <f>IF(A556="","",--(COUNTIFS($A$2:A556,A556,$F$2:F556,F556)=1))</f>
        <v/>
      </c>
    </row>
    <row r="557" spans="1:16">
      <c r="A557" s="5"/>
      <c r="O557" s="4" t="str">
        <f>IF(A557="","",--(COUNTIF($A$2:A557,A557)=1))</f>
        <v/>
      </c>
      <c r="P557" s="4" t="str">
        <f>IF(A557="","",--(COUNTIFS($A$2:A557,A557,$F$2:F557,F557)=1))</f>
        <v/>
      </c>
    </row>
    <row r="558" spans="1:16">
      <c r="A558" s="5"/>
      <c r="O558" s="4" t="str">
        <f>IF(A558="","",--(COUNTIF($A$2:A558,A558)=1))</f>
        <v/>
      </c>
      <c r="P558" s="4" t="str">
        <f>IF(A558="","",--(COUNTIFS($A$2:A558,A558,$F$2:F558,F558)=1))</f>
        <v/>
      </c>
    </row>
    <row r="559" spans="1:16">
      <c r="A559" s="5"/>
      <c r="O559" s="4" t="str">
        <f>IF(A559="","",--(COUNTIF($A$2:A559,A559)=1))</f>
        <v/>
      </c>
      <c r="P559" s="4" t="str">
        <f>IF(A559="","",--(COUNTIFS($A$2:A559,A559,$F$2:F559,F559)=1))</f>
        <v/>
      </c>
    </row>
    <row r="560" spans="1:16">
      <c r="A560" s="5"/>
      <c r="O560" s="4" t="str">
        <f>IF(A560="","",--(COUNTIF($A$2:A560,A560)=1))</f>
        <v/>
      </c>
      <c r="P560" s="4" t="str">
        <f>IF(A560="","",--(COUNTIFS($A$2:A560,A560,$F$2:F560,F560)=1))</f>
        <v/>
      </c>
    </row>
    <row r="561" spans="1:16">
      <c r="A561" s="5"/>
      <c r="O561" s="4" t="str">
        <f>IF(A561="","",--(COUNTIF($A$2:A561,A561)=1))</f>
        <v/>
      </c>
      <c r="P561" s="4" t="str">
        <f>IF(A561="","",--(COUNTIFS($A$2:A561,A561,$F$2:F561,F561)=1))</f>
        <v/>
      </c>
    </row>
    <row r="562" spans="1:16">
      <c r="A562" s="5"/>
      <c r="O562" s="4" t="str">
        <f>IF(A562="","",--(COUNTIF($A$2:A562,A562)=1))</f>
        <v/>
      </c>
      <c r="P562" s="4" t="str">
        <f>IF(A562="","",--(COUNTIFS($A$2:A562,A562,$F$2:F562,F562)=1))</f>
        <v/>
      </c>
    </row>
    <row r="563" spans="1:16">
      <c r="A563" s="5"/>
      <c r="O563" s="4" t="str">
        <f>IF(A563="","",--(COUNTIF($A$2:A563,A563)=1))</f>
        <v/>
      </c>
      <c r="P563" s="4" t="str">
        <f>IF(A563="","",--(COUNTIFS($A$2:A563,A563,$F$2:F563,F563)=1))</f>
        <v/>
      </c>
    </row>
    <row r="564" spans="1:16">
      <c r="A564" s="5"/>
      <c r="O564" s="4" t="str">
        <f>IF(A564="","",--(COUNTIF($A$2:A564,A564)=1))</f>
        <v/>
      </c>
      <c r="P564" s="4" t="str">
        <f>IF(A564="","",--(COUNTIFS($A$2:A564,A564,$F$2:F564,F564)=1))</f>
        <v/>
      </c>
    </row>
    <row r="565" spans="1:16">
      <c r="A565" s="5"/>
      <c r="O565" s="4" t="str">
        <f>IF(A565="","",--(COUNTIF($A$2:A565,A565)=1))</f>
        <v/>
      </c>
      <c r="P565" s="4" t="str">
        <f>IF(A565="","",--(COUNTIFS($A$2:A565,A565,$F$2:F565,F565)=1))</f>
        <v/>
      </c>
    </row>
    <row r="566" spans="1:16">
      <c r="A566" s="5"/>
      <c r="O566" s="4" t="str">
        <f>IF(A566="","",--(COUNTIF($A$2:A566,A566)=1))</f>
        <v/>
      </c>
      <c r="P566" s="4" t="str">
        <f>IF(A566="","",--(COUNTIFS($A$2:A566,A566,$F$2:F566,F566)=1))</f>
        <v/>
      </c>
    </row>
    <row r="567" spans="1:16">
      <c r="A567" s="5"/>
      <c r="O567" s="4" t="str">
        <f>IF(A567="","",--(COUNTIF($A$2:A567,A567)=1))</f>
        <v/>
      </c>
      <c r="P567" s="4" t="str">
        <f>IF(A567="","",--(COUNTIFS($A$2:A567,A567,$F$2:F567,F567)=1))</f>
        <v/>
      </c>
    </row>
    <row r="568" spans="1:16">
      <c r="A568" s="5"/>
      <c r="O568" s="4" t="str">
        <f>IF(A568="","",--(COUNTIF($A$2:A568,A568)=1))</f>
        <v/>
      </c>
      <c r="P568" s="4" t="str">
        <f>IF(A568="","",--(COUNTIFS($A$2:A568,A568,$F$2:F568,F568)=1))</f>
        <v/>
      </c>
    </row>
    <row r="569" spans="1:16">
      <c r="A569" s="5"/>
      <c r="O569" s="4" t="str">
        <f>IF(A569="","",--(COUNTIF($A$2:A569,A569)=1))</f>
        <v/>
      </c>
      <c r="P569" s="4" t="str">
        <f>IF(A569="","",--(COUNTIFS($A$2:A569,A569,$F$2:F569,F569)=1))</f>
        <v/>
      </c>
    </row>
    <row r="570" spans="1:16">
      <c r="A570" s="5"/>
      <c r="O570" s="4" t="str">
        <f>IF(A570="","",--(COUNTIF($A$2:A570,A570)=1))</f>
        <v/>
      </c>
      <c r="P570" s="4" t="str">
        <f>IF(A570="","",--(COUNTIFS($A$2:A570,A570,$F$2:F570,F570)=1))</f>
        <v/>
      </c>
    </row>
    <row r="571" spans="1:16">
      <c r="A571" s="5"/>
      <c r="O571" s="4" t="str">
        <f>IF(A571="","",--(COUNTIF($A$2:A571,A571)=1))</f>
        <v/>
      </c>
      <c r="P571" s="4" t="str">
        <f>IF(A571="","",--(COUNTIFS($A$2:A571,A571,$F$2:F571,F571)=1))</f>
        <v/>
      </c>
    </row>
    <row r="572" spans="1:16">
      <c r="A572" s="5"/>
      <c r="O572" s="4" t="str">
        <f>IF(A572="","",--(COUNTIF($A$2:A572,A572)=1))</f>
        <v/>
      </c>
      <c r="P572" s="4" t="str">
        <f>IF(A572="","",--(COUNTIFS($A$2:A572,A572,$F$2:F572,F572)=1))</f>
        <v/>
      </c>
    </row>
    <row r="573" spans="1:16">
      <c r="A573" s="5"/>
      <c r="O573" s="4" t="str">
        <f>IF(A573="","",--(COUNTIF($A$2:A573,A573)=1))</f>
        <v/>
      </c>
      <c r="P573" s="4" t="str">
        <f>IF(A573="","",--(COUNTIFS($A$2:A573,A573,$F$2:F573,F573)=1))</f>
        <v/>
      </c>
    </row>
    <row r="574" spans="1:16">
      <c r="A574" s="5"/>
      <c r="O574" s="4" t="str">
        <f>IF(A574="","",--(COUNTIF($A$2:A574,A574)=1))</f>
        <v/>
      </c>
      <c r="P574" s="4" t="str">
        <f>IF(A574="","",--(COUNTIFS($A$2:A574,A574,$F$2:F574,F574)=1))</f>
        <v/>
      </c>
    </row>
    <row r="575" spans="1:16">
      <c r="A575" s="5"/>
      <c r="O575" s="4" t="str">
        <f>IF(A575="","",--(COUNTIF($A$2:A575,A575)=1))</f>
        <v/>
      </c>
      <c r="P575" s="4" t="str">
        <f>IF(A575="","",--(COUNTIFS($A$2:A575,A575,$F$2:F575,F575)=1))</f>
        <v/>
      </c>
    </row>
    <row r="576" spans="1:16">
      <c r="A576" s="5"/>
      <c r="O576" s="4" t="str">
        <f>IF(A576="","",--(COUNTIF($A$2:A576,A576)=1))</f>
        <v/>
      </c>
      <c r="P576" s="4" t="str">
        <f>IF(A576="","",--(COUNTIFS($A$2:A576,A576,$F$2:F576,F576)=1))</f>
        <v/>
      </c>
    </row>
    <row r="577" spans="1:16">
      <c r="A577" s="5"/>
      <c r="O577" s="4" t="str">
        <f>IF(A577="","",--(COUNTIF($A$2:A577,A577)=1))</f>
        <v/>
      </c>
      <c r="P577" s="4" t="str">
        <f>IF(A577="","",--(COUNTIFS($A$2:A577,A577,$F$2:F577,F577)=1))</f>
        <v/>
      </c>
    </row>
    <row r="578" spans="1:16">
      <c r="A578" s="5"/>
      <c r="O578" s="4" t="str">
        <f>IF(A578="","",--(COUNTIF($A$2:A578,A578)=1))</f>
        <v/>
      </c>
      <c r="P578" s="4" t="str">
        <f>IF(A578="","",--(COUNTIFS($A$2:A578,A578,$F$2:F578,F578)=1))</f>
        <v/>
      </c>
    </row>
    <row r="579" spans="1:16">
      <c r="A579" s="5"/>
      <c r="O579" s="4" t="str">
        <f>IF(A579="","",--(COUNTIF($A$2:A579,A579)=1))</f>
        <v/>
      </c>
      <c r="P579" s="4" t="str">
        <f>IF(A579="","",--(COUNTIFS($A$2:A579,A579,$F$2:F579,F579)=1))</f>
        <v/>
      </c>
    </row>
    <row r="580" spans="1:16">
      <c r="A580" s="5"/>
      <c r="O580" s="4" t="str">
        <f>IF(A580="","",--(COUNTIF($A$2:A580,A580)=1))</f>
        <v/>
      </c>
      <c r="P580" s="4" t="str">
        <f>IF(A580="","",--(COUNTIFS($A$2:A580,A580,$F$2:F580,F580)=1))</f>
        <v/>
      </c>
    </row>
    <row r="581" spans="1:16">
      <c r="A581" s="5"/>
      <c r="O581" s="4" t="str">
        <f>IF(A581="","",--(COUNTIF($A$2:A581,A581)=1))</f>
        <v/>
      </c>
      <c r="P581" s="4" t="str">
        <f>IF(A581="","",--(COUNTIFS($A$2:A581,A581,$F$2:F581,F581)=1))</f>
        <v/>
      </c>
    </row>
    <row r="582" spans="1:16">
      <c r="A582" s="5"/>
      <c r="O582" s="4" t="str">
        <f>IF(A582="","",--(COUNTIF($A$2:A582,A582)=1))</f>
        <v/>
      </c>
      <c r="P582" s="4" t="str">
        <f>IF(A582="","",--(COUNTIFS($A$2:A582,A582,$F$2:F582,F582)=1))</f>
        <v/>
      </c>
    </row>
    <row r="583" spans="1:16">
      <c r="A583" s="5"/>
      <c r="O583" s="4" t="str">
        <f>IF(A583="","",--(COUNTIF($A$2:A583,A583)=1))</f>
        <v/>
      </c>
      <c r="P583" s="4" t="str">
        <f>IF(A583="","",--(COUNTIFS($A$2:A583,A583,$F$2:F583,F583)=1))</f>
        <v/>
      </c>
    </row>
    <row r="584" spans="1:16">
      <c r="A584" s="5"/>
      <c r="O584" s="4" t="str">
        <f>IF(A584="","",--(COUNTIF($A$2:A584,A584)=1))</f>
        <v/>
      </c>
      <c r="P584" s="4" t="str">
        <f>IF(A584="","",--(COUNTIFS($A$2:A584,A584,$F$2:F584,F584)=1))</f>
        <v/>
      </c>
    </row>
    <row r="585" spans="1:16">
      <c r="A585" s="5"/>
      <c r="O585" s="4" t="str">
        <f>IF(A585="","",--(COUNTIF($A$2:A585,A585)=1))</f>
        <v/>
      </c>
      <c r="P585" s="4" t="str">
        <f>IF(A585="","",--(COUNTIFS($A$2:A585,A585,$F$2:F585,F585)=1))</f>
        <v/>
      </c>
    </row>
    <row r="586" spans="1:16">
      <c r="A586" s="5"/>
      <c r="O586" s="4" t="str">
        <f>IF(A586="","",--(COUNTIF($A$2:A586,A586)=1))</f>
        <v/>
      </c>
      <c r="P586" s="4" t="str">
        <f>IF(A586="","",--(COUNTIFS($A$2:A586,A586,$F$2:F586,F586)=1))</f>
        <v/>
      </c>
    </row>
    <row r="587" spans="1:16">
      <c r="A587" s="5"/>
      <c r="O587" s="4" t="str">
        <f>IF(A587="","",--(COUNTIF($A$2:A587,A587)=1))</f>
        <v/>
      </c>
      <c r="P587" s="4" t="str">
        <f>IF(A587="","",--(COUNTIFS($A$2:A587,A587,$F$2:F587,F587)=1))</f>
        <v/>
      </c>
    </row>
    <row r="588" spans="1:16">
      <c r="A588" s="5"/>
      <c r="O588" s="4" t="str">
        <f>IF(A588="","",--(COUNTIF($A$2:A588,A588)=1))</f>
        <v/>
      </c>
      <c r="P588" s="4" t="str">
        <f>IF(A588="","",--(COUNTIFS($A$2:A588,A588,$F$2:F588,F588)=1))</f>
        <v/>
      </c>
    </row>
    <row r="589" spans="1:16">
      <c r="A589" s="5"/>
      <c r="O589" s="4" t="str">
        <f>IF(A589="","",--(COUNTIF($A$2:A589,A589)=1))</f>
        <v/>
      </c>
      <c r="P589" s="4" t="str">
        <f>IF(A589="","",--(COUNTIFS($A$2:A589,A589,$F$2:F589,F589)=1))</f>
        <v/>
      </c>
    </row>
    <row r="590" spans="1:16">
      <c r="A590" s="5"/>
      <c r="O590" s="4" t="str">
        <f>IF(A590="","",--(COUNTIF($A$2:A590,A590)=1))</f>
        <v/>
      </c>
      <c r="P590" s="4" t="str">
        <f>IF(A590="","",--(COUNTIFS($A$2:A590,A590,$F$2:F590,F590)=1))</f>
        <v/>
      </c>
    </row>
    <row r="591" spans="1:16">
      <c r="A591" s="5"/>
      <c r="O591" s="4" t="str">
        <f>IF(A591="","",--(COUNTIF($A$2:A591,A591)=1))</f>
        <v/>
      </c>
      <c r="P591" s="4" t="str">
        <f>IF(A591="","",--(COUNTIFS($A$2:A591,A591,$F$2:F591,F591)=1))</f>
        <v/>
      </c>
    </row>
    <row r="592" spans="1:16">
      <c r="A592" s="5"/>
      <c r="O592" s="4" t="str">
        <f>IF(A592="","",--(COUNTIF($A$2:A592,A592)=1))</f>
        <v/>
      </c>
      <c r="P592" s="4" t="str">
        <f>IF(A592="","",--(COUNTIFS($A$2:A592,A592,$F$2:F592,F592)=1))</f>
        <v/>
      </c>
    </row>
    <row r="593" spans="1:16">
      <c r="A593" s="5"/>
      <c r="O593" s="4" t="str">
        <f>IF(A593="","",--(COUNTIF($A$2:A593,A593)=1))</f>
        <v/>
      </c>
      <c r="P593" s="4" t="str">
        <f>IF(A593="","",--(COUNTIFS($A$2:A593,A593,$F$2:F593,F593)=1))</f>
        <v/>
      </c>
    </row>
    <row r="594" spans="1:16">
      <c r="A594" s="5"/>
      <c r="O594" s="4" t="str">
        <f>IF(A594="","",--(COUNTIF($A$2:A594,A594)=1))</f>
        <v/>
      </c>
      <c r="P594" s="4" t="str">
        <f>IF(A594="","",--(COUNTIFS($A$2:A594,A594,$F$2:F594,F594)=1))</f>
        <v/>
      </c>
    </row>
    <row r="595" spans="1:16">
      <c r="A595" s="5"/>
      <c r="O595" s="4" t="str">
        <f>IF(A595="","",--(COUNTIF($A$2:A595,A595)=1))</f>
        <v/>
      </c>
      <c r="P595" s="4" t="str">
        <f>IF(A595="","",--(COUNTIFS($A$2:A595,A595,$F$2:F595,F595)=1))</f>
        <v/>
      </c>
    </row>
    <row r="596" spans="1:16">
      <c r="A596" s="5"/>
      <c r="O596" s="4" t="str">
        <f>IF(A596="","",--(COUNTIF($A$2:A596,A596)=1))</f>
        <v/>
      </c>
      <c r="P596" s="4" t="str">
        <f>IF(A596="","",--(COUNTIFS($A$2:A596,A596,$F$2:F596,F596)=1))</f>
        <v/>
      </c>
    </row>
    <row r="597" spans="1:16">
      <c r="A597" s="5"/>
      <c r="O597" s="4" t="str">
        <f>IF(A597="","",--(COUNTIF($A$2:A597,A597)=1))</f>
        <v/>
      </c>
      <c r="P597" s="4" t="str">
        <f>IF(A597="","",--(COUNTIFS($A$2:A597,A597,$F$2:F597,F597)=1))</f>
        <v/>
      </c>
    </row>
    <row r="598" spans="1:16">
      <c r="A598" s="5"/>
      <c r="O598" s="4" t="str">
        <f>IF(A598="","",--(COUNTIF($A$2:A598,A598)=1))</f>
        <v/>
      </c>
      <c r="P598" s="4" t="str">
        <f>IF(A598="","",--(COUNTIFS($A$2:A598,A598,$F$2:F598,F598)=1))</f>
        <v/>
      </c>
    </row>
    <row r="599" spans="1:16">
      <c r="A599" s="5"/>
      <c r="O599" s="4" t="str">
        <f>IF(A599="","",--(COUNTIF($A$2:A599,A599)=1))</f>
        <v/>
      </c>
      <c r="P599" s="4" t="str">
        <f>IF(A599="","",--(COUNTIFS($A$2:A599,A599,$F$2:F599,F599)=1))</f>
        <v/>
      </c>
    </row>
    <row r="600" spans="1:16">
      <c r="A600" s="5"/>
      <c r="O600" s="4" t="str">
        <f>IF(A600="","",--(COUNTIF($A$2:A600,A600)=1))</f>
        <v/>
      </c>
      <c r="P600" s="4" t="str">
        <f>IF(A600="","",--(COUNTIFS($A$2:A600,A600,$F$2:F600,F600)=1))</f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400-000000000000}">
          <x14:formula1>
            <xm:f>LISTAS!$B$3:$B$11</xm:f>
          </x14:formula1>
          <xm:sqref>F2:F600</xm:sqref>
        </x14:dataValidation>
        <x14:dataValidation type="list" xr:uid="{00000000-0002-0000-0400-000001000000}">
          <x14:formula1>
            <xm:f>LISTAS!$D$2:$D$3</xm:f>
          </x14:formula1>
          <xm:sqref>I2:I600</xm:sqref>
        </x14:dataValidation>
        <x14:dataValidation type="list" xr:uid="{00000000-0002-0000-0400-000002000000}">
          <x14:formula1>
            <xm:f>LISTAS!$C$2:$C$5</xm:f>
          </x14:formula1>
          <xm:sqref>K2:K600</xm:sqref>
        </x14:dataValidation>
        <x14:dataValidation type="list" xr:uid="{00000000-0002-0000-0400-000003000000}">
          <x14:formula1>
            <xm:f>LISTAS!$E$2:$E$3</xm:f>
          </x14:formula1>
          <xm:sqref>M2:M600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9"/>
  <sheetViews>
    <sheetView workbookViewId="0">
      <selection activeCell="C21" sqref="C21"/>
    </sheetView>
  </sheetViews>
  <sheetFormatPr defaultRowHeight="14.25"/>
  <cols>
    <col min="1" max="1" width="25" customWidth="1"/>
    <col min="2" max="2" width="13" customWidth="1"/>
    <col min="3" max="3" width="75" customWidth="1"/>
    <col min="4" max="4" width="16" customWidth="1"/>
    <col min="5" max="6" width="14" customWidth="1"/>
    <col min="7" max="7" width="28" customWidth="1"/>
  </cols>
  <sheetData>
    <row r="1" spans="1:7" ht="15">
      <c r="A1" s="1" t="s">
        <v>22</v>
      </c>
      <c r="B1" s="1" t="s">
        <v>44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51</v>
      </c>
    </row>
    <row r="2" spans="1:7">
      <c r="A2" t="s">
        <v>25</v>
      </c>
      <c r="B2" t="s">
        <v>56</v>
      </c>
      <c r="C2" t="s">
        <v>87</v>
      </c>
      <c r="D2" t="s">
        <v>88</v>
      </c>
    </row>
    <row r="3" spans="1:7">
      <c r="A3" t="s">
        <v>25</v>
      </c>
      <c r="B3" t="s">
        <v>61</v>
      </c>
      <c r="C3" t="s">
        <v>89</v>
      </c>
      <c r="D3" t="s">
        <v>88</v>
      </c>
    </row>
    <row r="4" spans="1:7">
      <c r="A4" t="s">
        <v>25</v>
      </c>
      <c r="B4" t="s">
        <v>65</v>
      </c>
      <c r="C4" t="s">
        <v>90</v>
      </c>
      <c r="D4" t="s">
        <v>88</v>
      </c>
    </row>
    <row r="5" spans="1:7">
      <c r="A5" t="s">
        <v>25</v>
      </c>
      <c r="B5" t="s">
        <v>67</v>
      </c>
      <c r="C5" t="s">
        <v>91</v>
      </c>
      <c r="D5" t="s">
        <v>88</v>
      </c>
    </row>
    <row r="6" spans="1:7">
      <c r="A6" t="s">
        <v>26</v>
      </c>
      <c r="B6" t="s">
        <v>56</v>
      </c>
      <c r="C6" t="s">
        <v>92</v>
      </c>
      <c r="D6" t="s">
        <v>93</v>
      </c>
    </row>
    <row r="7" spans="1:7">
      <c r="A7" t="s">
        <v>26</v>
      </c>
      <c r="B7" t="s">
        <v>61</v>
      </c>
      <c r="C7" t="s">
        <v>94</v>
      </c>
      <c r="D7" t="s">
        <v>93</v>
      </c>
    </row>
    <row r="8" spans="1:7">
      <c r="A8" t="s">
        <v>26</v>
      </c>
      <c r="B8" t="s">
        <v>65</v>
      </c>
      <c r="C8" t="s">
        <v>95</v>
      </c>
      <c r="D8" t="s">
        <v>93</v>
      </c>
    </row>
    <row r="9" spans="1:7">
      <c r="A9" t="s">
        <v>26</v>
      </c>
      <c r="B9" t="s">
        <v>67</v>
      </c>
      <c r="C9" t="s">
        <v>96</v>
      </c>
      <c r="D9" t="s">
        <v>93</v>
      </c>
    </row>
    <row r="10" spans="1:7">
      <c r="A10" t="s">
        <v>26</v>
      </c>
      <c r="B10" t="s">
        <v>71</v>
      </c>
      <c r="C10" t="s">
        <v>97</v>
      </c>
      <c r="D10" t="s">
        <v>93</v>
      </c>
    </row>
    <row r="11" spans="1:7">
      <c r="A11" t="s">
        <v>26</v>
      </c>
      <c r="B11" t="s">
        <v>73</v>
      </c>
      <c r="C11" t="s">
        <v>98</v>
      </c>
      <c r="D11" t="s">
        <v>93</v>
      </c>
    </row>
    <row r="12" spans="1:7">
      <c r="A12" t="s">
        <v>27</v>
      </c>
      <c r="B12" t="s">
        <v>56</v>
      </c>
      <c r="C12" t="s">
        <v>99</v>
      </c>
      <c r="D12" t="s">
        <v>100</v>
      </c>
    </row>
    <row r="13" spans="1:7">
      <c r="A13" t="s">
        <v>27</v>
      </c>
      <c r="B13" t="s">
        <v>61</v>
      </c>
      <c r="C13" t="s">
        <v>101</v>
      </c>
      <c r="D13" t="s">
        <v>100</v>
      </c>
    </row>
    <row r="14" spans="1:7">
      <c r="A14" t="s">
        <v>27</v>
      </c>
      <c r="B14" t="s">
        <v>65</v>
      </c>
      <c r="C14" t="s">
        <v>102</v>
      </c>
      <c r="D14" t="s">
        <v>100</v>
      </c>
    </row>
    <row r="15" spans="1:7">
      <c r="A15" t="s">
        <v>27</v>
      </c>
      <c r="B15" t="s">
        <v>67</v>
      </c>
      <c r="C15" t="s">
        <v>103</v>
      </c>
      <c r="D15" t="s">
        <v>100</v>
      </c>
    </row>
    <row r="16" spans="1:7">
      <c r="A16" t="s">
        <v>27</v>
      </c>
      <c r="B16" t="s">
        <v>71</v>
      </c>
      <c r="C16" t="s">
        <v>104</v>
      </c>
      <c r="D16" t="s">
        <v>100</v>
      </c>
    </row>
    <row r="17" spans="1:4">
      <c r="A17" t="s">
        <v>28</v>
      </c>
      <c r="B17" t="s">
        <v>56</v>
      </c>
      <c r="C17" t="s">
        <v>105</v>
      </c>
      <c r="D17" t="s">
        <v>106</v>
      </c>
    </row>
    <row r="18" spans="1:4">
      <c r="A18" t="s">
        <v>28</v>
      </c>
      <c r="B18" t="s">
        <v>61</v>
      </c>
      <c r="C18" t="s">
        <v>107</v>
      </c>
      <c r="D18" t="s">
        <v>106</v>
      </c>
    </row>
    <row r="19" spans="1:4">
      <c r="A19" t="s">
        <v>28</v>
      </c>
      <c r="B19" t="s">
        <v>65</v>
      </c>
      <c r="C19" t="s">
        <v>108</v>
      </c>
      <c r="D19" t="s">
        <v>106</v>
      </c>
    </row>
    <row r="20" spans="1:4">
      <c r="A20" t="s">
        <v>28</v>
      </c>
      <c r="B20" t="s">
        <v>67</v>
      </c>
      <c r="C20" t="s">
        <v>109</v>
      </c>
      <c r="D20" t="s">
        <v>106</v>
      </c>
    </row>
    <row r="21" spans="1:4">
      <c r="A21" t="s">
        <v>29</v>
      </c>
      <c r="B21" t="s">
        <v>56</v>
      </c>
      <c r="C21" t="s">
        <v>29</v>
      </c>
      <c r="D21" t="s">
        <v>110</v>
      </c>
    </row>
    <row r="22" spans="1:4">
      <c r="A22" t="s">
        <v>29</v>
      </c>
      <c r="B22" t="s">
        <v>61</v>
      </c>
      <c r="C22" t="s">
        <v>111</v>
      </c>
      <c r="D22" t="s">
        <v>110</v>
      </c>
    </row>
    <row r="23" spans="1:4">
      <c r="A23" t="s">
        <v>29</v>
      </c>
      <c r="B23" t="s">
        <v>65</v>
      </c>
      <c r="C23" t="s">
        <v>112</v>
      </c>
      <c r="D23" t="s">
        <v>110</v>
      </c>
    </row>
    <row r="24" spans="1:4">
      <c r="A24" t="s">
        <v>29</v>
      </c>
      <c r="B24" t="s">
        <v>67</v>
      </c>
      <c r="C24" t="s">
        <v>113</v>
      </c>
      <c r="D24" t="s">
        <v>110</v>
      </c>
    </row>
    <row r="25" spans="1:4">
      <c r="A25" t="s">
        <v>29</v>
      </c>
      <c r="B25" t="s">
        <v>71</v>
      </c>
      <c r="C25" t="s">
        <v>114</v>
      </c>
      <c r="D25" t="s">
        <v>110</v>
      </c>
    </row>
    <row r="26" spans="1:4">
      <c r="A26" t="s">
        <v>29</v>
      </c>
      <c r="B26" t="s">
        <v>73</v>
      </c>
      <c r="C26" t="s">
        <v>115</v>
      </c>
      <c r="D26" t="s">
        <v>110</v>
      </c>
    </row>
    <row r="27" spans="1:4">
      <c r="A27" t="s">
        <v>30</v>
      </c>
      <c r="B27" t="s">
        <v>56</v>
      </c>
      <c r="C27" t="s">
        <v>116</v>
      </c>
      <c r="D27" t="s">
        <v>117</v>
      </c>
    </row>
    <row r="28" spans="1:4">
      <c r="A28" t="s">
        <v>30</v>
      </c>
      <c r="B28" t="s">
        <v>61</v>
      </c>
      <c r="C28" t="s">
        <v>118</v>
      </c>
      <c r="D28" t="s">
        <v>117</v>
      </c>
    </row>
    <row r="29" spans="1:4">
      <c r="A29" t="s">
        <v>30</v>
      </c>
      <c r="B29" t="s">
        <v>65</v>
      </c>
      <c r="C29" t="s">
        <v>119</v>
      </c>
      <c r="D29" t="s">
        <v>117</v>
      </c>
    </row>
    <row r="30" spans="1:4">
      <c r="A30" t="s">
        <v>31</v>
      </c>
      <c r="B30" t="s">
        <v>56</v>
      </c>
      <c r="C30" t="s">
        <v>120</v>
      </c>
      <c r="D30" t="s">
        <v>121</v>
      </c>
    </row>
    <row r="31" spans="1:4">
      <c r="A31" t="s">
        <v>31</v>
      </c>
      <c r="B31" t="s">
        <v>61</v>
      </c>
      <c r="C31" t="s">
        <v>122</v>
      </c>
      <c r="D31" t="s">
        <v>121</v>
      </c>
    </row>
    <row r="32" spans="1:4">
      <c r="A32" t="s">
        <v>31</v>
      </c>
      <c r="B32" t="s">
        <v>65</v>
      </c>
      <c r="C32" t="s">
        <v>123</v>
      </c>
      <c r="D32" t="s">
        <v>121</v>
      </c>
    </row>
    <row r="33" spans="1:4">
      <c r="A33" t="s">
        <v>31</v>
      </c>
      <c r="B33" t="s">
        <v>67</v>
      </c>
      <c r="C33" t="s">
        <v>124</v>
      </c>
      <c r="D33" t="s">
        <v>121</v>
      </c>
    </row>
    <row r="34" spans="1:4">
      <c r="A34" t="s">
        <v>32</v>
      </c>
      <c r="B34" t="s">
        <v>56</v>
      </c>
      <c r="C34" t="s">
        <v>125</v>
      </c>
      <c r="D34" t="s">
        <v>126</v>
      </c>
    </row>
    <row r="35" spans="1:4">
      <c r="A35" t="s">
        <v>32</v>
      </c>
      <c r="B35" t="s">
        <v>61</v>
      </c>
      <c r="C35" t="s">
        <v>127</v>
      </c>
      <c r="D35" t="s">
        <v>126</v>
      </c>
    </row>
    <row r="36" spans="1:4">
      <c r="A36" t="s">
        <v>32</v>
      </c>
      <c r="B36" t="s">
        <v>65</v>
      </c>
      <c r="C36" t="s">
        <v>128</v>
      </c>
      <c r="D36" t="s">
        <v>126</v>
      </c>
    </row>
    <row r="37" spans="1:4">
      <c r="A37" t="s">
        <v>33</v>
      </c>
      <c r="B37" t="s">
        <v>56</v>
      </c>
      <c r="C37" t="s">
        <v>129</v>
      </c>
      <c r="D37" t="s">
        <v>130</v>
      </c>
    </row>
    <row r="38" spans="1:4">
      <c r="A38" t="s">
        <v>33</v>
      </c>
      <c r="B38" t="s">
        <v>61</v>
      </c>
      <c r="C38" t="s">
        <v>131</v>
      </c>
      <c r="D38" t="s">
        <v>130</v>
      </c>
    </row>
    <row r="39" spans="1:4">
      <c r="A39" t="s">
        <v>33</v>
      </c>
      <c r="B39" t="s">
        <v>65</v>
      </c>
      <c r="C39" t="s">
        <v>132</v>
      </c>
      <c r="D39" t="s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8"/>
  <sheetViews>
    <sheetView workbookViewId="0">
      <selection activeCell="A2" sqref="A2:A28"/>
    </sheetView>
  </sheetViews>
  <sheetFormatPr defaultRowHeight="14.25"/>
  <cols>
    <col min="1" max="1" width="10.25" bestFit="1" customWidth="1"/>
    <col min="2" max="3" width="19.125" bestFit="1" customWidth="1"/>
    <col min="4" max="4" width="13.375" bestFit="1" customWidth="1"/>
    <col min="5" max="5" width="14.25" bestFit="1" customWidth="1"/>
    <col min="6" max="6" width="8.125" bestFit="1" customWidth="1"/>
    <col min="7" max="7" width="9.875" bestFit="1" customWidth="1"/>
    <col min="8" max="8" width="20.625" bestFit="1" customWidth="1"/>
  </cols>
  <sheetData>
    <row r="1" spans="1:8" ht="15">
      <c r="A1" s="1" t="s">
        <v>133</v>
      </c>
      <c r="B1" s="1" t="s">
        <v>134</v>
      </c>
      <c r="C1" s="1" t="s">
        <v>135</v>
      </c>
      <c r="D1" s="1" t="s">
        <v>136</v>
      </c>
      <c r="E1" s="1" t="s">
        <v>137</v>
      </c>
      <c r="F1" s="1" t="s">
        <v>85</v>
      </c>
      <c r="G1" s="1" t="s">
        <v>86</v>
      </c>
      <c r="H1" s="1" t="s">
        <v>51</v>
      </c>
    </row>
    <row r="2" spans="1:8">
      <c r="A2" t="s">
        <v>58</v>
      </c>
      <c r="B2" t="s">
        <v>25</v>
      </c>
      <c r="C2" t="s">
        <v>25</v>
      </c>
      <c r="D2" t="s">
        <v>59</v>
      </c>
      <c r="E2" t="s">
        <v>138</v>
      </c>
      <c r="H2" t="s">
        <v>139</v>
      </c>
    </row>
    <row r="3" spans="1:8">
      <c r="A3" t="s">
        <v>58</v>
      </c>
      <c r="B3" t="s">
        <v>26</v>
      </c>
      <c r="C3" t="s">
        <v>26</v>
      </c>
      <c r="D3" t="s">
        <v>59</v>
      </c>
      <c r="E3" t="s">
        <v>138</v>
      </c>
      <c r="H3" t="s">
        <v>139</v>
      </c>
    </row>
    <row r="4" spans="1:8">
      <c r="A4" t="s">
        <v>58</v>
      </c>
      <c r="B4" t="s">
        <v>27</v>
      </c>
      <c r="C4" t="s">
        <v>27</v>
      </c>
      <c r="D4" t="s">
        <v>59</v>
      </c>
      <c r="E4" t="s">
        <v>138</v>
      </c>
      <c r="H4" t="s">
        <v>139</v>
      </c>
    </row>
    <row r="5" spans="1:8">
      <c r="A5" t="s">
        <v>58</v>
      </c>
      <c r="B5" t="s">
        <v>28</v>
      </c>
      <c r="C5" t="s">
        <v>28</v>
      </c>
      <c r="D5" t="s">
        <v>59</v>
      </c>
      <c r="E5" t="s">
        <v>138</v>
      </c>
      <c r="H5" t="s">
        <v>139</v>
      </c>
    </row>
    <row r="6" spans="1:8">
      <c r="A6" t="s">
        <v>58</v>
      </c>
      <c r="B6" t="s">
        <v>29</v>
      </c>
      <c r="C6" t="s">
        <v>29</v>
      </c>
      <c r="D6" t="s">
        <v>59</v>
      </c>
      <c r="E6" t="s">
        <v>138</v>
      </c>
      <c r="H6" t="s">
        <v>139</v>
      </c>
    </row>
    <row r="7" spans="1:8">
      <c r="A7" t="s">
        <v>58</v>
      </c>
      <c r="B7" t="s">
        <v>30</v>
      </c>
      <c r="C7" t="s">
        <v>30</v>
      </c>
      <c r="D7" t="s">
        <v>59</v>
      </c>
      <c r="E7" t="s">
        <v>138</v>
      </c>
      <c r="H7" t="s">
        <v>139</v>
      </c>
    </row>
    <row r="8" spans="1:8">
      <c r="A8" t="s">
        <v>58</v>
      </c>
      <c r="B8" t="s">
        <v>31</v>
      </c>
      <c r="C8" t="s">
        <v>31</v>
      </c>
      <c r="D8" t="s">
        <v>59</v>
      </c>
      <c r="E8" t="s">
        <v>138</v>
      </c>
      <c r="H8" t="s">
        <v>139</v>
      </c>
    </row>
    <row r="9" spans="1:8">
      <c r="A9" t="s">
        <v>58</v>
      </c>
      <c r="B9" t="s">
        <v>32</v>
      </c>
      <c r="C9" t="s">
        <v>32</v>
      </c>
      <c r="D9" t="s">
        <v>59</v>
      </c>
      <c r="E9" t="s">
        <v>138</v>
      </c>
      <c r="H9" t="s">
        <v>139</v>
      </c>
    </row>
    <row r="10" spans="1:8">
      <c r="A10" t="s">
        <v>58</v>
      </c>
      <c r="B10" t="s">
        <v>33</v>
      </c>
      <c r="C10" t="s">
        <v>33</v>
      </c>
      <c r="D10" t="s">
        <v>59</v>
      </c>
      <c r="E10" t="s">
        <v>138</v>
      </c>
      <c r="H10" t="s">
        <v>139</v>
      </c>
    </row>
    <row r="11" spans="1:8">
      <c r="A11" t="s">
        <v>14</v>
      </c>
      <c r="B11" t="s">
        <v>25</v>
      </c>
      <c r="C11" t="s">
        <v>25</v>
      </c>
      <c r="D11" t="s">
        <v>59</v>
      </c>
      <c r="E11" t="s">
        <v>138</v>
      </c>
      <c r="H11" t="s">
        <v>139</v>
      </c>
    </row>
    <row r="12" spans="1:8">
      <c r="A12" t="s">
        <v>14</v>
      </c>
      <c r="B12" t="s">
        <v>26</v>
      </c>
      <c r="C12" t="s">
        <v>26</v>
      </c>
      <c r="D12" t="s">
        <v>59</v>
      </c>
      <c r="E12" t="s">
        <v>138</v>
      </c>
      <c r="H12" t="s">
        <v>139</v>
      </c>
    </row>
    <row r="13" spans="1:8">
      <c r="A13" t="s">
        <v>14</v>
      </c>
      <c r="B13" t="s">
        <v>27</v>
      </c>
      <c r="C13" t="s">
        <v>27</v>
      </c>
      <c r="D13" t="s">
        <v>59</v>
      </c>
      <c r="E13" t="s">
        <v>138</v>
      </c>
      <c r="H13" t="s">
        <v>139</v>
      </c>
    </row>
    <row r="14" spans="1:8">
      <c r="A14" t="s">
        <v>14</v>
      </c>
      <c r="B14" t="s">
        <v>28</v>
      </c>
      <c r="C14" t="s">
        <v>28</v>
      </c>
      <c r="D14" t="s">
        <v>59</v>
      </c>
      <c r="E14" t="s">
        <v>138</v>
      </c>
      <c r="H14" t="s">
        <v>139</v>
      </c>
    </row>
    <row r="15" spans="1:8">
      <c r="A15" t="s">
        <v>14</v>
      </c>
      <c r="B15" t="s">
        <v>29</v>
      </c>
      <c r="C15" t="s">
        <v>29</v>
      </c>
      <c r="D15" t="s">
        <v>59</v>
      </c>
      <c r="E15" t="s">
        <v>138</v>
      </c>
      <c r="H15" t="s">
        <v>139</v>
      </c>
    </row>
    <row r="16" spans="1:8">
      <c r="A16" t="s">
        <v>14</v>
      </c>
      <c r="B16" t="s">
        <v>30</v>
      </c>
      <c r="C16" t="s">
        <v>30</v>
      </c>
      <c r="D16" t="s">
        <v>59</v>
      </c>
      <c r="E16" t="s">
        <v>138</v>
      </c>
      <c r="H16" t="s">
        <v>139</v>
      </c>
    </row>
    <row r="17" spans="1:8">
      <c r="A17" t="s">
        <v>14</v>
      </c>
      <c r="B17" t="s">
        <v>31</v>
      </c>
      <c r="C17" t="s">
        <v>31</v>
      </c>
      <c r="D17" t="s">
        <v>59</v>
      </c>
      <c r="E17" t="s">
        <v>138</v>
      </c>
      <c r="H17" t="s">
        <v>139</v>
      </c>
    </row>
    <row r="18" spans="1:8">
      <c r="A18" t="s">
        <v>14</v>
      </c>
      <c r="B18" t="s">
        <v>32</v>
      </c>
      <c r="C18" t="s">
        <v>32</v>
      </c>
      <c r="D18" t="s">
        <v>59</v>
      </c>
      <c r="E18" t="s">
        <v>138</v>
      </c>
      <c r="H18" t="s">
        <v>139</v>
      </c>
    </row>
    <row r="19" spans="1:8">
      <c r="A19" t="s">
        <v>14</v>
      </c>
      <c r="B19" t="s">
        <v>33</v>
      </c>
      <c r="C19" t="s">
        <v>33</v>
      </c>
      <c r="D19" t="s">
        <v>59</v>
      </c>
      <c r="E19" t="s">
        <v>138</v>
      </c>
      <c r="H19" t="s">
        <v>139</v>
      </c>
    </row>
    <row r="20" spans="1:8">
      <c r="A20" t="s">
        <v>15</v>
      </c>
      <c r="B20" t="s">
        <v>25</v>
      </c>
      <c r="C20" t="s">
        <v>25</v>
      </c>
      <c r="D20" t="s">
        <v>59</v>
      </c>
      <c r="E20" t="s">
        <v>138</v>
      </c>
      <c r="H20" t="s">
        <v>139</v>
      </c>
    </row>
    <row r="21" spans="1:8">
      <c r="A21" t="s">
        <v>15</v>
      </c>
      <c r="B21" t="s">
        <v>26</v>
      </c>
      <c r="C21" t="s">
        <v>26</v>
      </c>
      <c r="D21" t="s">
        <v>59</v>
      </c>
      <c r="E21" t="s">
        <v>138</v>
      </c>
      <c r="H21" t="s">
        <v>139</v>
      </c>
    </row>
    <row r="22" spans="1:8">
      <c r="A22" t="s">
        <v>15</v>
      </c>
      <c r="B22" t="s">
        <v>27</v>
      </c>
      <c r="C22" t="s">
        <v>27</v>
      </c>
      <c r="D22" t="s">
        <v>59</v>
      </c>
      <c r="E22" t="s">
        <v>138</v>
      </c>
      <c r="H22" t="s">
        <v>139</v>
      </c>
    </row>
    <row r="23" spans="1:8">
      <c r="A23" t="s">
        <v>15</v>
      </c>
      <c r="B23" t="s">
        <v>28</v>
      </c>
      <c r="C23" t="s">
        <v>28</v>
      </c>
      <c r="D23" t="s">
        <v>59</v>
      </c>
      <c r="E23" t="s">
        <v>138</v>
      </c>
      <c r="H23" t="s">
        <v>139</v>
      </c>
    </row>
    <row r="24" spans="1:8">
      <c r="A24" t="s">
        <v>15</v>
      </c>
      <c r="B24" t="s">
        <v>29</v>
      </c>
      <c r="C24" t="s">
        <v>29</v>
      </c>
      <c r="D24" t="s">
        <v>59</v>
      </c>
      <c r="E24" t="s">
        <v>138</v>
      </c>
      <c r="H24" t="s">
        <v>139</v>
      </c>
    </row>
    <row r="25" spans="1:8">
      <c r="A25" t="s">
        <v>15</v>
      </c>
      <c r="B25" t="s">
        <v>30</v>
      </c>
      <c r="C25" t="s">
        <v>30</v>
      </c>
      <c r="D25" t="s">
        <v>59</v>
      </c>
      <c r="E25" t="s">
        <v>138</v>
      </c>
      <c r="H25" t="s">
        <v>139</v>
      </c>
    </row>
    <row r="26" spans="1:8">
      <c r="A26" t="s">
        <v>15</v>
      </c>
      <c r="B26" t="s">
        <v>31</v>
      </c>
      <c r="C26" t="s">
        <v>31</v>
      </c>
      <c r="D26" t="s">
        <v>59</v>
      </c>
      <c r="E26" t="s">
        <v>138</v>
      </c>
      <c r="H26" t="s">
        <v>139</v>
      </c>
    </row>
    <row r="27" spans="1:8">
      <c r="A27" t="s">
        <v>15</v>
      </c>
      <c r="B27" t="s">
        <v>32</v>
      </c>
      <c r="C27" t="s">
        <v>32</v>
      </c>
      <c r="D27" t="s">
        <v>59</v>
      </c>
      <c r="E27" t="s">
        <v>138</v>
      </c>
      <c r="H27" t="s">
        <v>139</v>
      </c>
    </row>
    <row r="28" spans="1:8">
      <c r="A28" t="s">
        <v>15</v>
      </c>
      <c r="B28" t="s">
        <v>33</v>
      </c>
      <c r="C28" t="s">
        <v>33</v>
      </c>
      <c r="D28" t="s">
        <v>59</v>
      </c>
      <c r="E28" t="s">
        <v>138</v>
      </c>
      <c r="H28" t="s">
        <v>139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workbookViewId="0">
      <selection activeCell="A2" sqref="A2:D4"/>
    </sheetView>
  </sheetViews>
  <sheetFormatPr defaultRowHeight="14.25"/>
  <cols>
    <col min="1" max="1" width="10.25" bestFit="1" customWidth="1"/>
    <col min="2" max="2" width="11.625" bestFit="1" customWidth="1"/>
    <col min="3" max="3" width="18.5" bestFit="1" customWidth="1"/>
    <col min="4" max="4" width="33.375" bestFit="1" customWidth="1"/>
  </cols>
  <sheetData>
    <row r="1" spans="1:4" ht="15">
      <c r="A1" s="1" t="s">
        <v>133</v>
      </c>
      <c r="B1" s="1" t="s">
        <v>140</v>
      </c>
      <c r="C1" s="1" t="s">
        <v>141</v>
      </c>
      <c r="D1" s="1" t="s">
        <v>51</v>
      </c>
    </row>
    <row r="2" spans="1:4">
      <c r="A2" t="s">
        <v>14</v>
      </c>
      <c r="B2" t="s">
        <v>142</v>
      </c>
      <c r="C2">
        <v>33</v>
      </c>
      <c r="D2" t="s">
        <v>143</v>
      </c>
    </row>
    <row r="3" spans="1:4">
      <c r="A3" t="s">
        <v>58</v>
      </c>
      <c r="B3" t="s">
        <v>142</v>
      </c>
      <c r="C3">
        <v>88</v>
      </c>
      <c r="D3" t="s">
        <v>144</v>
      </c>
    </row>
    <row r="4" spans="1:4">
      <c r="A4" t="s">
        <v>15</v>
      </c>
      <c r="B4" t="s">
        <v>142</v>
      </c>
      <c r="D4" t="s">
        <v>145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1"/>
  <sheetViews>
    <sheetView workbookViewId="0">
      <selection activeCell="C3" sqref="C3"/>
    </sheetView>
  </sheetViews>
  <sheetFormatPr defaultRowHeight="14.25"/>
  <cols>
    <col min="1" max="1" width="15" bestFit="1" customWidth="1"/>
    <col min="2" max="2" width="19.125" bestFit="1" customWidth="1"/>
    <col min="3" max="3" width="15.25" bestFit="1" customWidth="1"/>
    <col min="4" max="4" width="13.75" bestFit="1" customWidth="1"/>
    <col min="5" max="5" width="8.75" bestFit="1" customWidth="1"/>
    <col min="6" max="6" width="14.25" bestFit="1" customWidth="1"/>
    <col min="7" max="7" width="10.25" bestFit="1" customWidth="1"/>
  </cols>
  <sheetData>
    <row r="1" spans="1:7" ht="15">
      <c r="A1" s="1" t="s">
        <v>16</v>
      </c>
      <c r="B1" s="1" t="s">
        <v>18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</row>
    <row r="2" spans="1:7">
      <c r="A2" t="s">
        <v>17</v>
      </c>
      <c r="B2" t="s">
        <v>19</v>
      </c>
      <c r="C2" t="s">
        <v>4</v>
      </c>
      <c r="D2" t="s">
        <v>62</v>
      </c>
      <c r="E2" t="s">
        <v>59</v>
      </c>
      <c r="F2" t="s">
        <v>151</v>
      </c>
      <c r="G2" t="s">
        <v>58</v>
      </c>
    </row>
    <row r="3" spans="1:7">
      <c r="A3" t="s">
        <v>11</v>
      </c>
      <c r="B3" t="s">
        <v>25</v>
      </c>
      <c r="C3" t="s">
        <v>3</v>
      </c>
      <c r="D3" t="s">
        <v>57</v>
      </c>
      <c r="E3" t="s">
        <v>63</v>
      </c>
      <c r="F3" t="s">
        <v>138</v>
      </c>
      <c r="G3" t="s">
        <v>14</v>
      </c>
    </row>
    <row r="4" spans="1:7">
      <c r="A4" t="s">
        <v>12</v>
      </c>
      <c r="B4" t="s">
        <v>26</v>
      </c>
      <c r="C4" t="s">
        <v>68</v>
      </c>
      <c r="F4" t="s">
        <v>152</v>
      </c>
      <c r="G4" t="s">
        <v>15</v>
      </c>
    </row>
    <row r="5" spans="1:7">
      <c r="A5" t="s">
        <v>14</v>
      </c>
      <c r="B5" t="s">
        <v>27</v>
      </c>
      <c r="C5" t="s">
        <v>69</v>
      </c>
      <c r="F5" t="s">
        <v>153</v>
      </c>
    </row>
    <row r="6" spans="1:7">
      <c r="A6" t="s">
        <v>15</v>
      </c>
      <c r="B6" t="s">
        <v>28</v>
      </c>
    </row>
    <row r="7" spans="1:7">
      <c r="B7" t="s">
        <v>29</v>
      </c>
    </row>
    <row r="8" spans="1:7">
      <c r="B8" t="s">
        <v>30</v>
      </c>
    </row>
    <row r="9" spans="1:7">
      <c r="B9" t="s">
        <v>31</v>
      </c>
    </row>
    <row r="10" spans="1:7">
      <c r="B10" t="s">
        <v>32</v>
      </c>
    </row>
    <row r="11" spans="1:7">
      <c r="B11" t="s">
        <v>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workbookViewId="0">
      <selection sqref="A1:F2"/>
    </sheetView>
  </sheetViews>
  <sheetFormatPr defaultRowHeight="14.25"/>
  <cols>
    <col min="1" max="1" width="30" customWidth="1"/>
    <col min="2" max="2" width="100" customWidth="1"/>
  </cols>
  <sheetData>
    <row r="1" spans="1:6">
      <c r="A1" s="23" t="s">
        <v>154</v>
      </c>
      <c r="B1" s="23"/>
      <c r="C1" s="23"/>
      <c r="D1" s="23"/>
      <c r="E1" s="23"/>
      <c r="F1" s="23"/>
    </row>
    <row r="2" spans="1:6">
      <c r="A2" s="23"/>
      <c r="B2" s="23"/>
      <c r="C2" s="23"/>
      <c r="D2" s="23"/>
      <c r="E2" s="23"/>
      <c r="F2" s="23"/>
    </row>
    <row r="4" spans="1:6" ht="15">
      <c r="A4" s="8" t="s">
        <v>155</v>
      </c>
      <c r="B4" s="8" t="s">
        <v>156</v>
      </c>
    </row>
    <row r="5" spans="1:6">
      <c r="A5" s="9" t="s">
        <v>157</v>
      </c>
      <c r="B5" s="9" t="s">
        <v>158</v>
      </c>
    </row>
    <row r="6" spans="1:6">
      <c r="A6" s="9" t="s">
        <v>159</v>
      </c>
      <c r="B6" s="9" t="s">
        <v>160</v>
      </c>
    </row>
    <row r="7" spans="1:6">
      <c r="A7" s="9" t="s">
        <v>39</v>
      </c>
      <c r="B7" s="9" t="s">
        <v>161</v>
      </c>
    </row>
    <row r="8" spans="1:6">
      <c r="A8" s="9" t="s">
        <v>162</v>
      </c>
      <c r="B8" s="9" t="s">
        <v>163</v>
      </c>
    </row>
    <row r="9" spans="1:6">
      <c r="A9" s="9" t="s">
        <v>164</v>
      </c>
      <c r="B9" s="9" t="s">
        <v>165</v>
      </c>
    </row>
    <row r="10" spans="1:6">
      <c r="A10" s="9" t="s">
        <v>11</v>
      </c>
      <c r="B10" s="9" t="s">
        <v>166</v>
      </c>
    </row>
    <row r="11" spans="1:6">
      <c r="A11" s="9" t="s">
        <v>12</v>
      </c>
      <c r="B11" s="9" t="s">
        <v>167</v>
      </c>
    </row>
    <row r="12" spans="1:6">
      <c r="A12" s="9" t="s">
        <v>14</v>
      </c>
      <c r="B12" s="9" t="s">
        <v>168</v>
      </c>
    </row>
    <row r="13" spans="1:6">
      <c r="A13" s="9" t="s">
        <v>15</v>
      </c>
      <c r="B13" s="9" t="s">
        <v>168</v>
      </c>
    </row>
    <row r="14" spans="1:6">
      <c r="A14" s="9" t="s">
        <v>169</v>
      </c>
      <c r="B14" s="9" t="s">
        <v>170</v>
      </c>
    </row>
  </sheetData>
  <mergeCells count="1">
    <mergeCell ref="A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RESUMO</vt:lpstr>
      <vt:lpstr>Cobrança RMR</vt:lpstr>
      <vt:lpstr>Cobrança Interior</vt:lpstr>
      <vt:lpstr>Hidrometria</vt:lpstr>
      <vt:lpstr>Leitura</vt:lpstr>
      <vt:lpstr>Microrrotas</vt:lpstr>
      <vt:lpstr>Bases</vt:lpstr>
      <vt:lpstr>Rampagem</vt:lpstr>
      <vt:lpstr>LISTAS</vt:lpstr>
      <vt:lpstr>LEIA-ME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Enorsul PE</dc:creator>
  <cp:lastModifiedBy>Arlinda Karla</cp:lastModifiedBy>
  <dcterms:created xsi:type="dcterms:W3CDTF">2026-09-29T12:52:55Z</dcterms:created>
  <dcterms:modified xsi:type="dcterms:W3CDTF">2026-09-29T15:54:47Z</dcterms:modified>
</cp:coreProperties>
</file>