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bd4b52ca444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tura" sheetId="1" r:id="R0bc2fa4fb279419f"/>
    <x:sheet xmlns:r="http://schemas.openxmlformats.org/officeDocument/2006/relationships" name="Cobrança" sheetId="2" r:id="R2bbe029709704718"/>
    <x:sheet xmlns:r="http://schemas.openxmlformats.org/officeDocument/2006/relationships" name="Hidrometria" sheetId="3" r:id="Rdbba3f3e5e7846cb"/>
    <x:sheet xmlns:r="http://schemas.openxmlformats.org/officeDocument/2006/relationships" name="Aprovação Funcionários" sheetId="4" r:id="Rd6021a3e85ab4b12"/>
    <x:sheet xmlns:r="http://schemas.openxmlformats.org/officeDocument/2006/relationships" name="Escritórios e Bases" sheetId="5" r:id="Rdfc8db43dce34cc4"/>
    <x:sheet xmlns:r="http://schemas.openxmlformats.org/officeDocument/2006/relationships" name="Painel" sheetId="6" r:id="Ra3e7ab48ed1c4f80"/>
  </x:sheets>
</x:workbook>
</file>

<file path=xl/sharedStrings.xml><?xml version="1.0" encoding="utf-8"?>
<x:sst xmlns:x="http://schemas.openxmlformats.org/spreadsheetml/2006/main">
  <x:si>
    <x:t xml:space="preserve">CHECKLIST DE MOBILIZAÇÃO – LEITURA</x:t>
  </x:si>
  <x:si>
    <x:t xml:space="preserve">Controle da mobilização da Leitura – histórico executado + pendências reais até o Go-Live.</x:t>
  </x:si>
  <x:si>
    <x:t xml:space="preserve">ID</x:t>
  </x:si>
  <x:si>
    <x:t xml:space="preserve">Macroetapa</x:t>
  </x:si>
  <x:si>
    <x:t xml:space="preserve">Item / Atividade</x:t>
  </x:si>
  <x:si>
    <x:t xml:space="preserve">Critério de aceite</x:t>
  </x:si>
  <x:si>
    <x:t xml:space="preserve">Responsável</x:t>
  </x:si>
  <x:si>
    <x:t xml:space="preserve">Dependência</x:t>
  </x:si>
  <x:si>
    <x:t xml:space="preserve">Prioridade</x:t>
  </x:si>
  <x:si>
    <x:t xml:space="preserve">Status</x:t>
  </x:si>
  <x:si>
    <x:t xml:space="preserve">Data Prevista</x:t>
  </x:si>
  <x:si>
    <x:t xml:space="preserve">Data Conclusão</x:t>
  </x:si>
  <x:si>
    <x:t xml:space="preserve">% Conclusão</x:t>
  </x:si>
  <x:si>
    <x:t xml:space="preserve">Evidência / Link</x:t>
  </x:si>
  <x:si>
    <x:t xml:space="preserve">Pendência / Ação</x:t>
  </x:si>
  <x:si>
    <x:t xml:space="preserve">Prazo Pendência</x:t>
  </x:si>
  <x:si>
    <x:t xml:space="preserve">Observação</x:t>
  </x:si>
  <x:si>
    <x:t xml:space="preserve">Dias p/ Prazo</x:t>
  </x:si>
  <x:si>
    <x:t xml:space="preserve">Alerta</x:t>
  </x:si>
  <x:si>
    <x:t xml:space="preserve">Governança</x:t>
  </x:si>
  <x:si>
    <x:t xml:space="preserve">Kick-Off realizado</x:t>
  </x:si>
  <x:si>
    <x:t xml:space="preserve">Ata, responsáveis, escopo, marcos e canais definidos</x:t>
  </x:si>
  <x:si>
    <x:t xml:space="preserve">Enorsul / Cliente</x:t>
  </x:si>
  <x:si>
    <x:t xml:space="preserve">Cliente</x:t>
  </x:si>
  <x:si>
    <x:t xml:space="preserve">Crítica</x:t>
  </x:si>
  <x:si>
    <x:t xml:space="preserve">Concluído</x:t>
  </x:si>
  <x:si>
    <x:t xml:space="preserve">Kick-Off considerado como marco geral de mobilização Aqua.</x:t>
  </x:si>
  <x:si>
    <x:t xml:space="preserve">OK</x:t>
  </x:si>
  <x:si>
    <x:t xml:space="preserve">Matriz de responsáveis e contatos</x:t>
  </x:si>
  <x:si>
    <x:t xml:space="preserve">Operação, RH, SSMA, TI, materiais, logística e cliente definidos</x:t>
  </x:si>
  <x:si>
    <x:t xml:space="preserve">Alta</x:t>
  </x:si>
  <x:si>
    <x:t xml:space="preserve">Não iniciado</x:t>
  </x:si>
  <x:si>
    <x:t xml:space="preserve">Escritório / Base</x:t>
  </x:si>
  <x:si>
    <x:t xml:space="preserve">Endereço e cobertura operacional</x:t>
  </x:si>
  <x:si>
    <x:t xml:space="preserve">Local, abrangência, capacidade e responsável definidos</x:t>
  </x:si>
  <x:si>
    <x:t xml:space="preserve">Enorsul</x:t>
  </x:si>
  <x:si>
    <x:t xml:space="preserve">Interno</x:t>
  </x:si>
  <x:si>
    <x:t xml:space="preserve">Estrutura/base já existente na operação atual.</x:t>
  </x:si>
  <x:si>
    <x:t xml:space="preserve">Imóvel liberado</x:t>
  </x:si>
  <x:si>
    <x:t xml:space="preserve">Contrato/liberação e acesso concluídos</x:t>
  </x:si>
  <x:si>
    <x:t xml:space="preserve">Locador / Jurídico</x:t>
  </x:si>
  <x:si>
    <x:t xml:space="preserve">Energia e iluminação</x:t>
  </x:si>
  <x:si>
    <x:t xml:space="preserve">Instalações disponíveis e testadas</x:t>
  </x:si>
  <x:si>
    <x:t xml:space="preserve">Fornecedor</x:t>
  </x:si>
  <x:si>
    <x:t xml:space="preserve">Energia e iluminação já disponíveis.</x:t>
  </x:si>
  <x:si>
    <x:t xml:space="preserve">Internet e telefonia</x:t>
  </x:si>
  <x:si>
    <x:t xml:space="preserve">Link ativo, Wi-Fi testado e contingência definida</x:t>
  </x:si>
  <x:si>
    <x:t xml:space="preserve">Internet/telefonia já disponíveis.</x:t>
  </x:si>
  <x:si>
    <x:t xml:space="preserve">Mobiliário</x:t>
  </x:si>
  <x:si>
    <x:t xml:space="preserve">Mesas, cadeiras, armários e apoio disponíveis</x:t>
  </x:si>
  <x:si>
    <x:t xml:space="preserve">Suprimentos</x:t>
  </x:si>
  <x:si>
    <x:t xml:space="preserve">Média</x:t>
  </x:si>
  <x:si>
    <x:t xml:space="preserve">Mobiliário já disponível.</x:t>
  </x:si>
  <x:si>
    <x:t xml:space="preserve">TI da base</x:t>
  </x:si>
  <x:si>
    <x:t xml:space="preserve">Computadores, impressora e periféricos instalados</x:t>
  </x:si>
  <x:si>
    <x:t xml:space="preserve">TI</x:t>
  </x:si>
  <x:si>
    <x:t xml:space="preserve">TI da base já disponível.</x:t>
  </x:si>
  <x:si>
    <x:t xml:space="preserve">Área de estoque</x:t>
  </x:si>
  <x:si>
    <x:t xml:space="preserve">Local seguro, inventário, recebimento e controle definidos</x:t>
  </x:si>
  <x:si>
    <x:t xml:space="preserve">Logística</x:t>
  </x:si>
  <x:si>
    <x:t xml:space="preserve">Área de apoio/estoque já existente.</x:t>
  </x:si>
  <x:si>
    <x:t xml:space="preserve">Estrutura de apoio</x:t>
  </x:si>
  <x:si>
    <x:t xml:space="preserve">Limpeza, sinalização, copa/apoio e condições de uso</x:t>
  </x:si>
  <x:si>
    <x:t xml:space="preserve">Administrativo</x:t>
  </x:si>
  <x:si>
    <x:t xml:space="preserve">Estrutura de apoio já existente.</x:t>
  </x:si>
  <x:si>
    <x:t xml:space="preserve">SSMA</x:t>
  </x:si>
  <x:si>
    <x:t xml:space="preserve">Requisitos SSMA recebidos</x:t>
  </x:si>
  <x:si>
    <x:t xml:space="preserve">Checklist e padrões do cliente formalmente recebidos</x:t>
  </x:si>
  <x:si>
    <x:t xml:space="preserve">Requisitos/documentação SSMA já disponíveis.</x:t>
  </x:si>
  <x:si>
    <x:t xml:space="preserve">Documentação da empresa aprovada</x:t>
  </x:si>
  <x:si>
    <x:t xml:space="preserve">Documentos corporativos validados</x:t>
  </x:si>
  <x:si>
    <x:t xml:space="preserve">Procedimentos / APR / documentos</x:t>
  </x:si>
  <x:si>
    <x:t xml:space="preserve">Documentação operacional aplicável elaborada e aprovada</x:t>
  </x:si>
  <x:si>
    <x:t xml:space="preserve">SSMA / Cliente</x:t>
  </x:si>
  <x:si>
    <x:t xml:space="preserve">Fardamento / EPI</x:t>
  </x:si>
  <x:si>
    <x:t xml:space="preserve">Modelo de fardamento aprovado</x:t>
  </x:si>
  <x:si>
    <x:t xml:space="preserve">Modelo, refletivos, logos e padrão visual aprovados</x:t>
  </x:si>
  <x:si>
    <x:t xml:space="preserve">Fardamento entregue</x:t>
  </x:si>
  <x:si>
    <x:t xml:space="preserve">Kit por colaborador conferido</x:t>
  </x:si>
  <x:si>
    <x:t xml:space="preserve">Em andamento</x:t>
  </x:si>
  <x:si>
    <x:t xml:space="preserve">Material recebido; adequação/confecção do fardamento segue internamente.</x:t>
  </x:si>
  <x:si>
    <x:t xml:space="preserve">EPIs entregues</x:t>
  </x:si>
  <x:si>
    <x:t xml:space="preserve">EPIs por função entregues e controlados</x:t>
  </x:si>
  <x:si>
    <x:t xml:space="preserve">SSMA / Suprimentos</x:t>
  </x:si>
  <x:si>
    <x:t xml:space="preserve">Veículos</x:t>
  </x:si>
  <x:si>
    <x:t xml:space="preserve">Frota dimensionada</x:t>
  </x:si>
  <x:si>
    <x:t xml:space="preserve">Quantidade e tipo de veículos compatíveis com as equipes</x:t>
  </x:si>
  <x:si>
    <x:t xml:space="preserve">Operação</x:t>
  </x:si>
  <x:si>
    <x:t xml:space="preserve">Estimativa atual de 22 veículos: Gravatá 4, Serra 9, Caruaru 5, Arcoverde 2 e Litoral 2; quantitativo ainda em revisão.</x:t>
  </x:si>
  <x:si>
    <x:t xml:space="preserve">Veículos mobilizados</x:t>
  </x:si>
  <x:si>
    <x:t xml:space="preserve">Frota disponível, documentada, revisada e liberada</x:t>
  </x:si>
  <x:si>
    <x:t xml:space="preserve">Frota / Locadora</x:t>
  </x:si>
  <x:si>
    <x:t xml:space="preserve">Mobilização física da frota ainda não confirmada; dimensionamento atual é estimativo.</x:t>
  </x:si>
  <x:si>
    <x:t xml:space="preserve">Identificação visual aprovada</x:t>
  </x:si>
  <x:si>
    <x:t xml:space="preserve">Layout e adesivos do contrato aprovados</x:t>
  </x:si>
  <x:si>
    <x:t xml:space="preserve">Veículos adesivados/vistoriados</x:t>
  </x:si>
  <x:si>
    <x:t xml:space="preserve">Frota pronta para operação</x:t>
  </x:si>
  <x:si>
    <x:t xml:space="preserve">Fornecedor / SSMA</x:t>
  </x:si>
  <x:si>
    <x:t xml:space="preserve">Pessoas</x:t>
  </x:si>
  <x:si>
    <x:t xml:space="preserve">Quadro dimensionado</x:t>
  </x:si>
  <x:si>
    <x:t xml:space="preserve">Funções, quantitativos, produtividade e cobertura definidos</x:t>
  </x:si>
  <x:si>
    <x:t xml:space="preserve">Operação / RH</x:t>
  </x:si>
  <x:si>
    <x:t xml:space="preserve">Cadastro individual no cliente</x:t>
  </x:si>
  <x:si>
    <x:t xml:space="preserve">Cada colaborador enviado para análise</x:t>
  </x:si>
  <x:si>
    <x:t xml:space="preserve">Aprovação individual pelo cliente</x:t>
  </x:si>
  <x:si>
    <x:t xml:space="preserve">Colaboradores aprovados ou contingência definida</x:t>
  </x:si>
  <x:si>
    <x:t xml:space="preserve">Após envio da documentação individual.</x:t>
  </x:si>
  <x:si>
    <x:t xml:space="preserve">Integração SSMA</x:t>
  </x:si>
  <x:si>
    <x:t xml:space="preserve">Colaborador integrado e liberado</x:t>
  </x:si>
  <x:si>
    <x:t xml:space="preserve">Cliente / SSMA</x:t>
  </x:si>
  <x:si>
    <x:t xml:space="preserve">Integração/liberação após validação documental.</x:t>
  </x:si>
  <x:si>
    <x:t xml:space="preserve">Treinamento</x:t>
  </x:si>
  <x:si>
    <x:t xml:space="preserve">Treinamento Leitura – Sirinhaém</x:t>
  </x:si>
  <x:si>
    <x:t xml:space="preserve">Equipes de Escada e Litoral treinadas</x:t>
  </x:si>
  <x:si>
    <x:t xml:space="preserve">Programar treinamento com a Aqua</x:t>
  </x:si>
  <x:si>
    <x:t xml:space="preserve">Disponibilidade: 02/10 – Sirinhaém.</x:t>
  </x:si>
  <x:si>
    <x:t xml:space="preserve">Treinamento Leitura – Caruaru</x:t>
  </x:si>
  <x:si>
    <x:t xml:space="preserve">Equipes de Gravatá, Bezerros e Vitória treinadas</x:t>
  </x:si>
  <x:si>
    <x:t xml:space="preserve">Disponibilidade: 05/10 – Caruaru.</x:t>
  </x:si>
  <x:si>
    <x:t xml:space="preserve">Sistemas</x:t>
  </x:si>
  <x:si>
    <x:t xml:space="preserve">Usuários e acessos</x:t>
  </x:si>
  <x:si>
    <x:t xml:space="preserve">Usuários individuais ativos e perfis corretos</x:t>
  </x:si>
  <x:si>
    <x:t xml:space="preserve">Cliente / TI</x:t>
  </x:si>
  <x:si>
    <x:t xml:space="preserve">Específico Leitura</x:t>
  </x:si>
  <x:si>
    <x:t xml:space="preserve">Equipamentos de leitura</x:t>
  </x:si>
  <x:si>
    <x:t xml:space="preserve">Coletor/smartphone e periféricos configurados e testados</x:t>
  </x:si>
  <x:si>
    <x:t xml:space="preserve">TI / Cliente</x:t>
  </x:si>
  <x:si>
    <x:t xml:space="preserve">Coletores/celulares e impressoras já disponíveis.</x:t>
  </x:si>
  <x:si>
    <x:t xml:space="preserve">Teste de rota/transmissão</x:t>
  </x:si>
  <x:si>
    <x:t xml:space="preserve">Leitura, ocorrência, evidência e transmissão validadas</x:t>
  </x:si>
  <x:si>
    <x:t xml:space="preserve">Layout e especificação da bobina Aqua</x:t>
  </x:si>
  <x:si>
    <x:t xml:space="preserve">Layout e especificações recebidos</x:t>
  </x:si>
  <x:si>
    <x:t xml:space="preserve">Material recebido</x:t>
  </x:si>
  <x:si>
    <x:t xml:space="preserve">Layout da bobina já recebido.</x:t>
  </x:si>
  <x:si>
    <x:t xml:space="preserve">Adequação das impressoras ao padrão Aqua</x:t>
  </x:si>
  <x:si>
    <x:t xml:space="preserve">Impressão configurada e validada com novo layout/bobina</x:t>
  </x:si>
  <x:si>
    <x:t xml:space="preserve">TI / Operação</x:t>
  </x:si>
  <x:si>
    <x:t xml:space="preserve">Treinamento Leitura – Arcoverde e Serra</x:t>
  </x:si>
  <x:si>
    <x:t xml:space="preserve">Equipes de Arcoverde e Serra treinadas</x:t>
  </x:si>
  <x:si>
    <x:t xml:space="preserve">Disponibilidade: 06/10; local a confirmar.</x:t>
  </x:si>
  <x:si>
    <x:t xml:space="preserve">Qualidade</x:t>
  </x:si>
  <x:si>
    <x:t xml:space="preserve">Validação de impressão, bobina e operação</x:t>
  </x:si>
  <x:si>
    <x:t xml:space="preserve">Teste realizado após treinamentos e ajustes</x:t>
  </x:si>
  <x:si>
    <x:t xml:space="preserve">Executar validação após treinamentos</x:t>
  </x:si>
  <x:si>
    <x:t xml:space="preserve">Validar impressão, bobina e fluxo operacional.</x:t>
  </x:si>
  <x:si>
    <x:t xml:space="preserve">CHECKLIST DE MOBILIZAÇÃO – COBRANÇA</x:t>
  </x:si>
  <x:si>
    <x:t xml:space="preserve">Controle da implantação do escritório/base, pessoas, frota, documentos, sistemas, materiais, testes e Go-Live.</x:t>
  </x:si>
  <x:si>
    <x:t xml:space="preserve">Cronograma detalhado de mobilização</x:t>
  </x:si>
  <x:si>
    <x:t xml:space="preserve">Cronograma até Go-Live com dependências e responsáveis</x:t>
  </x:si>
  <x:si>
    <x:t xml:space="preserve">Cronograma de implantação/rampagem estruturado de OUT/26 a FEV/27.</x:t>
  </x:si>
  <x:si>
    <x:t xml:space="preserve">Histograma / rampagem de equipes</x:t>
  </x:si>
  <x:si>
    <x:t xml:space="preserve">Quantitativo por período compatível com demanda</x:t>
  </x:si>
  <x:si>
    <x:t xml:space="preserve">Rampagem definida: OUT 44 | NOV 44 | DEZ 57 | JAN 71 | FEV 88 equipes.</x:t>
  </x:si>
  <x:si>
    <x:t xml:space="preserve">Aguardando Aqua</x:t>
  </x:si>
  <x:si>
    <x:t xml:space="preserve">Sheyla confirmou em 11/09 que a parte de veículos permanece pendente de envio pela Aqua.</x:t>
  </x:si>
  <x:si>
    <x:t xml:space="preserve">Recrutamento e seleção</x:t>
  </x:si>
  <x:si>
    <x:t xml:space="preserve">Vagas preenchidas conforme rampa</x:t>
  </x:si>
  <x:si>
    <x:t xml:space="preserve">RH</x:t>
  </x:si>
  <x:si>
    <x:t xml:space="preserve">Admissão</x:t>
  </x:si>
  <x:si>
    <x:t xml:space="preserve">ASO, registro e documentação admissional concluídos</x:t>
  </x:si>
  <x:si>
    <x:t xml:space="preserve">RH / Medicina</x:t>
  </x:si>
  <x:si>
    <x:t xml:space="preserve">Envio documental por lotes para análise da Aqua.</x:t>
  </x:si>
  <x:si>
    <x:t xml:space="preserve">Considera janela de até 5 dias úteis de análise após o último lote documental.</x:t>
  </x:si>
  <x:si>
    <x:t xml:space="preserve">Treinamento operacional</x:t>
  </x:si>
  <x:si>
    <x:t xml:space="preserve">Procedimentos, abordagem, execução e retorno de campo</x:t>
  </x:si>
  <x:si>
    <x:t xml:space="preserve">Treinamento de sistemas</x:t>
  </x:si>
  <x:si>
    <x:t xml:space="preserve">Sistemas, equipamentos e fluxo de OS validados</x:t>
  </x:si>
  <x:si>
    <x:t xml:space="preserve">Equipamentos móveis</x:t>
  </x:si>
  <x:si>
    <x:t xml:space="preserve">Smartphones/coletoras, apps, chips e sincronização testados</x:t>
  </x:si>
  <x:si>
    <x:t xml:space="preserve">Programação / despacho</x:t>
  </x:si>
  <x:si>
    <x:t xml:space="preserve">Recebimento, distribuição, execução, retorno e pendências definidos</x:t>
  </x:si>
  <x:si>
    <x:t xml:space="preserve">Materiais</x:t>
  </x:si>
  <x:si>
    <x:t xml:space="preserve">Lista de materiais e insumos</x:t>
  </x:si>
  <x:si>
    <x:t xml:space="preserve">Responsabilidade Cliente x Enorsul definida</x:t>
  </x:si>
  <x:si>
    <x:t xml:space="preserve">Processo de retirada/reposição</x:t>
  </x:si>
  <x:si>
    <x:t xml:space="preserve">Local, horário, solicitação, reposição e controle definidos</x:t>
  </x:si>
  <x:si>
    <x:t xml:space="preserve">Estoque inicial</x:t>
  </x:si>
  <x:si>
    <x:t xml:space="preserve">Quantidade suficiente para partida confirmada</x:t>
  </x:si>
  <x:si>
    <x:t xml:space="preserve">Cliente / Logística</x:t>
  </x:si>
  <x:si>
    <x:t xml:space="preserve">Critérios de aceite</x:t>
  </x:si>
  <x:si>
    <x:t xml:space="preserve">Resultados, evidências, fotos, encerramentos e retrabalhos definidos</x:t>
  </x:si>
  <x:si>
    <x:t xml:space="preserve">Teste ponta a ponta</x:t>
  </x:si>
  <x:si>
    <x:t xml:space="preserve">OS recebida, executada, encerrada e refletida no sistema</x:t>
  </x:si>
  <x:si>
    <x:t xml:space="preserve">Piloto / teste de campo</x:t>
  </x:si>
  <x:si>
    <x:t xml:space="preserve">Ciclo real acompanhado e corrigido</x:t>
  </x:si>
  <x:si>
    <x:t xml:space="preserve">Go-Live</x:t>
  </x:si>
  <x:si>
    <x:t xml:space="preserve">Plano de contingência</x:t>
  </x:si>
  <x:si>
    <x:t xml:space="preserve">Falha sistema, material, veículo e ausência de pessoal</x:t>
  </x:si>
  <x:si>
    <x:t xml:space="preserve">Interno / Cliente</x:t>
  </x:si>
  <x:si>
    <x:t xml:space="preserve">Checklist D-7</x:t>
  </x:si>
  <x:si>
    <x:t xml:space="preserve">Pendências críticas revisadas 7 dias antes</x:t>
  </x:si>
  <x:si>
    <x:t xml:space="preserve">Todos</x:t>
  </x:si>
  <x:si>
    <x:t xml:space="preserve">Checklist D-1</x:t>
  </x:si>
  <x:si>
    <x:t xml:space="preserve">Equipes, veículos, acessos, materiais e programação confirmados</x:t>
  </x:si>
  <x:si>
    <x:t xml:space="preserve">Liberação formal</x:t>
  </x:si>
  <x:si>
    <x:t xml:space="preserve">Go-Live autorizado e acompanhamento definido</x:t>
  </x:si>
  <x:si>
    <x:t xml:space="preserve">Pós Go-Live</x:t>
  </x:si>
  <x:si>
    <x:t xml:space="preserve">Operação assistida</x:t>
  </x:si>
  <x:si>
    <x:t xml:space="preserve">Rotina diária de produtividade, qualidade e pendências</x:t>
  </x:si>
  <x:si>
    <x:t xml:space="preserve">Específico Cobrança</x:t>
  </x:si>
  <x:si>
    <x:t xml:space="preserve">Polos e microrrotas</x:t>
  </x:si>
  <x:si>
    <x:t xml:space="preserve">Cobertura e rampa Single/Dupla validadas</x:t>
  </x:si>
  <x:si>
    <x:t xml:space="preserve">Rampa validada no cronograma: OUT 44 | NOV 44 | DEZ 57 | JAN 71 | FEV 88.</x:t>
  </x:si>
  <x:si>
    <x:t xml:space="preserve">Mix e regras de serviços</x:t>
  </x:si>
  <x:si>
    <x:t xml:space="preserve">Corte, religação, restabelecimento e demais fluxos definidos</x:t>
  </x:si>
  <x:si>
    <x:t xml:space="preserve">POS / máquinas de cartão</x:t>
  </x:si>
  <x:si>
    <x:t xml:space="preserve">Equipamentos, usuários, conectividade e conciliação testados</x:t>
  </x:si>
  <x:si>
    <x:t xml:space="preserve">Ferramentas por equipe</x:t>
  </x:si>
  <x:si>
    <x:t xml:space="preserve">Kits para serviços simples/pesados disponíveis</x:t>
  </x:si>
  <x:si>
    <x:t xml:space="preserve">Plano pré-corte/fiscalização</x:t>
  </x:si>
  <x:si>
    <x:t xml:space="preserve">Critérios e tratamento de situações de campo definidos</x:t>
  </x:si>
  <x:si>
    <x:t xml:space="preserve">CHECKLIST DE MOBILIZAÇÃO – HIDROMETRIA</x:t>
  </x:si>
  <x:si>
    <x:t xml:space="preserve">Documentação corporativa e dos colaboradores por lotes; análise Aqua de até 5 dias úteis.</x:t>
  </x:si>
  <x:si>
    <x:t xml:space="preserve">Fechamento dos lotes de recrutamento/documentação antes das integrações.</x:t>
  </x:si>
  <x:si>
    <x:t xml:space="preserve">Envio da documentação dos colaboradores por lotes.</x:t>
  </x:si>
  <x:si>
    <x:t xml:space="preserve">Prazo de planejamento considerando até 5 dias úteis de análise Aqua.</x:t>
  </x:si>
  <x:si>
    <x:t xml:space="preserve">Gestores: 19–20/10. Equipes: 21–23/10.</x:t>
  </x:si>
  <x:si>
    <x:t xml:space="preserve">Treinamento de sistemas previsto dentro da janela de preparação das equipes.</x:t>
  </x:si>
  <x:si>
    <x:t xml:space="preserve">Definições de materiais/insumos e responsabilidades em alinhamento com a Aqua.</x:t>
  </x:si>
  <x:si>
    <x:t xml:space="preserve">Fluxo de retirada, devolução, controle e rastreabilidade previsto para definição com a Aqua.</x:t>
  </x:si>
  <x:si>
    <x:t xml:space="preserve">Go-Live da Hidrometria previsto para 26/10/2026.</x:t>
  </x:si>
  <x:si>
    <x:t xml:space="preserve">Específico Hidrometria</x:t>
  </x:si>
  <x:si>
    <x:t xml:space="preserve">Plano de varreduras</x:t>
  </x:si>
  <x:si>
    <x:t xml:space="preserve">Regiões, ondas, prioridades e sequência das equipes móveis</x:t>
  </x:si>
  <x:si>
    <x:t xml:space="preserve">Operação definida por varreduras; regiões, ondas e prioridades ainda dependem do direcionamento operacional.</x:t>
  </x:si>
  <x:si>
    <x:t xml:space="preserve">Rampagem de capacidade</x:t>
  </x:si>
  <x:si>
    <x:t xml:space="preserve">Equipes conforme estoque, demanda e produtividade</x:t>
  </x:si>
  <x:si>
    <x:t xml:space="preserve">Cenário oficial: 13 mil HD no primeiro mês. Rampa OUT 33 | NOV 41 | DEZ 48 | JAN 56 | FEV 61 equipes.</x:t>
  </x:si>
  <x:si>
    <x:t xml:space="preserve">Estoque de hidrômetros</x:t>
  </x:si>
  <x:si>
    <x:t xml:space="preserve">Estoque inicial, reposição e abastecimento normal confirmados</x:t>
  </x:si>
  <x:si>
    <x:t xml:space="preserve">Estoque inicial informado: 13.000 hidrômetros, com tentativa de acréscimo de 7.000 (20.000 total).</x:t>
  </x:si>
  <x:si>
    <x:t xml:space="preserve">Ferramentas/equipamentos</x:t>
  </x:si>
  <x:si>
    <x:t xml:space="preserve">Kit de troca/instalação/aferição disponível e testado</x:t>
  </x:si>
  <x:si>
    <x:t xml:space="preserve">Ferramentas/equipamentos precisam estar disponíveis antes dos treinamentos e testes.</x:t>
  </x:si>
  <x:si>
    <x:t xml:space="preserve">Priorização e SLAs</x:t>
  </x:si>
  <x:si>
    <x:t xml:space="preserve">Preventivas, corretivas, danos/violações operacionalizados</x:t>
  </x:si>
  <x:si>
    <x:t xml:space="preserve">Teste físico ponta a ponta</x:t>
  </x:si>
  <x:si>
    <x:t xml:space="preserve">Instalação/substituição, lacre, evidência e baixa testados</x:t>
  </x:si>
  <x:si>
    <x:t xml:space="preserve">;</x:t>
  </x:si>
  <x:si>
    <x:t xml:space="preserve">Frente</x:t>
  </x:si>
  <x:si>
    <x:t xml:space="preserve">Polo / Região / Varredura</x:t>
  </x:si>
  <x:si>
    <x:t xml:space="preserve">Nome</x:t>
  </x:si>
  <x:si>
    <x:t xml:space="preserve">CPF / Matrícula</x:t>
  </x:si>
  <x:si>
    <x:t xml:space="preserve">Função</x:t>
  </x:si>
  <x:si>
    <x:t xml:space="preserve">Equipe</x:t>
  </x:si>
  <x:si>
    <x:t xml:space="preserve">ASO</x:t>
  </x:si>
  <x:si>
    <x:t xml:space="preserve">Docs RH</x:t>
  </x:si>
  <x:si>
    <x:t xml:space="preserve">Docs SSMA</x:t>
  </x:si>
  <x:si>
    <x:t xml:space="preserve">Fardamento</x:t>
  </x:si>
  <x:si>
    <x:t xml:space="preserve">EPI</x:t>
  </x:si>
  <x:si>
    <x:t xml:space="preserve">Cadastro Cliente</x:t>
  </x:si>
  <x:si>
    <x:t xml:space="preserve">Aprovação Cliente</x:t>
  </x:si>
  <x:si>
    <x:t xml:space="preserve">Integração</x:t>
  </x:si>
  <x:si>
    <x:t xml:space="preserve">Acesso Sistema</x:t>
  </x:si>
  <x:si>
    <x:t xml:space="preserve">Liberado Campo</x:t>
  </x:si>
  <x:si>
    <x:t xml:space="preserve">Hidrometria</x:t>
  </x:si>
  <x:si>
    <x:t xml:space="preserve">Recife</x:t>
  </x:si>
  <x:si>
    <x:t xml:space="preserve">AMOS ANTONIO DE SANTANA</x:t>
  </x:si>
  <x:si>
    <x:t xml:space="preserve">Operador Comercial A</x:t>
  </x:si>
  <x:si>
    <x:t xml:space="preserve">Pendente</x:t>
  </x:si>
  <x:si>
    <x:t xml:space="preserve">Em análise</x:t>
  </x:si>
  <x:si>
    <x:t xml:space="preserve">RAYMUNDO JORDÃO DA SILVA</x:t>
  </x:si>
  <x:si>
    <x:t xml:space="preserve">CAIO ISAAC SANTOS DO NASCIMENTO</x:t>
  </x:si>
  <x:si>
    <x:t xml:space="preserve">JOAQUIM ANDRÉ GOMES DE LIRA</x:t>
  </x:si>
  <x:si>
    <x:t xml:space="preserve">EVERTON GOMES DA SILVA</x:t>
  </x:si>
  <x:si>
    <x:t xml:space="preserve">JOZEMBERG ATANAZIO DE LIMA</x:t>
  </x:si>
  <x:si>
    <x:t xml:space="preserve">RENATO MARTINS DA SILVA</x:t>
  </x:si>
  <x:si>
    <x:t xml:space="preserve">LUCIANO MELO DE ANDRADE</x:t>
  </x:si>
  <x:si>
    <x:t xml:space="preserve">ROBERT FERREIRA DA SILVA</x:t>
  </x:si>
  <x:si>
    <x:t xml:space="preserve">LEONARDO CADETE DO NASCIMENTO</x:t>
  </x:si>
  <x:si>
    <x:t xml:space="preserve">ALEXSANDRO SILVA DE OLIVEIRA</x:t>
  </x:si>
  <x:si>
    <x:t xml:space="preserve">JEISON VITAL LUIZ DA SILVA</x:t>
  </x:si>
  <x:si>
    <x:t xml:space="preserve">CARLOS HENRIQUE DE SANTANA LIMA</x:t>
  </x:si>
  <x:si>
    <x:t xml:space="preserve">LUCAS MOREIRA</x:t>
  </x:si>
  <x:si>
    <x:t xml:space="preserve">HUGO LUIZ DOS SANTOS</x:t>
  </x:si>
  <x:si>
    <x:t xml:space="preserve">WALLASS WALTER DA SILVA DINIZ</x:t>
  </x:si>
  <x:si>
    <x:t xml:space="preserve">WERECKSON JOSE NUNES DA SILVA</x:t>
  </x:si>
  <x:si>
    <x:t xml:space="preserve">063.182.254-20</x:t>
  </x:si>
  <x:si>
    <x:t xml:space="preserve">Aprovado</x:t>
  </x:si>
  <x:si>
    <x:t xml:space="preserve">WALDIR NUNES DA SILVA</x:t>
  </x:si>
  <x:si>
    <x:t xml:space="preserve">047.853.184-22</x:t>
  </x:si>
  <x:si>
    <x:t xml:space="preserve">GILDO LUIS DA SILVA</x:t>
  </x:si>
  <x:si>
    <x:t xml:space="preserve">670.496.564-53</x:t>
  </x:si>
  <x:si>
    <x:t xml:space="preserve">JORGIVAL MIGNAC MENEZES</x:t>
  </x:si>
  <x:si>
    <x:t xml:space="preserve">013.540.184-43</x:t>
  </x:si>
  <x:si>
    <x:t xml:space="preserve">PAULO HENRIQUE ALVES DE MENDONCA</x:t>
  </x:si>
  <x:si>
    <x:t xml:space="preserve">857.499.824-91</x:t>
  </x:si>
  <x:si>
    <x:t xml:space="preserve">Cobrança</x:t>
  </x:si>
  <x:si>
    <x:t xml:space="preserve">CRISTIANO JOSE DE LUCENA</x:t>
  </x:si>
  <x:si>
    <x:t xml:space="preserve">834.846.204-04</x:t>
  </x:si>
  <x:si>
    <x:t xml:space="preserve">Operador Comercial B</x:t>
  </x:si>
  <x:si>
    <x:t xml:space="preserve">EDNA TORRES SANTOS</x:t>
  </x:si>
  <x:si>
    <x:t xml:space="preserve"> 707.048.304-00</x:t>
  </x:si>
  <x:si>
    <x:t xml:space="preserve">EDSON JOSE DA SILVA</x:t>
  </x:si>
  <x:si>
    <x:t xml:space="preserve">013.902.654-12</x:t>
  </x:si>
  <x:si>
    <x:t xml:space="preserve">EDUARDO GOMES</x:t>
  </x:si>
  <x:si>
    <x:t xml:space="preserve">864.962.204-68</x:t>
  </x:si>
  <x:si>
    <x:t xml:space="preserve">HERBERT DO SACRAMENTO</x:t>
  </x:si>
  <x:si>
    <x:t xml:space="preserve">058.133.024-25</x:t>
  </x:si>
  <x:si>
    <x:t xml:space="preserve">JOSE ANDERSON DA SILVA</x:t>
  </x:si>
  <x:si>
    <x:t xml:space="preserve">041.933.724-56</x:t>
  </x:si>
  <x:si>
    <x:t xml:space="preserve">Operador Comercial A I</x:t>
  </x:si>
  <x:si>
    <x:t xml:space="preserve">MAYCK DANTAS DOS SANTOS</x:t>
  </x:si>
  <x:si>
    <x:t xml:space="preserve">117.521.724-77</x:t>
  </x:si>
  <x:si>
    <x:t xml:space="preserve">ROBSON JOSE DA SILVA</x:t>
  </x:si>
  <x:si>
    <x:t xml:space="preserve">105.482.664-17</x:t>
  </x:si>
  <x:si>
    <x:t xml:space="preserve">Paulista</x:t>
  </x:si>
  <x:si>
    <x:t xml:space="preserve">CESAR HENRIQUE SANTANA DA SILVA</x:t>
  </x:si>
  <x:si>
    <x:t xml:space="preserve">090.458.684-74</x:t>
  </x:si>
  <x:si>
    <x:t xml:space="preserve">FABIANO DE LIMA SANTANA</x:t>
  </x:si>
  <x:si>
    <x:t xml:space="preserve">935.373.104-63</x:t>
  </x:si>
  <x:si>
    <x:t xml:space="preserve">GLEBSON RATIS S DE ARAUJO</x:t>
  </x:si>
  <x:si>
    <x:t xml:space="preserve">052.758.244-16</x:t>
  </x:si>
  <x:si>
    <x:t xml:space="preserve">IDOMACIO SEVERINO DE FRANCA</x:t>
  </x:si>
  <x:si>
    <x:t xml:space="preserve">771.891.404-68</x:t>
  </x:si>
  <x:si>
    <x:t xml:space="preserve">LAERCIO GALINDO DE ARAUJO</x:t>
  </x:si>
  <x:si>
    <x:t xml:space="preserve">002.303.694-05</x:t>
  </x:si>
  <x:si>
    <x:t xml:space="preserve">LUIZ CARLOS DE OLIVEIRA</x:t>
  </x:si>
  <x:si>
    <x:t xml:space="preserve">087.404.814-17</x:t>
  </x:si>
  <x:si>
    <x:t xml:space="preserve">PEDRO HENRIQUE DA SILVA SANTOS</x:t>
  </x:si>
  <x:si>
    <x:t xml:space="preserve">058.980.514-22</x:t>
  </x:si>
  <x:si>
    <x:t xml:space="preserve">RICARDO SOUZA DA SILVA</x:t>
  </x:si>
  <x:si>
    <x:t xml:space="preserve">464.221.614-68</x:t>
  </x:si>
  <x:si>
    <x:t xml:space="preserve">Jaboatão</x:t>
  </x:si>
  <x:si>
    <x:t xml:space="preserve">ERONILDE CORREIA DE AMORIM</x:t>
  </x:si>
  <x:si>
    <x:t xml:space="preserve">029.548.244-33</x:t>
  </x:si>
  <x:si>
    <x:t xml:space="preserve">MARCIO MIGUEL DA SILVA</x:t>
  </x:si>
  <x:si>
    <x:t xml:space="preserve">087.456.014-45</x:t>
  </x:si>
  <x:si>
    <x:t xml:space="preserve">RINALDO CIPRIANO DA SILVA</x:t>
  </x:si>
  <x:si>
    <x:t xml:space="preserve">027.403.074-89</x:t>
  </x:si>
  <x:si>
    <x:t xml:space="preserve">ROBERVALDO ANTONIO DA SILVA</x:t>
  </x:si>
  <x:si>
    <x:t xml:space="preserve">093.393.414-90</x:t>
  </x:si>
  <x:si>
    <x:t xml:space="preserve">ROGERIO LUIZ DA SILVA</x:t>
  </x:si>
  <x:si>
    <x:t xml:space="preserve">061.342.324-08</x:t>
  </x:si>
  <x:si>
    <x:t xml:space="preserve">SOCRATES  MARQUES FERREIRA PEREIRA</x:t>
  </x:si>
  <x:si>
    <x:t xml:space="preserve">041.529.374-08</x:t>
  </x:si>
  <x:si>
    <x:t xml:space="preserve">Operador Comercial A </x:t>
  </x:si>
  <x:si>
    <x:t xml:space="preserve">TIAGO JOSE DO NASCIMENTO </x:t>
  </x:si>
  <x:si>
    <x:t xml:space="preserve">043.154.784-07</x:t>
  </x:si>
  <x:si>
    <x:t xml:space="preserve">Serra Talhada</x:t>
  </x:si>
  <x:si>
    <x:t xml:space="preserve">MARCELO CONCEIÇÃO SANTO</x:t>
  </x:si>
  <x:si>
    <x:t xml:space="preserve">Petrolandia </x:t>
  </x:si>
  <x:si>
    <x:t xml:space="preserve">LENILDO SOUZA SILVA</x:t>
  </x:si>
  <x:si>
    <x:t xml:space="preserve">Afogados da Ingazeira</x:t>
  </x:si>
  <x:si>
    <x:t xml:space="preserve">ALEX TIMOTEO DA SILVA</x:t>
  </x:si>
  <x:si>
    <x:t xml:space="preserve">Escada</x:t>
  </x:si>
  <x:si>
    <x:t xml:space="preserve">DANILLO EVERTON DE OLIVEIRA</x:t>
  </x:si>
  <x:si>
    <x:t xml:space="preserve">JHONATA MICHEL DA SILVA FERREIRA</x:t>
  </x:si>
  <x:si>
    <x:t xml:space="preserve">N/A</x:t>
  </x:si>
  <x:si>
    <x:t xml:space="preserve">Vitória de Santo Antão</x:t>
  </x:si>
  <x:si>
    <x:t xml:space="preserve">HELOIZA REGINA PEREIRA DA SILVA</x:t>
  </x:si>
  <x:si>
    <x:t xml:space="preserve">Encarregado</x:t>
  </x:si>
  <x:si>
    <x:t xml:space="preserve">ROGERIO DE ANDRADE MESQUITA</x:t>
  </x:si>
  <x:si>
    <x:t xml:space="preserve">Caruaru</x:t>
  </x:si>
  <x:si>
    <x:t xml:space="preserve">ERIKA JULIANA PAULINO DO NASCIMENTO</x:t>
  </x:si>
  <x:si>
    <x:t xml:space="preserve">Acorverde</x:t>
  </x:si>
  <x:si>
    <x:t xml:space="preserve">JOSE IVO LOPES VENTURA</x:t>
  </x:si>
  <x:si>
    <x:t xml:space="preserve">JOSE WILLIAM DE SOUZA</x:t>
  </x:si>
  <x:si>
    <x:t xml:space="preserve">THIAGO TALES DE MELO LEITE </x:t>
  </x:si>
  <x:si>
    <x:t xml:space="preserve">RICHARLISON HIGOR FERREIRA DOS SANTOS</x:t>
  </x:si>
  <x:si>
    <x:t xml:space="preserve">ANTONIO JUSTINO BARBOSA FILHO</x:t>
  </x:si>
  <x:si>
    <x:t xml:space="preserve">CONTROLE – ESCRITÓRIOS, BASES E APOIOS</x:t>
  </x:si>
  <x:si>
    <x:t xml:space="preserve">Base / Escritório</x:t>
  </x:si>
  <x:si>
    <x:t xml:space="preserve">Tipo</x:t>
  </x:si>
  <x:si>
    <x:t xml:space="preserve">Endereço</x:t>
  </x:si>
  <x:si>
    <x:t xml:space="preserve">Imóvel</x:t>
  </x:si>
  <x:si>
    <x:t xml:space="preserve">Energia</x:t>
  </x:si>
  <x:si>
    <x:t xml:space="preserve">Internet</x:t>
  </x:si>
  <x:si>
    <x:t xml:space="preserve">Estoque</x:t>
  </x:si>
  <x:si>
    <x:t xml:space="preserve">Sinalização</x:t>
  </x:si>
  <x:si>
    <x:t xml:space="preserve">SSMA Base</x:t>
  </x:si>
  <x:si>
    <x:t xml:space="preserve">Data Pronta</x:t>
  </x:si>
  <x:si>
    <x:t xml:space="preserve">Status Geral</x:t>
  </x:si>
  <x:si>
    <x:t xml:space="preserve">Pendência</x:t>
  </x:si>
  <x:si>
    <x:t xml:space="preserve">Rua Prefeito Jorge Martins, nº 260 – Ilha do Retiro, Recife/PE</x:t>
  </x:si>
  <x:si>
    <x:t xml:space="preserve">Anna Michelle de Oliveira pimentel</x:t>
  </x:si>
  <x:si>
    <x:t xml:space="preserve">Antonio Carlos </x:t>
  </x:si>
  <x:si>
    <x:t xml:space="preserve">Leitura</x:t>
  </x:si>
  <x:si>
    <x:t xml:space="preserve">R. Afonso Celso  N 102 - São Francisco, Caruaru/PE</x:t>
  </x:si>
  <x:si>
    <x:t xml:space="preserve">JC</x:t>
  </x:si>
  <x:si>
    <x:t xml:space="preserve">Av. Afonso Magalhães N 32 - Nossa Sra. da Penha, Serra Talhada/PE</x:t>
  </x:si>
  <x:si>
    <x:t xml:space="preserve">Gravata</x:t>
  </x:si>
  <x:si>
    <x:t xml:space="preserve">R. Comendador Miguel Gastão Oliveira, 90 - Norte, Gravatá/PE</x:t>
  </x:si>
  <x:si>
    <x:t xml:space="preserve">Arcoverde</x:t>
  </x:si>
  <x:si>
    <x:t xml:space="preserve">Rua Afonso Celso 129 CASA 102- Térreo - São Francisco, Caruaru/PE</x:t>
  </x:si>
  <x:si>
    <x:t xml:space="preserve">PAINEL DE MOBILIZAÇÃO – LEITURA | COBRANÇA | HIDROMETRIA</x:t>
  </x:si>
  <x:si>
    <x:t xml:space="preserve">Total Itens</x:t>
  </x:si>
  <x:si>
    <x:t xml:space="preserve">Concluídos</x:t>
  </x:si>
  <x:si>
    <x:t xml:space="preserve">Como usar</x:t>
  </x:si>
  <x:si>
    <x:t xml:space="preserve">Atualize os checklists por frente; cadastre cada colaborador individualmente; cadastre cada escritório/base; use datas, Status e Prioridade para controlar atrasos e bloqueios. O Painel consolida o avanço geral da mobilização até o Go-Live.</x:t>
  </x:si>
  <x:si>
    <x:t xml:space="preserve">Indicador Pessoas</x:t>
  </x:si>
  <x:si>
    <x:t xml:space="preserve">Quantidade</x:t>
  </x:si>
  <x:si>
    <x:t xml:space="preserve">Colaboradores cadastrados</x:t>
  </x:si>
  <x:si>
    <x:t xml:space="preserve">Liberados para campo</x:t>
  </x:si>
  <x:si>
    <x:t xml:space="preserve">Pendentes aprovação cliente</x:t>
  </x:si>
  <x:si>
    <x:t xml:space="preserve">Bases cadastradas</x:t>
  </x:si>
  <x:si>
    <x:t xml:space="preserve">Situação</x:t>
  </x:si>
  <x:si>
    <x:t xml:space="preserve">Próximos passos reais</x:t>
  </x:si>
  <x:si>
    <x:t xml:space="preserve">Dependência principal</x:t>
  </x:si>
</x:sst>
</file>

<file path=xl/styles.xml><?xml version="1.0" encoding="utf-8"?>
<x:styleSheet xmlns:x="http://schemas.openxmlformats.org/spreadsheetml/2006/main">
  <x:numFmts count="2">
    <x:numFmt numFmtId="164" formatCode="0.0%"/>
    <x:numFmt numFmtId="200" formatCode="dd/mm/yyyy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3">
    <x:xf numFmtId="0" fontId="0" fillId="0" borderId="0" xfId="0"/>
    <x:xf numFmtId="0" fontId="2" fillId="3" borderId="0" xfId="0" applyFont="1" applyFill="1"/>
    <x:xf numFmtId="14" fontId="0" fillId="0" borderId="0" xfId="0" applyNumberFormat="1"/>
    <x:xf numFmtId="0" fontId="2" fillId="3" borderId="0" xfId="0" applyFont="1" applyFill="1" applyAlignment="1">
      <x:alignment wrapText="1"/>
    </x:xf>
    <x:xf numFmtId="0" fontId="0" fillId="0" borderId="0" xfId="0" applyAlignment="1">
      <x:alignment wrapText="1"/>
    </x:xf>
    <x:xf numFmtId="14" fontId="0" fillId="0" borderId="0" xfId="0" applyNumberFormat="1" applyAlignment="1">
      <x:alignment wrapText="1"/>
    </x:xf>
    <x:xf numFmtId="9" fontId="0" fillId="0" borderId="0" xfId="0" applyNumberFormat="1" applyAlignment="1">
      <x:alignment wrapText="1"/>
    </x:xf>
    <x:xf numFmtId="0" fontId="3" fillId="5" borderId="0" xfId="0" applyFont="1" applyFill="1" applyAlignment="1">
      <x:alignment horizontal="center" vertical="center" wrapText="1"/>
    </x:xf>
    <x:xf numFmtId="9" fontId="0" fillId="0" borderId="0" xfId="0" applyNumberFormat="1"/>
    <x:xf numFmtId="0" fontId="0" fillId="0" borderId="0" xfId="0" applyAlignment="1">
      <x:alignment vertical="center"/>
    </x:xf>
    <x:xf numFmtId="0" fontId="2" fillId="3" borderId="0" xfId="0" applyFont="1" applyFill="1" applyAlignment="1">
      <x:alignment vertical="center"/>
    </x:xf>
    <x:xf numFmtId="0" fontId="3" fillId="4" borderId="0" xfId="0" applyFont="1" applyFill="1" applyAlignment="1">
      <x:alignment vertical="center"/>
    </x:xf>
    <x:xf numFmtId="164" fontId="0" fillId="0" borderId="0" xfId="0" applyNumberFormat="1" applyAlignment="1">
      <x:alignment vertical="center"/>
    </x:xf>
    <x:xf numFmtId="0" fontId="0" fillId="0" borderId="0" xfId="0" applyAlignment="1">
      <x:alignment vertical="center" wrapText="1"/>
    </x:xf>
    <x:xf numFmtId="9" fontId="0" fillId="0" borderId="0" xfId="0" applyNumberFormat="1" applyAlignment="1">
      <x:alignment vertical="center"/>
    </x:xf>
    <x:xf numFmtId="0" fontId="1" fillId="2" borderId="0" xfId="0" applyFont="1" applyFill="1" applyAlignment="1">
      <x:alignment wrapText="1"/>
    </x:xf>
    <x:xf numFmtId="0" fontId="0" fillId="0" borderId="0" xfId="0" applyAlignment="1">
      <x:alignment wrapText="1"/>
    </x:xf>
    <x:xf numFmtId="0" fontId="1" fillId="2" borderId="0" xfId="0" applyFont="1" applyFill="1"/>
    <x:xf numFmtId="0" fontId="0" fillId="0" borderId="0" xfId="0"/>
    <x:xf numFmtId="0" fontId="1" fillId="2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3" fillId="4" borderId="0" xfId="0" applyFont="1" applyFill="1" applyAlignment="1">
      <x:alignment vertical="center"/>
    </x:xf>
    <x:xf numFmtId="0" fontId="0" fillId="0" borderId="0" xfId="0" applyAlignment="1">
      <x:alignment vertical="center"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14" fontId="0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14" fontId="0" fillId="0" borderId="1" xfId="0" applyNumberFormat="1" applyFont="1" applyFill="1" applyBorder="1" applyAlignment="1">
      <x:alignment wrapText="1"/>
    </x:xf>
    <x:xf numFmtId="9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9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164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9" fontId="0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164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/>
    <x:xf numFmtId="14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9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9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4"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1acebbc2404480" /><Relationship Type="http://schemas.openxmlformats.org/officeDocument/2006/relationships/theme" Target="/xl/theme/theme1.xml" Id="R03b9ef8b1ce84ed0" /><Relationship Type="http://schemas.openxmlformats.org/officeDocument/2006/relationships/sharedStrings" Target="/xl/sharedStrings.xml" Id="Rd9204e68dde441ae" /><Relationship Type="http://schemas.openxmlformats.org/officeDocument/2006/relationships/worksheet" Target="/xl/worksheets/sheet1.xml" Id="R0bc2fa4fb279419f" /><Relationship Type="http://schemas.openxmlformats.org/officeDocument/2006/relationships/worksheet" Target="/xl/worksheets/sheet2.xml" Id="R2bbe029709704718" /><Relationship Type="http://schemas.openxmlformats.org/officeDocument/2006/relationships/worksheet" Target="/xl/worksheets/sheet3.xml" Id="Rdbba3f3e5e7846cb" /><Relationship Type="http://schemas.openxmlformats.org/officeDocument/2006/relationships/worksheet" Target="/xl/worksheets/sheet4.xml" Id="Rd6021a3e85ab4b12" /><Relationship Type="http://schemas.openxmlformats.org/officeDocument/2006/relationships/worksheet" Target="/xl/worksheets/sheet5.xml" Id="Rdfc8db43dce34cc4" /><Relationship Type="http://schemas.openxmlformats.org/officeDocument/2006/relationships/worksheet" Target="/xl/worksheets/sheet6.xml" Id="Ra3e7ab48ed1c4f80" /></Relationships>
</file>

<file path=xl/tables/table1.xml><?xml version="1.0" encoding="utf-8"?>
<x:table xmlns:x="http://schemas.openxmlformats.org/spreadsheetml/2006/main" id="1" name="TblLeitura" displayName="TblLeitura" ref="A4:Q53" totalsRowShown="0">
  <x:tableColumns count="17">
    <x:tableColumn id="1" name="ID"/>
    <x:tableColumn id="2" name="Macroetapa"/>
    <x:tableColumn id="3" name="Item / Atividade"/>
    <x:tableColumn id="4" name="Critério de aceite"/>
    <x:tableColumn id="5" name="Responsável"/>
    <x:tableColumn id="6" name="Dependência"/>
    <x:tableColumn id="7" name="Prioridade"/>
    <x:tableColumn id="8" name="Status"/>
    <x:tableColumn id="9" name="Data Prevista"/>
    <x:tableColumn id="10" name="Data Conclusão"/>
    <x:tableColumn id="11" name="% Conclusão"/>
    <x:tableColumn id="12" name="Evidência / Link"/>
    <x:tableColumn id="13" name="Pendência / Ação"/>
    <x:tableColumn id="14" name="Prazo Pendência"/>
    <x:tableColumn id="15" name="Observação"/>
    <x:tableColumn id="16" name="Dias p/ Prazo"/>
    <x:tableColumn id="17" name="Alert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obranca" displayName="TblCobranca" ref="A4:Q53" totalsRowShown="0" dataDxfId="52">
  <x:tableColumns count="17">
    <x:tableColumn id="1" name="ID" dataDxfId="51"/>
    <x:tableColumn id="2" name="Macroetapa" dataDxfId="50"/>
    <x:tableColumn id="3" name="Item / Atividade" dataDxfId="49"/>
    <x:tableColumn id="4" name="Critério de aceite" dataDxfId="48"/>
    <x:tableColumn id="5" name="Responsável" dataDxfId="47"/>
    <x:tableColumn id="6" name="Dependência" dataDxfId="46"/>
    <x:tableColumn id="7" name="Prioridade" dataDxfId="45"/>
    <x:tableColumn id="8" name="Status" dataDxfId="44"/>
    <x:tableColumn id="9" name="Data Prevista" dataDxfId="43"/>
    <x:tableColumn id="10" name="Data Conclusão" dataDxfId="42"/>
    <x:tableColumn id="11" name="% Conclusão" dataDxfId="41"/>
    <x:tableColumn id="12" name="Evidência / Link" dataDxfId="40"/>
    <x:tableColumn id="13" name="Pendência / Ação" dataDxfId="39"/>
    <x:tableColumn id="14" name="Prazo Pendência" dataDxfId="38"/>
    <x:tableColumn id="15" name="Observação" dataDxfId="37"/>
    <x:tableColumn id="16" name="Dias p/ Prazo" dataDxfId="36"/>
    <x:tableColumn id="17" name="Alerta" dataDxfId="3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Hidrometria" displayName="TblHidrometria" ref="A4:Q54" totalsRowShown="0" dataDxfId="33">
  <x:autoFilter ref="A4:Q54"/>
  <x:tableColumns count="17">
    <x:tableColumn id="1" name="ID" dataDxfId="32"/>
    <x:tableColumn id="2" name="Macroetapa" dataDxfId="31"/>
    <x:tableColumn id="3" name="Item / Atividade" dataDxfId="30"/>
    <x:tableColumn id="4" name="Critério de aceite" dataDxfId="29"/>
    <x:tableColumn id="5" name="Responsável" dataDxfId="28"/>
    <x:tableColumn id="6" name="Dependência" dataDxfId="27"/>
    <x:tableColumn id="7" name="Prioridade" dataDxfId="26"/>
    <x:tableColumn id="8" name="Status" dataDxfId="25"/>
    <x:tableColumn id="9" name="Data Prevista" dataDxfId="24"/>
    <x:tableColumn id="10" name="Data Conclusão" dataDxfId="23"/>
    <x:tableColumn id="11" name="% Conclusão" dataDxfId="22"/>
    <x:tableColumn id="12" name="Evidência / Link" dataDxfId="21"/>
    <x:tableColumn id="13" name="Pendência / Ação" dataDxfId="20"/>
    <x:tableColumn id="14" name="Prazo Pendência" dataDxfId="19"/>
    <x:tableColumn id="15" name="Observação" dataDxfId="18"/>
    <x:tableColumn id="16" name="Dias p/ Prazo" dataDxfId="17"/>
    <x:tableColumn id="17" name="Alerta" dataDxfId="1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provacao" displayName="TblAprovacao" ref="A3:R303" totalsRowShown="0">
  <x:tableColumns count="18">
    <x:tableColumn id="1" name="Frente"/>
    <x:tableColumn id="2" name="Polo / Região / Varredura"/>
    <x:tableColumn id="3" name="Nome"/>
    <x:tableColumn id="4" name="CPF / Matrícula"/>
    <x:tableColumn id="5" name="Função"/>
    <x:tableColumn id="6" name="Equipe"/>
    <x:tableColumn id="7" name="Admissão"/>
    <x:tableColumn id="8" name="ASO"/>
    <x:tableColumn id="9" name="Docs RH"/>
    <x:tableColumn id="10" name="Docs SSMA"/>
    <x:tableColumn id="11" name="Fardamento"/>
    <x:tableColumn id="12" name="EPI"/>
    <x:tableColumn id="13" name="Cadastro Cliente"/>
    <x:tableColumn id="14" name="Aprovação Cliente"/>
    <x:tableColumn id="15" name="Integração"/>
    <x:tableColumn id="16" name="Treinamento"/>
    <x:tableColumn id="17" name="Acesso Sistema"/>
    <x:tableColumn id="18" name="Liberado Camp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Bases" displayName="TblBases" ref="A3:Q103" totalsRowShown="0">
  <x:tableColumns count="17">
    <x:tableColumn id="1" name="Frente"/>
    <x:tableColumn id="2" name="Base / Escritório"/>
    <x:tableColumn id="3" name="Tipo"/>
    <x:tableColumn id="4" name="Endereço"/>
    <x:tableColumn id="5" name="Responsável"/>
    <x:tableColumn id="6" name="Imóvel"/>
    <x:tableColumn id="7" name="Energia"/>
    <x:tableColumn id="8" name="Internet"/>
    <x:tableColumn id="9" name="Mobiliário"/>
    <x:tableColumn id="10" name="TI"/>
    <x:tableColumn id="11" name="Estoque"/>
    <x:tableColumn id="12" name="Sinalização"/>
    <x:tableColumn id="13" name="SSMA Base"/>
    <x:tableColumn id="14" name="Data Prevista"/>
    <x:tableColumn id="15" name="Data Pronta"/>
    <x:tableColumn id="16" name="Status Geral"/>
    <x:tableColumn id="17" name="Pend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04bb87bf14c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a9b61d9cb142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cfb515c957247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d1a37911564fe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b01105428054f4c" /></Relationships>
</file>

<file path=xl/worksheets/sheet1.xml><?xml version="1.0" encoding="utf-8"?>
<x:worksheet xmlns:x="http://schemas.openxmlformats.org/spreadsheetml/2006/main">
  <x:sheetFormatPr defaultColWidth="5.875" defaultRowHeight="13.149999618530273"/>
  <x:cols>
    <x:col min="1" max="1" width="2.875" style="4" customWidth="1"/>
    <x:col min="2" max="2" width="14.875" style="4" customWidth="1"/>
    <x:col min="3" max="3" width="29.625" style="4" customWidth="1"/>
    <x:col min="4" max="4" width="39.75" style="4" customWidth="1"/>
    <x:col min="5" max="5" width="14.25" style="4" customWidth="1"/>
    <x:col min="6" max="6" width="17.625" style="4" customWidth="1"/>
    <x:col min="7" max="7" width="6.125" style="4" customWidth="1"/>
    <x:col min="8" max="8" width="9.75" style="4" customWidth="1"/>
    <x:col min="9" max="9" width="9.875" style="4" customWidth="1"/>
    <x:col min="10" max="11" width="10.125" style="4" customWidth="1"/>
    <x:col min="12" max="12" width="7.875" style="4" customWidth="1"/>
    <x:col min="13" max="13" width="8.5" style="4" customWidth="1"/>
    <x:col min="14" max="14" width="10" style="4" customWidth="1"/>
    <x:col min="15" max="15" width="6.25" style="4" customWidth="1"/>
    <x:col min="16" max="16" width="5.75" style="4" customWidth="1"/>
    <x:col min="17" max="17" width="10" style="4" customWidth="1"/>
    <x:col min="18" max="16384" width="5.875" style="4" customWidth="0"/>
  </x:cols>
  <x:sheetData>
    <x:row r="1" ht="13.149999618530273" customHeight="1">
      <x:c r="A1" s="15" t="s">
        <x:v>0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  <x:c r="O1" s="16"/>
      <x:c r="P1" s="16"/>
      <x:c r="Q1" s="16"/>
    </x:row>
    <x:row r="2" ht="13.149999618530273" customHeight="1">
      <x:c r="A2" s="16" t="s">
        <x:v>1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</x:row>
    <x:row r="4" ht="13.149999618530273" customHeight="1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</x:row>
    <x:row r="5" ht="13.149999618530273" customHeight="1">
      <x:c r="A5" s="4">
        <x:v>1</x:v>
      </x:c>
      <x:c r="B5" s="4" t="s">
        <x:v>19</x:v>
      </x:c>
      <x:c r="C5" s="4" t="s">
        <x:v>20</x:v>
      </x:c>
      <x:c r="D5" s="4" t="s">
        <x:v>21</x:v>
      </x:c>
      <x:c r="E5" s="4" t="s">
        <x:v>22</x:v>
      </x:c>
      <x:c r="F5" s="4" t="s">
        <x:v>23</x:v>
      </x:c>
      <x:c r="G5" s="4" t="s">
        <x:v>24</x:v>
      </x:c>
      <x:c r="H5" s="4" t="s">
        <x:v>25</x:v>
      </x:c>
      <x:c r="I5" s="5">
        <x:v>46260</x:v>
      </x:c>
      <x:c r="J5" s="5">
        <x:v>46260</x:v>
      </x:c>
      <x:c r="K5" s="6">
        <x:v>1</x:v>
      </x:c>
      <x:c r="N5" s="5"/>
      <x:c r="O5" s="4" t="s">
        <x:v>26</x:v>
      </x:c>
      <x:c r="P5" s="4" t="n">
        <x:f t="shared" ref="P5:P36" ca="1" si="0">IF(I5="","",I5-TODAY())</x:f>
        <x:v>-21</x:v>
      </x:c>
      <x:c r="Q5" s="4" t="s">
        <x:v>27</x:v>
      </x:c>
    </x:row>
    <x:row r="6" ht="13.149999618530273" customHeight="1">
      <x:c r="A6" s="4">
        <x:v>2</x:v>
      </x:c>
      <x:c r="B6" s="4" t="s">
        <x:v>19</x:v>
      </x:c>
      <x:c r="C6" s="4" t="s">
        <x:v>28</x:v>
      </x:c>
      <x:c r="D6" s="4" t="s">
        <x:v>29</x:v>
      </x:c>
      <x:c r="E6" s="4" t="s">
        <x:v>22</x:v>
      </x:c>
      <x:c r="F6" s="4" t="s">
        <x:v>23</x:v>
      </x:c>
      <x:c r="G6" s="4" t="s">
        <x:v>30</x:v>
      </x:c>
      <x:c r="H6" s="4" t="s">
        <x:v>31</x:v>
      </x:c>
      <x:c r="I6" s="5">
        <x:v>46280</x:v>
      </x:c>
      <x:c r="J6" s="5"/>
      <x:c r="K6" s="6">
        <x:v>0</x:v>
      </x:c>
      <x:c r="N6" s="5"/>
      <x:c r="P6" s="4">
        <x:f t="shared" ca="1" si="0"/>
        <x:v>-1</x:v>
      </x:c>
      <x:c r="Q6" s="4" t="str">
        <x:f t="shared" ref="Q6:Q36" ca="1" si="1">IF(H6="Concluído","OK",IF(H6="Bloqueado","BLOQUEADO",IF(I6="","SEM DATA",IF(P6&lt;0,"ATRASADO",IF(P6&lt;=3,"ATENÇÃO","NO PRAZO")))))</x:f>
        <x:v>ATRASADO</x:v>
      </x:c>
    </x:row>
    <x:row r="7" ht="13.149999618530273" customHeight="1">
      <x:c r="A7" s="4">
        <x:v>3</x:v>
      </x:c>
      <x:c r="B7" s="4" t="s">
        <x:v>32</x:v>
      </x:c>
      <x:c r="C7" s="4" t="s">
        <x:v>33</x:v>
      </x:c>
      <x:c r="D7" s="4" t="s">
        <x:v>34</x:v>
      </x:c>
      <x:c r="E7" s="4" t="s">
        <x:v>35</x:v>
      </x:c>
      <x:c r="F7" s="4" t="s">
        <x:v>36</x:v>
      </x:c>
      <x:c r="G7" s="4" t="s">
        <x:v>24</x:v>
      </x:c>
      <x:c r="H7" s="4" t="s">
        <x:v>25</x:v>
      </x:c>
      <x:c r="I7" s="5">
        <x:v>46283</x:v>
      </x:c>
      <x:c r="J7" s="5">
        <x:v>46267</x:v>
      </x:c>
      <x:c r="K7" s="6">
        <x:v>1</x:v>
      </x:c>
      <x:c r="N7" s="5"/>
      <x:c r="O7" s="4" t="s">
        <x:v>37</x:v>
      </x:c>
      <x:c r="P7" s="4">
        <x:f t="shared" ca="1" si="0"/>
        <x:v>2</x:v>
      </x:c>
      <x:c r="Q7" s="4" t="str">
        <x:f t="shared" si="1"/>
        <x:v>OK</x:v>
      </x:c>
    </x:row>
    <x:row r="8" ht="13.149999618530273" customHeight="1">
      <x:c r="A8" s="4">
        <x:v>4</x:v>
      </x:c>
      <x:c r="B8" s="4" t="s">
        <x:v>32</x:v>
      </x:c>
      <x:c r="C8" s="4" t="s">
        <x:v>38</x:v>
      </x:c>
      <x:c r="D8" s="4" t="s">
        <x:v>39</x:v>
      </x:c>
      <x:c r="E8" s="4" t="s">
        <x:v>35</x:v>
      </x:c>
      <x:c r="F8" s="4" t="s">
        <x:v>40</x:v>
      </x:c>
      <x:c r="G8" s="4" t="s">
        <x:v>24</x:v>
      </x:c>
      <x:c r="H8" s="4" t="str">
        <x:v>Concluído</x:v>
      </x:c>
      <x:c r="I8" s="42" t="n">
        <x:v>46281</x:v>
      </x:c>
      <x:c r="J8" s="42" t="n">
        <x:v>46281</x:v>
      </x:c>
      <x:c r="K8" s="6" t="n">
        <x:v>1</x:v>
      </x:c>
      <x:c r="L8" t="str">
        <x:v>Matriz nominal de responsáveis definida</x:v>
      </x:c>
      <x:c r="M8"/>
      <x:c r="N8" s="5"/>
      <x:c r="O8" s="4" t="str">
        <x:v>JC (José Carlos) – Leitura | Matheus Candolo – Gestor do contrato | Leandro – Apoio geral | Aqua: Melanie/Meline – Leitura</x:v>
      </x:c>
      <x:c r="P8" s="4">
        <x:f t="shared" ca="1" si="0"/>
        <x:v>30</x:v>
      </x:c>
      <x:c r="Q8" s="4" t="str">
        <x:f t="shared" si="1"/>
        <x:v>OK</x:v>
      </x:c>
    </x:row>
    <x:row r="9" ht="13.149999618530273" customHeight="1">
      <x:c r="A9" s="4">
        <x:v>5</x:v>
      </x:c>
      <x:c r="B9" s="4" t="s">
        <x:v>32</x:v>
      </x:c>
      <x:c r="C9" s="4" t="s">
        <x:v>41</x:v>
      </x:c>
      <x:c r="D9" s="4" t="s">
        <x:v>42</x:v>
      </x:c>
      <x:c r="E9" s="4" t="s">
        <x:v>35</x:v>
      </x:c>
      <x:c r="F9" s="4" t="s">
        <x:v>43</x:v>
      </x:c>
      <x:c r="G9" s="4" t="s">
        <x:v>30</x:v>
      </x:c>
      <x:c r="H9" s="4" t="s">
        <x:v>25</x:v>
      </x:c>
      <x:c r="I9" s="5">
        <x:v>46311</x:v>
      </x:c>
      <x:c r="J9" s="5">
        <x:v>46267</x:v>
      </x:c>
      <x:c r="K9" s="6">
        <x:v>1</x:v>
      </x:c>
      <x:c r="N9" s="5"/>
      <x:c r="O9" s="4" t="s">
        <x:v>44</x:v>
      </x:c>
      <x:c r="P9" s="4">
        <x:f t="shared" ca="1" si="0"/>
        <x:v>30</x:v>
      </x:c>
      <x:c r="Q9" s="4" t="str">
        <x:f t="shared" si="1"/>
        <x:v>OK</x:v>
      </x:c>
    </x:row>
    <x:row r="10" ht="13.149999618530273" customHeight="1">
      <x:c r="A10" s="4">
        <x:v>6</x:v>
      </x:c>
      <x:c r="B10" s="4" t="s">
        <x:v>32</x:v>
      </x:c>
      <x:c r="C10" s="4" t="s">
        <x:v>45</x:v>
      </x:c>
      <x:c r="D10" s="4" t="s">
        <x:v>46</x:v>
      </x:c>
      <x:c r="E10" s="4" t="s">
        <x:v>35</x:v>
      </x:c>
      <x:c r="F10" s="4" t="s">
        <x:v>43</x:v>
      </x:c>
      <x:c r="G10" s="4" t="s">
        <x:v>24</x:v>
      </x:c>
      <x:c r="H10" s="4" t="s">
        <x:v>25</x:v>
      </x:c>
      <x:c r="I10" s="5">
        <x:v>46311</x:v>
      </x:c>
      <x:c r="J10" s="5">
        <x:v>46267</x:v>
      </x:c>
      <x:c r="K10" s="6">
        <x:v>1</x:v>
      </x:c>
      <x:c r="N10" s="5"/>
      <x:c r="O10" s="4" t="s">
        <x:v>47</x:v>
      </x:c>
      <x:c r="P10" s="4">
        <x:f t="shared" ca="1" si="0"/>
        <x:v>30</x:v>
      </x:c>
      <x:c r="Q10" s="4" t="str">
        <x:f t="shared" si="1"/>
        <x:v>OK</x:v>
      </x:c>
    </x:row>
    <x:row r="11" ht="13.149999618530273" customHeight="1">
      <x:c r="A11" s="4">
        <x:v>7</x:v>
      </x:c>
      <x:c r="B11" s="4" t="s">
        <x:v>32</x:v>
      </x:c>
      <x:c r="C11" s="4" t="s">
        <x:v>48</x:v>
      </x:c>
      <x:c r="D11" s="4" t="s">
        <x:v>49</x:v>
      </x:c>
      <x:c r="E11" s="4" t="s">
        <x:v>35</x:v>
      </x:c>
      <x:c r="F11" s="4" t="s">
        <x:v>50</x:v>
      </x:c>
      <x:c r="G11" s="4" t="s">
        <x:v>51</x:v>
      </x:c>
      <x:c r="H11" s="4" t="s">
        <x:v>25</x:v>
      </x:c>
      <x:c r="I11" s="5">
        <x:v>46311</x:v>
      </x:c>
      <x:c r="J11" s="5">
        <x:v>46267</x:v>
      </x:c>
      <x:c r="K11" s="6">
        <x:v>1</x:v>
      </x:c>
      <x:c r="N11" s="5"/>
      <x:c r="O11" s="4" t="s">
        <x:v>52</x:v>
      </x:c>
      <x:c r="P11" s="4">
        <x:f t="shared" ca="1" si="0"/>
        <x:v>30</x:v>
      </x:c>
      <x:c r="Q11" s="4" t="str">
        <x:f t="shared" si="1"/>
        <x:v>OK</x:v>
      </x:c>
    </x:row>
    <x:row r="12" ht="13.149999618530273" customHeight="1">
      <x:c r="A12" s="4">
        <x:v>8</x:v>
      </x:c>
      <x:c r="B12" s="4" t="s">
        <x:v>32</x:v>
      </x:c>
      <x:c r="C12" s="4" t="s">
        <x:v>53</x:v>
      </x:c>
      <x:c r="D12" s="4" t="s">
        <x:v>54</x:v>
      </x:c>
      <x:c r="E12" s="4" t="s">
        <x:v>35</x:v>
      </x:c>
      <x:c r="F12" s="4" t="s">
        <x:v>55</x:v>
      </x:c>
      <x:c r="G12" s="4" t="s">
        <x:v>30</x:v>
      </x:c>
      <x:c r="H12" s="4" t="s">
        <x:v>25</x:v>
      </x:c>
      <x:c r="I12" s="5">
        <x:v>46311</x:v>
      </x:c>
      <x:c r="J12" s="5">
        <x:v>46267</x:v>
      </x:c>
      <x:c r="K12" s="6">
        <x:v>1</x:v>
      </x:c>
      <x:c r="N12" s="5"/>
      <x:c r="O12" s="4" t="s">
        <x:v>56</x:v>
      </x:c>
      <x:c r="P12" s="4">
        <x:f t="shared" ca="1" si="0"/>
        <x:v>30</x:v>
      </x:c>
      <x:c r="Q12" s="4" t="str">
        <x:f t="shared" si="1"/>
        <x:v>OK</x:v>
      </x:c>
    </x:row>
    <x:row r="13" ht="13.149999618530273" customHeight="1">
      <x:c r="A13" s="4">
        <x:v>9</x:v>
      </x:c>
      <x:c r="B13" s="4" t="s">
        <x:v>32</x:v>
      </x:c>
      <x:c r="C13" s="4" t="s">
        <x:v>57</x:v>
      </x:c>
      <x:c r="D13" s="4" t="s">
        <x:v>58</x:v>
      </x:c>
      <x:c r="E13" s="4" t="s">
        <x:v>35</x:v>
      </x:c>
      <x:c r="F13" s="4" t="s">
        <x:v>59</x:v>
      </x:c>
      <x:c r="G13" s="4" t="s">
        <x:v>30</x:v>
      </x:c>
      <x:c r="H13" s="4" t="s">
        <x:v>25</x:v>
      </x:c>
      <x:c r="I13" s="5">
        <x:v>46311</x:v>
      </x:c>
      <x:c r="J13" s="5">
        <x:v>46267</x:v>
      </x:c>
      <x:c r="K13" s="6">
        <x:v>1</x:v>
      </x:c>
      <x:c r="N13" s="5"/>
      <x:c r="O13" s="4" t="s">
        <x:v>60</x:v>
      </x:c>
      <x:c r="P13" s="4">
        <x:f t="shared" ca="1" si="0"/>
        <x:v>30</x:v>
      </x:c>
      <x:c r="Q13" s="4" t="str">
        <x:f t="shared" si="1"/>
        <x:v>OK</x:v>
      </x:c>
    </x:row>
    <x:row r="14" ht="13.149999618530273" customHeight="1">
      <x:c r="A14" s="4">
        <x:v>10</x:v>
      </x:c>
      <x:c r="B14" s="4" t="s">
        <x:v>32</x:v>
      </x:c>
      <x:c r="C14" s="4" t="s">
        <x:v>61</x:v>
      </x:c>
      <x:c r="D14" s="4" t="s">
        <x:v>62</x:v>
      </x:c>
      <x:c r="E14" s="4" t="s">
        <x:v>35</x:v>
      </x:c>
      <x:c r="F14" s="4" t="s">
        <x:v>63</x:v>
      </x:c>
      <x:c r="G14" s="4" t="s">
        <x:v>51</x:v>
      </x:c>
      <x:c r="H14" s="4" t="s">
        <x:v>25</x:v>
      </x:c>
      <x:c r="I14" s="5">
        <x:v>46311</x:v>
      </x:c>
      <x:c r="J14" s="5">
        <x:v>46267</x:v>
      </x:c>
      <x:c r="K14" s="6">
        <x:v>1</x:v>
      </x:c>
      <x:c r="N14" s="5"/>
      <x:c r="O14" s="4" t="s">
        <x:v>64</x:v>
      </x:c>
      <x:c r="P14" s="4">
        <x:f t="shared" ca="1" si="0"/>
        <x:v>30</x:v>
      </x:c>
      <x:c r="Q14" s="4" t="str">
        <x:f t="shared" si="1"/>
        <x:v>OK</x:v>
      </x:c>
    </x:row>
    <x:row r="15" ht="13.149999618530273" customHeight="1">
      <x:c r="A15" s="4">
        <x:v>11</x:v>
      </x:c>
      <x:c r="B15" s="4" t="s">
        <x:v>65</x:v>
      </x:c>
      <x:c r="C15" s="4" t="s">
        <x:v>66</x:v>
      </x:c>
      <x:c r="D15" s="4" t="s">
        <x:v>67</x:v>
      </x:c>
      <x:c r="E15" s="4" t="s">
        <x:v>35</x:v>
      </x:c>
      <x:c r="F15" s="4" t="s">
        <x:v>23</x:v>
      </x:c>
      <x:c r="G15" s="4" t="s">
        <x:v>24</x:v>
      </x:c>
      <x:c r="H15" s="4" t="s">
        <x:v>25</x:v>
      </x:c>
      <x:c r="I15" s="5">
        <x:v>46276</x:v>
      </x:c>
      <x:c r="J15" s="5">
        <x:v>46267</x:v>
      </x:c>
      <x:c r="K15" s="6">
        <x:v>1</x:v>
      </x:c>
      <x:c r="N15" s="5"/>
      <x:c r="O15" s="4" t="s">
        <x:v>68</x:v>
      </x:c>
      <x:c r="P15" s="4">
        <x:f t="shared" ca="1" si="0"/>
        <x:v>-5</x:v>
      </x:c>
      <x:c r="Q15" s="4" t="str">
        <x:f t="shared" si="1"/>
        <x:v>OK</x:v>
      </x:c>
    </x:row>
    <x:row r="16" ht="13.149999618530273" customHeight="1">
      <x:c r="A16" s="4">
        <x:v>12</x:v>
      </x:c>
      <x:c r="B16" s="4" t="s">
        <x:v>65</x:v>
      </x:c>
      <x:c r="C16" s="4" t="s">
        <x:v>69</x:v>
      </x:c>
      <x:c r="D16" s="4" t="s">
        <x:v>70</x:v>
      </x:c>
      <x:c r="E16" s="4" t="s">
        <x:v>35</x:v>
      </x:c>
      <x:c r="F16" s="4" t="s">
        <x:v>23</x:v>
      </x:c>
      <x:c r="G16" s="4" t="s">
        <x:v>24</x:v>
      </x:c>
      <x:c r="H16" s="4" t="s">
        <x:v>31</x:v>
      </x:c>
      <x:c r="I16" s="5">
        <x:v>46304</x:v>
      </x:c>
      <x:c r="J16" s="5"/>
      <x:c r="K16" s="6">
        <x:v>0</x:v>
      </x:c>
      <x:c r="N16" s="5"/>
      <x:c r="P16" s="4">
        <x:f t="shared" ca="1" si="0"/>
        <x:v>23</x:v>
      </x:c>
      <x:c r="Q16" s="4" t="str">
        <x:f t="shared" ca="1" si="1"/>
        <x:v>NO PRAZO</x:v>
      </x:c>
    </x:row>
    <x:row r="17" ht="13.149999618530273" customHeight="1">
      <x:c r="A17" s="4">
        <x:v>13</x:v>
      </x:c>
      <x:c r="B17" s="4" t="s">
        <x:v>65</x:v>
      </x:c>
      <x:c r="C17" s="4" t="s">
        <x:v>71</x:v>
      </x:c>
      <x:c r="D17" s="4" t="s">
        <x:v>72</x:v>
      </x:c>
      <x:c r="E17" s="4" t="s">
        <x:v>35</x:v>
      </x:c>
      <x:c r="F17" s="4" t="s">
        <x:v>73</x:v>
      </x:c>
      <x:c r="G17" s="4" t="s">
        <x:v>24</x:v>
      </x:c>
      <x:c r="H17" s="4" t="s">
        <x:v>31</x:v>
      </x:c>
      <x:c r="I17" s="5">
        <x:v>46280</x:v>
      </x:c>
      <x:c r="J17" s="5"/>
      <x:c r="K17" s="6">
        <x:v>0</x:v>
      </x:c>
      <x:c r="N17" s="5"/>
      <x:c r="P17" s="4">
        <x:f t="shared" ca="1" si="0"/>
        <x:v>-1</x:v>
      </x:c>
      <x:c r="Q17" s="4" t="str">
        <x:f t="shared" ca="1" si="1"/>
        <x:v>ATRASADO</x:v>
      </x:c>
    </x:row>
    <x:row r="18" ht="13.149999618530273" customHeight="1">
      <x:c r="A18" s="4">
        <x:v>14</x:v>
      </x:c>
      <x:c r="B18" s="4" t="s">
        <x:v>74</x:v>
      </x:c>
      <x:c r="C18" s="4" t="s">
        <x:v>75</x:v>
      </x:c>
      <x:c r="D18" s="4" t="s">
        <x:v>76</x:v>
      </x:c>
      <x:c r="E18" s="4" t="s">
        <x:v>35</x:v>
      </x:c>
      <x:c r="F18" s="4" t="s">
        <x:v>23</x:v>
      </x:c>
      <x:c r="G18" s="4" t="s">
        <x:v>30</x:v>
      </x:c>
      <x:c r="H18" s="4" t="str">
        <x:v>Concluído</x:v>
      </x:c>
      <x:c r="I18" s="42" t="n">
        <x:v>46276</x:v>
      </x:c>
      <x:c r="J18" s="42" t="n">
        <x:v>46281</x:v>
      </x:c>
      <x:c r="K18" s="6" t="n">
        <x:v>1</x:v>
      </x:c>
      <x:c r="L18" t="str">
        <x:v>E-mail 16/09 | aplicação da marca Leitura aprovada pela Aqua</x:v>
      </x:c>
      <x:c r="M18"/>
      <x:c r="N18" s="5"/>
      <x:c r="O18" s="4" t="str">
        <x:v>Padrão recebido anteriormente; aplicação da marca aprovada pela Aqua em 16/09.</x:v>
      </x:c>
      <x:c r="P18" s="4">
        <x:f t="shared" ca="1" si="0"/>
        <x:v>-5</x:v>
      </x:c>
      <x:c r="Q18" s="4" t="str">
        <x:f t="shared" si="1"/>
        <x:v>OK</x:v>
      </x:c>
    </x:row>
    <x:row r="19" ht="13.149999618530273" customHeight="1">
      <x:c r="A19" s="4">
        <x:v>15</x:v>
      </x:c>
      <x:c r="B19" s="4" t="s">
        <x:v>74</x:v>
      </x:c>
      <x:c r="C19" s="4" t="s">
        <x:v>77</x:v>
      </x:c>
      <x:c r="D19" s="4" t="s">
        <x:v>78</x:v>
      </x:c>
      <x:c r="E19" s="4" t="s">
        <x:v>35</x:v>
      </x:c>
      <x:c r="F19" s="4" t="s">
        <x:v>43</x:v>
      </x:c>
      <x:c r="G19" s="4" t="s">
        <x:v>30</x:v>
      </x:c>
      <x:c r="H19" s="4" t="s">
        <x:v>79</x:v>
      </x:c>
      <x:c r="I19" s="5">
        <x:v>46311</x:v>
      </x:c>
      <x:c r="J19" s="5"/>
      <x:c r="K19" s="6">
        <x:v>0</x:v>
      </x:c>
      <x:c r="N19" s="5"/>
      <x:c r="O19" s="4" t="s">
        <x:v>80</x:v>
      </x:c>
      <x:c r="P19" s="4">
        <x:f t="shared" ca="1" si="0"/>
        <x:v>30</x:v>
      </x:c>
      <x:c r="Q19" s="4" t="str">
        <x:f t="shared" ca="1" si="1"/>
        <x:v>NO PRAZO</x:v>
      </x:c>
    </x:row>
    <x:row r="20" ht="13.149999618530273" customHeight="1">
      <x:c r="A20" s="4">
        <x:v>16</x:v>
      </x:c>
      <x:c r="B20" s="4" t="s">
        <x:v>74</x:v>
      </x:c>
      <x:c r="C20" s="4" t="s">
        <x:v>81</x:v>
      </x:c>
      <x:c r="D20" s="4" t="s">
        <x:v>82</x:v>
      </x:c>
      <x:c r="E20" s="4" t="s">
        <x:v>35</x:v>
      </x:c>
      <x:c r="F20" s="4" t="s">
        <x:v>83</x:v>
      </x:c>
      <x:c r="G20" s="4" t="s">
        <x:v>24</x:v>
      </x:c>
      <x:c r="H20" s="4" t="s">
        <x:v>31</x:v>
      </x:c>
      <x:c r="I20" s="5">
        <x:v>46311</x:v>
      </x:c>
      <x:c r="J20" s="5"/>
      <x:c r="K20" s="6">
        <x:v>0</x:v>
      </x:c>
      <x:c r="N20" s="5"/>
      <x:c r="P20" s="4">
        <x:f t="shared" ca="1" si="0"/>
        <x:v>30</x:v>
      </x:c>
      <x:c r="Q20" s="4" t="str">
        <x:f t="shared" ca="1" si="1"/>
        <x:v>NO PRAZO</x:v>
      </x:c>
    </x:row>
    <x:row r="21" ht="13.149999618530273" customHeight="1">
      <x:c r="A21" s="4">
        <x:v>17</x:v>
      </x:c>
      <x:c r="B21" s="4" t="s">
        <x:v>84</x:v>
      </x:c>
      <x:c r="C21" s="4" t="s">
        <x:v>85</x:v>
      </x:c>
      <x:c r="D21" s="4" t="s">
        <x:v>86</x:v>
      </x:c>
      <x:c r="E21" s="4" t="s">
        <x:v>35</x:v>
      </x:c>
      <x:c r="F21" s="4" t="s">
        <x:v>87</x:v>
      </x:c>
      <x:c r="G21" s="4" t="s">
        <x:v>24</x:v>
      </x:c>
      <x:c r="H21" s="4" t="s">
        <x:v>79</x:v>
      </x:c>
      <x:c r="I21" s="5">
        <x:v>46283</x:v>
      </x:c>
      <x:c r="J21" s="5"/>
      <x:c r="K21" s="6">
        <x:v>0</x:v>
      </x:c>
      <x:c r="N21" s="5"/>
      <x:c r="O21" s="4" t="s">
        <x:v>88</x:v>
      </x:c>
      <x:c r="P21" s="4">
        <x:f t="shared" ca="1" si="0"/>
        <x:v>2</x:v>
      </x:c>
      <x:c r="Q21" s="4" t="str">
        <x:f t="shared" ca="1" si="1"/>
        <x:v>ATENÇÃO</x:v>
      </x:c>
    </x:row>
    <x:row r="22" ht="13.149999618530273" customHeight="1">
      <x:c r="A22" s="4">
        <x:v>18</x:v>
      </x:c>
      <x:c r="B22" s="4" t="s">
        <x:v>84</x:v>
      </x:c>
      <x:c r="C22" s="4" t="s">
        <x:v>89</x:v>
      </x:c>
      <x:c r="D22" s="4" t="s">
        <x:v>90</x:v>
      </x:c>
      <x:c r="E22" s="4" t="s">
        <x:v>35</x:v>
      </x:c>
      <x:c r="F22" s="4" t="s">
        <x:v>91</x:v>
      </x:c>
      <x:c r="G22" s="4" t="s">
        <x:v>24</x:v>
      </x:c>
      <x:c r="H22" s="4" t="s">
        <x:v>31</x:v>
      </x:c>
      <x:c r="I22" s="5">
        <x:v>46311</x:v>
      </x:c>
      <x:c r="J22" s="5"/>
      <x:c r="K22" s="6">
        <x:v>0</x:v>
      </x:c>
      <x:c r="N22" s="5"/>
      <x:c r="O22" s="4" t="s">
        <x:v>92</x:v>
      </x:c>
      <x:c r="P22" s="4">
        <x:f t="shared" ca="1" si="0"/>
        <x:v>30</x:v>
      </x:c>
      <x:c r="Q22" s="4" t="str">
        <x:f t="shared" ca="1" si="1"/>
        <x:v>NO PRAZO</x:v>
      </x:c>
    </x:row>
    <x:row r="23" ht="13.149999618530273" customHeight="1">
      <x:c r="A23" s="4">
        <x:v>19</x:v>
      </x:c>
      <x:c r="B23" s="4" t="s">
        <x:v>84</x:v>
      </x:c>
      <x:c r="C23" s="4" t="s">
        <x:v>93</x:v>
      </x:c>
      <x:c r="D23" s="4" t="s">
        <x:v>94</x:v>
      </x:c>
      <x:c r="E23" s="4" t="s">
        <x:v>35</x:v>
      </x:c>
      <x:c r="F23" s="4" t="s">
        <x:v>23</x:v>
      </x:c>
      <x:c r="G23" s="4" t="s">
        <x:v>30</x:v>
      </x:c>
      <x:c r="H23" s="4" t="s">
        <x:v>31</x:v>
      </x:c>
      <x:c r="I23" s="5">
        <x:v>46276</x:v>
      </x:c>
      <x:c r="J23" s="5"/>
      <x:c r="K23" s="6">
        <x:v>0</x:v>
      </x:c>
      <x:c r="N23" s="5"/>
      <x:c r="P23" s="4">
        <x:f t="shared" ca="1" si="0"/>
        <x:v>-5</x:v>
      </x:c>
      <x:c r="Q23" s="4" t="str">
        <x:f t="shared" ca="1" si="1"/>
        <x:v>ATRASADO</x:v>
      </x:c>
    </x:row>
    <x:row r="24" ht="13.149999618530273" customHeight="1">
      <x:c r="A24" s="4">
        <x:v>20</x:v>
      </x:c>
      <x:c r="B24" s="4" t="s">
        <x:v>84</x:v>
      </x:c>
      <x:c r="C24" s="4" t="s">
        <x:v>95</x:v>
      </x:c>
      <x:c r="D24" s="4" t="s">
        <x:v>96</x:v>
      </x:c>
      <x:c r="E24" s="4" t="s">
        <x:v>35</x:v>
      </x:c>
      <x:c r="F24" s="4" t="s">
        <x:v>97</x:v>
      </x:c>
      <x:c r="G24" s="4" t="s">
        <x:v>30</x:v>
      </x:c>
      <x:c r="H24" s="4" t="s">
        <x:v>31</x:v>
      </x:c>
      <x:c r="I24" s="5">
        <x:v>46311</x:v>
      </x:c>
      <x:c r="J24" s="5"/>
      <x:c r="K24" s="6">
        <x:v>0</x:v>
      </x:c>
      <x:c r="N24" s="5"/>
      <x:c r="P24" s="4">
        <x:f t="shared" ca="1" si="0"/>
        <x:v>30</x:v>
      </x:c>
      <x:c r="Q24" s="4" t="str">
        <x:f t="shared" ca="1" si="1"/>
        <x:v>NO PRAZO</x:v>
      </x:c>
    </x:row>
    <x:row r="25" ht="13.149999618530273" customHeight="1">
      <x:c r="A25" s="4">
        <x:v>21</x:v>
      </x:c>
      <x:c r="B25" s="4" t="s">
        <x:v>98</x:v>
      </x:c>
      <x:c r="C25" s="4" t="s">
        <x:v>99</x:v>
      </x:c>
      <x:c r="D25" s="4" t="s">
        <x:v>100</x:v>
      </x:c>
      <x:c r="E25" s="4" t="s">
        <x:v>35</x:v>
      </x:c>
      <x:c r="F25" s="4" t="s">
        <x:v>101</x:v>
      </x:c>
      <x:c r="G25" s="4" t="s">
        <x:v>24</x:v>
      </x:c>
      <x:c r="H25" s="4" t="s">
        <x:v>25</x:v>
      </x:c>
      <x:c r="I25" s="5">
        <x:v>46280</x:v>
      </x:c>
      <x:c r="J25" s="5">
        <x:v>46267</x:v>
      </x:c>
      <x:c r="K25" s="6">
        <x:v>1</x:v>
      </x:c>
      <x:c r="L25" t="str">
        <x:v>E-mail 16/09 | relação de funcionários enviada à Aqua</x:v>
      </x:c>
      <x:c r="M25"/>
      <x:c r="N25" s="5"/>
      <x:c r="O25" s="4" t="str">
        <x:v>Relação de funcionários enviada à Aqua em 16/09, organizada por polos/regionais. Não representa envio da documentação individual.</x:v>
      </x:c>
      <x:c r="P25" s="4">
        <x:f t="shared" ca="1" si="0"/>
        <x:v>-1</x:v>
      </x:c>
      <x:c r="Q25" s="4" t="str">
        <x:f t="shared" si="1"/>
        <x:v>OK</x:v>
      </x:c>
    </x:row>
    <x:row r="26" ht="13.149999618530273" customHeight="1">
      <x:c r="A26" s="4">
        <x:v>22</x:v>
      </x:c>
      <x:c r="B26" s="4" t="s">
        <x:v>98</x:v>
      </x:c>
      <x:c r="C26" s="4" t="s">
        <x:v>102</x:v>
      </x:c>
      <x:c r="D26" s="4" t="s">
        <x:v>103</x:v>
      </x:c>
      <x:c r="E26" s="4" t="s">
        <x:v>35</x:v>
      </x:c>
      <x:c r="F26" s="4" t="s">
        <x:v>23</x:v>
      </x:c>
      <x:c r="G26" s="4" t="s">
        <x:v>24</x:v>
      </x:c>
      <x:c r="H26" s="4" t="s">
        <x:v>31</x:v>
      </x:c>
      <x:c r="I26" s="5">
        <x:v>46310</x:v>
      </x:c>
      <x:c r="J26" s="5"/>
      <x:c r="K26" s="6">
        <x:v>0</x:v>
      </x:c>
      <x:c r="M26" t="str">
        <x:v>Organizar e enviar documentação individual dos colaboradores</x:v>
      </x:c>
      <x:c r="N26" s="5"/>
      <x:c r="O26" s="4" t="str">
        <x:v>Relação nominal já enviada em 16/09; documentação individual ainda não comprovada.</x:v>
      </x:c>
      <x:c r="P26" s="4">
        <x:f t="shared" ca="1" si="0"/>
        <x:v>29</x:v>
      </x:c>
      <x:c r="Q26" s="4" t="str">
        <x:f t="shared" ca="1" si="1"/>
        <x:v>NO PRAZO</x:v>
      </x:c>
    </x:row>
    <x:row r="27" ht="13.149999618530273" customHeight="1">
      <x:c r="A27" s="4">
        <x:v>23</x:v>
      </x:c>
      <x:c r="B27" s="4" t="s">
        <x:v>98</x:v>
      </x:c>
      <x:c r="C27" s="4" t="s">
        <x:v>104</x:v>
      </x:c>
      <x:c r="D27" s="4" t="s">
        <x:v>105</x:v>
      </x:c>
      <x:c r="E27" s="4" t="s">
        <x:v>35</x:v>
      </x:c>
      <x:c r="F27" s="4" t="s">
        <x:v>23</x:v>
      </x:c>
      <x:c r="G27" s="4" t="s">
        <x:v>24</x:v>
      </x:c>
      <x:c r="H27" s="4" t="s">
        <x:v>31</x:v>
      </x:c>
      <x:c r="I27" s="5">
        <x:v>46311</x:v>
      </x:c>
      <x:c r="J27" s="5"/>
      <x:c r="K27" s="6">
        <x:v>0</x:v>
      </x:c>
      <x:c r="N27" s="5"/>
      <x:c r="O27" s="4" t="s">
        <x:v>106</x:v>
      </x:c>
      <x:c r="P27" s="4">
        <x:f t="shared" ca="1" si="0"/>
        <x:v>30</x:v>
      </x:c>
      <x:c r="Q27" s="4" t="str">
        <x:f t="shared" ca="1" si="1"/>
        <x:v>NO PRAZO</x:v>
      </x:c>
    </x:row>
    <x:row r="28" ht="13.149999618530273" customHeight="1">
      <x:c r="A28" s="4">
        <x:v>24</x:v>
      </x:c>
      <x:c r="B28" s="4" t="s">
        <x:v>98</x:v>
      </x:c>
      <x:c r="C28" s="4" t="s">
        <x:v>107</x:v>
      </x:c>
      <x:c r="D28" s="4" t="s">
        <x:v>108</x:v>
      </x:c>
      <x:c r="E28" s="4" t="s">
        <x:v>22</x:v>
      </x:c>
      <x:c r="F28" s="4" t="s">
        <x:v>109</x:v>
      </x:c>
      <x:c r="G28" s="4" t="s">
        <x:v>24</x:v>
      </x:c>
      <x:c r="H28" s="4" t="s">
        <x:v>31</x:v>
      </x:c>
      <x:c r="I28" s="5">
        <x:v>46311</x:v>
      </x:c>
      <x:c r="J28" s="5"/>
      <x:c r="K28" s="6">
        <x:v>0</x:v>
      </x:c>
      <x:c r="N28" s="5"/>
      <x:c r="O28" s="4" t="s">
        <x:v>110</x:v>
      </x:c>
      <x:c r="P28" s="4">
        <x:f t="shared" ca="1" si="0"/>
        <x:v>30</x:v>
      </x:c>
      <x:c r="Q28" s="4" t="str">
        <x:f t="shared" ca="1" si="1"/>
        <x:v>NO PRAZO</x:v>
      </x:c>
    </x:row>
    <x:row r="29" ht="13.149999618530273" customHeight="1">
      <x:c r="A29" s="4">
        <x:v>25</x:v>
      </x:c>
      <x:c r="B29" s="4" t="s">
        <x:v>111</x:v>
      </x:c>
      <x:c r="C29" s="4" t="s">
        <x:v>112</x:v>
      </x:c>
      <x:c r="D29" s="4" t="s">
        <x:v>113</x:v>
      </x:c>
      <x:c r="E29" s="4" t="s">
        <x:v>22</x:v>
      </x:c>
      <x:c r="F29" s="4" t="s">
        <x:v>23</x:v>
      </x:c>
      <x:c r="G29" s="4" t="s">
        <x:v>24</x:v>
      </x:c>
      <x:c r="H29" s="4" t="s">
        <x:v>31</x:v>
      </x:c>
      <x:c r="I29" s="5">
        <x:v>46297</x:v>
      </x:c>
      <x:c r="J29" s="5"/>
      <x:c r="K29" s="6">
        <x:v>0</x:v>
      </x:c>
      <x:c r="M29" s="4" t="s">
        <x:v>114</x:v>
      </x:c>
      <x:c r="N29" s="5"/>
      <x:c r="O29" s="4" t="s">
        <x:v>115</x:v>
      </x:c>
      <x:c r="P29" s="4">
        <x:f t="shared" ca="1" si="0"/>
        <x:v>16</x:v>
      </x:c>
      <x:c r="Q29" s="4" t="str">
        <x:f t="shared" ca="1" si="1"/>
        <x:v>NO PRAZO</x:v>
      </x:c>
    </x:row>
    <x:row r="30" ht="13.149999618530273" customHeight="1">
      <x:c r="A30" s="4">
        <x:v>26</x:v>
      </x:c>
      <x:c r="B30" s="4" t="s">
        <x:v>111</x:v>
      </x:c>
      <x:c r="C30" s="4" t="s">
        <x:v>116</x:v>
      </x:c>
      <x:c r="D30" s="4" t="s">
        <x:v>117</x:v>
      </x:c>
      <x:c r="E30" s="4" t="s">
        <x:v>22</x:v>
      </x:c>
      <x:c r="F30" s="4" t="s">
        <x:v>23</x:v>
      </x:c>
      <x:c r="G30" s="4" t="s">
        <x:v>24</x:v>
      </x:c>
      <x:c r="H30" s="4" t="s">
        <x:v>31</x:v>
      </x:c>
      <x:c r="I30" s="5">
        <x:v>46300</x:v>
      </x:c>
      <x:c r="J30" s="5"/>
      <x:c r="K30" s="6">
        <x:v>0</x:v>
      </x:c>
      <x:c r="M30" s="4" t="s">
        <x:v>114</x:v>
      </x:c>
      <x:c r="N30" s="5"/>
      <x:c r="O30" s="4" t="s">
        <x:v>118</x:v>
      </x:c>
      <x:c r="P30" s="4">
        <x:f t="shared" ca="1" si="0"/>
        <x:v>19</x:v>
      </x:c>
      <x:c r="Q30" s="4" t="str">
        <x:f t="shared" ca="1" si="1"/>
        <x:v>NO PRAZO</x:v>
      </x:c>
    </x:row>
    <x:row r="31" ht="13.149999618530273" customHeight="1">
      <x:c r="A31" s="4">
        <x:v>27</x:v>
      </x:c>
      <x:c r="B31" s="4" t="s">
        <x:v>119</x:v>
      </x:c>
      <x:c r="C31" s="4" t="s">
        <x:v>120</x:v>
      </x:c>
      <x:c r="D31" s="4" t="s">
        <x:v>121</x:v>
      </x:c>
      <x:c r="E31" s="4" t="s">
        <x:v>35</x:v>
      </x:c>
      <x:c r="F31" s="4" t="s">
        <x:v>122</x:v>
      </x:c>
      <x:c r="G31" s="4" t="s">
        <x:v>24</x:v>
      </x:c>
      <x:c r="H31" s="4" t="s">
        <x:v>31</x:v>
      </x:c>
      <x:c r="I31" s="5">
        <x:v>46318</x:v>
      </x:c>
      <x:c r="J31" s="5"/>
      <x:c r="K31" s="6">
        <x:v>0</x:v>
      </x:c>
      <x:c r="N31" s="5"/>
      <x:c r="P31" s="4">
        <x:f t="shared" ca="1" si="0"/>
        <x:v>37</x:v>
      </x:c>
      <x:c r="Q31" s="4" t="str">
        <x:f t="shared" ca="1" si="1"/>
        <x:v>NO PRAZO</x:v>
      </x:c>
    </x:row>
    <x:row r="32" ht="13.149999618530273" customHeight="1">
      <x:c r="A32" s="4">
        <x:v>28</x:v>
      </x:c>
      <x:c r="B32" s="4" t="s">
        <x:v>123</x:v>
      </x:c>
      <x:c r="C32" s="4" t="s">
        <x:v>124</x:v>
      </x:c>
      <x:c r="D32" s="4" t="s">
        <x:v>125</x:v>
      </x:c>
      <x:c r="E32" s="4" t="s">
        <x:v>35</x:v>
      </x:c>
      <x:c r="F32" s="4" t="s">
        <x:v>126</x:v>
      </x:c>
      <x:c r="G32" s="4" t="s">
        <x:v>24</x:v>
      </x:c>
      <x:c r="H32" s="4" t="s">
        <x:v>25</x:v>
      </x:c>
      <x:c r="I32" s="5">
        <x:v>46311</x:v>
      </x:c>
      <x:c r="J32" s="5">
        <x:v>46267</x:v>
      </x:c>
      <x:c r="K32" s="6">
        <x:v>1</x:v>
      </x:c>
      <x:c r="N32" s="5"/>
      <x:c r="O32" s="4" t="s">
        <x:v>127</x:v>
      </x:c>
      <x:c r="P32" s="4">
        <x:f t="shared" ca="1" si="0"/>
        <x:v>30</x:v>
      </x:c>
      <x:c r="Q32" s="4" t="str">
        <x:f t="shared" si="1"/>
        <x:v>OK</x:v>
      </x:c>
    </x:row>
    <x:row r="33" ht="13.149999618530273" customHeight="1">
      <x:c r="A33" s="4">
        <x:v>29</x:v>
      </x:c>
      <x:c r="B33" s="4" t="s">
        <x:v>123</x:v>
      </x:c>
      <x:c r="C33" s="4" t="s">
        <x:v>128</x:v>
      </x:c>
      <x:c r="D33" s="4" t="s">
        <x:v>129</x:v>
      </x:c>
      <x:c r="E33" s="4" t="s">
        <x:v>22</x:v>
      </x:c>
      <x:c r="F33" s="4" t="s">
        <x:v>23</x:v>
      </x:c>
      <x:c r="G33" s="4" t="s">
        <x:v>24</x:v>
      </x:c>
      <x:c r="H33" s="4" t="s">
        <x:v>31</x:v>
      </x:c>
      <x:c r="I33" s="5">
        <x:v>46318</x:v>
      </x:c>
      <x:c r="J33" s="5"/>
      <x:c r="K33" s="6">
        <x:v>0</x:v>
      </x:c>
      <x:c r="N33" s="5"/>
      <x:c r="P33" s="4">
        <x:f t="shared" ca="1" si="0"/>
        <x:v>37</x:v>
      </x:c>
      <x:c r="Q33" s="4" t="str">
        <x:f t="shared" ca="1" si="1"/>
        <x:v>NO PRAZO</x:v>
      </x:c>
    </x:row>
    <x:row r="34" ht="13.149999618530273" customHeight="1">
      <x:c r="A34" s="4">
        <x:v>30</x:v>
      </x:c>
      <x:c r="B34" s="4" t="s">
        <x:v>123</x:v>
      </x:c>
      <x:c r="C34" s="4" t="s">
        <x:v>130</x:v>
      </x:c>
      <x:c r="D34" s="4" t="s">
        <x:v>131</x:v>
      </x:c>
      <x:c r="E34" s="4" t="s">
        <x:v>35</x:v>
      </x:c>
      <x:c r="F34" s="4" t="s">
        <x:v>23</x:v>
      </x:c>
      <x:c r="G34" s="4" t="s">
        <x:v>24</x:v>
      </x:c>
      <x:c r="H34" s="4" t="s">
        <x:v>25</x:v>
      </x:c>
      <x:c r="I34" s="5">
        <x:v>46276</x:v>
      </x:c>
      <x:c r="J34" s="5">
        <x:v>46276</x:v>
      </x:c>
      <x:c r="K34" s="6">
        <x:v>1</x:v>
      </x:c>
      <x:c r="L34" s="4" t="s">
        <x:v>132</x:v>
      </x:c>
      <x:c r="N34" s="5"/>
      <x:c r="O34" s="4" t="s">
        <x:v>133</x:v>
      </x:c>
      <x:c r="P34" s="4">
        <x:f t="shared" ca="1" si="0"/>
        <x:v>-5</x:v>
      </x:c>
      <x:c r="Q34" s="4" t="str">
        <x:f t="shared" si="1"/>
        <x:v>OK</x:v>
      </x:c>
    </x:row>
    <x:row r="35" ht="13.149999618530273" customHeight="1">
      <x:c r="A35" s="4">
        <x:v>31</x:v>
      </x:c>
      <x:c r="B35" s="4" t="s">
        <x:v>123</x:v>
      </x:c>
      <x:c r="C35" s="4" t="s">
        <x:v>134</x:v>
      </x:c>
      <x:c r="D35" s="4" t="s">
        <x:v>135</x:v>
      </x:c>
      <x:c r="E35" s="4" t="s">
        <x:v>35</x:v>
      </x:c>
      <x:c r="F35" s="4" t="s">
        <x:v>136</x:v>
      </x:c>
      <x:c r="G35" s="4" t="s">
        <x:v>24</x:v>
      </x:c>
      <x:c r="H35" s="4" t="s">
        <x:v>79</x:v>
      </x:c>
      <x:c r="I35" s="5">
        <x:v>46297</x:v>
      </x:c>
      <x:c r="J35" s="5"/>
      <x:c r="K35" s="6">
        <x:v>0</x:v>
      </x:c>
      <x:c r="L35" t="str">
        <x:v>E-mail 16/09 | cotação das bobinas recebida</x:v>
      </x:c>
      <x:c r="M35" s="4" t="str">
        <x:v>Aprovar orçamento, seguir com compra e posteriormente testar impressão</x:v>
      </x:c>
      <x:c r="N35" s="5"/>
      <x:c r="O35" s="4" t="str">
        <x:v>Cotação recebida do fornecedor e encaminhada para aprovações internas. Compra, recebimento das bobinas e teste ainda não comprovados.</x:v>
      </x:c>
      <x:c r="P35" s="4">
        <x:f t="shared" ca="1" si="0"/>
        <x:v>16</x:v>
      </x:c>
      <x:c r="Q35" s="4" t="str">
        <x:f t="shared" ca="1" si="1"/>
        <x:v>NO PRAZO</x:v>
      </x:c>
    </x:row>
    <x:row r="36" ht="13.149999618530273" customHeight="1">
      <x:c r="A36" s="4">
        <x:v>32</x:v>
      </x:c>
      <x:c r="B36" s="4" t="s">
        <x:v>111</x:v>
      </x:c>
      <x:c r="C36" s="4" t="s">
        <x:v>137</x:v>
      </x:c>
      <x:c r="D36" s="4" t="s">
        <x:v>138</x:v>
      </x:c>
      <x:c r="E36" s="4" t="s">
        <x:v>22</x:v>
      </x:c>
      <x:c r="F36" s="4" t="s">
        <x:v>23</x:v>
      </x:c>
      <x:c r="G36" s="4" t="s">
        <x:v>24</x:v>
      </x:c>
      <x:c r="H36" s="4" t="s">
        <x:v>31</x:v>
      </x:c>
      <x:c r="I36" s="5">
        <x:v>46301</x:v>
      </x:c>
      <x:c r="J36" s="5"/>
      <x:c r="K36" s="6">
        <x:v>0</x:v>
      </x:c>
      <x:c r="M36" s="4" t="s">
        <x:v>114</x:v>
      </x:c>
      <x:c r="N36" s="5"/>
      <x:c r="O36" s="4" t="s">
        <x:v>139</x:v>
      </x:c>
      <x:c r="P36" s="4">
        <x:f t="shared" ca="1" si="0"/>
        <x:v>20</x:v>
      </x:c>
      <x:c r="Q36" s="4" t="str">
        <x:f t="shared" ca="1" si="1"/>
        <x:v>NO PRAZO</x:v>
      </x:c>
    </x:row>
    <x:row r="37" ht="13.149999618530273" customHeight="1">
      <x:c r="A37" s="4">
        <x:v>33</x:v>
      </x:c>
      <x:c r="B37" s="4" t="s">
        <x:v>140</x:v>
      </x:c>
      <x:c r="C37" s="4" t="s">
        <x:v>141</x:v>
      </x:c>
      <x:c r="D37" s="4" t="s">
        <x:v>142</x:v>
      </x:c>
      <x:c r="E37" s="4" t="s">
        <x:v>22</x:v>
      </x:c>
      <x:c r="F37" s="4" t="s">
        <x:v>122</x:v>
      </x:c>
      <x:c r="G37" s="4" t="s">
        <x:v>24</x:v>
      </x:c>
      <x:c r="H37" s="4" t="s">
        <x:v>31</x:v>
      </x:c>
      <x:c r="I37" s="5">
        <x:v>46302</x:v>
      </x:c>
      <x:c r="J37" s="5"/>
      <x:c r="K37" s="6">
        <x:v>0</x:v>
      </x:c>
      <x:c r="M37" s="4" t="s">
        <x:v>143</x:v>
      </x:c>
      <x:c r="N37" s="5"/>
      <x:c r="O37" s="4" t="s">
        <x:v>144</x:v>
      </x:c>
      <x:c r="P37" s="4" t="n">
        <x:f t="shared" ref="P37:P53" ca="1" si="2">IF(I37="","",I37-TODAY())</x:f>
        <x:v>21</x:v>
      </x:c>
      <x:c r="Q37" s="4" t="str">
        <x:f t="shared" ref="Q37:Q53" ca="1" si="3">IF(H37="Concluído","OK",IF(H37="Bloqueado","BLOQUEADO",IF(I37="","SEM DATA",IF(P37&lt;0,"ATRASADO",IF(P37&lt;=3,"ATENÇÃO","NO PRAZO")))))</x:f>
        <x:v>NO PRAZO</x:v>
      </x:c>
    </x:row>
    <x:row r="38" ht="13.149999618530273" customHeight="1">
      <x:c r="I38" s="5"/>
      <x:c r="J38" s="5"/>
      <x:c r="K38" s="6"/>
      <x:c r="N38" s="5"/>
      <x:c r="P38" s="4" t="str">
        <x:f t="shared" ca="1" si="2"/>
      </x:c>
      <x:c r="Q38" s="4" t="str">
        <x:f t="shared" si="3"/>
        <x:v>SEM DATA</x:v>
      </x:c>
    </x:row>
    <x:row r="39" ht="13.149999618530273" customHeight="1">
      <x:c r="I39" s="5"/>
      <x:c r="J39" s="5"/>
      <x:c r="K39" s="6"/>
      <x:c r="N39" s="5"/>
      <x:c r="P39" s="4" t="str">
        <x:f t="shared" ca="1" si="2"/>
      </x:c>
      <x:c r="Q39" s="4" t="str">
        <x:f t="shared" si="3"/>
        <x:v>SEM DATA</x:v>
      </x:c>
    </x:row>
    <x:row r="40" ht="13.149999618530273" customHeight="1">
      <x:c r="I40" s="5"/>
      <x:c r="J40" s="5"/>
      <x:c r="K40" s="6"/>
      <x:c r="N40" s="5"/>
      <x:c r="P40" s="4" t="str">
        <x:f t="shared" ca="1" si="2"/>
      </x:c>
      <x:c r="Q40" s="4" t="str">
        <x:f t="shared" si="3"/>
        <x:v>SEM DATA</x:v>
      </x:c>
    </x:row>
    <x:row r="41" ht="13.149999618530273" customHeight="1">
      <x:c r="I41" s="5"/>
      <x:c r="J41" s="5"/>
      <x:c r="K41" s="6"/>
      <x:c r="N41" s="5"/>
      <x:c r="P41" s="4" t="str">
        <x:f t="shared" ca="1" si="2"/>
      </x:c>
      <x:c r="Q41" s="4" t="str">
        <x:f t="shared" si="3"/>
        <x:v>SEM DATA</x:v>
      </x:c>
    </x:row>
    <x:row r="42" ht="13.149999618530273" customHeight="1">
      <x:c r="I42" s="5"/>
      <x:c r="J42" s="5"/>
      <x:c r="K42" s="6"/>
      <x:c r="N42" s="5"/>
      <x:c r="P42" s="4" t="str">
        <x:f t="shared" ca="1" si="2"/>
      </x:c>
      <x:c r="Q42" s="4" t="str">
        <x:f t="shared" si="3"/>
        <x:v>SEM DATA</x:v>
      </x:c>
    </x:row>
    <x:row r="43" ht="13.149999618530273" customHeight="1">
      <x:c r="I43" s="5"/>
      <x:c r="J43" s="5"/>
      <x:c r="K43" s="6"/>
      <x:c r="N43" s="5"/>
      <x:c r="P43" s="4" t="str">
        <x:f t="shared" ca="1" si="2"/>
      </x:c>
      <x:c r="Q43" s="4" t="str">
        <x:f t="shared" si="3"/>
        <x:v>SEM DATA</x:v>
      </x:c>
    </x:row>
    <x:row r="44" ht="13.149999618530273" customHeight="1">
      <x:c r="I44" s="5"/>
      <x:c r="J44" s="5"/>
      <x:c r="K44" s="6"/>
      <x:c r="N44" s="5"/>
      <x:c r="P44" s="4" t="str">
        <x:f t="shared" ca="1" si="2"/>
      </x:c>
      <x:c r="Q44" s="4" t="str">
        <x:f t="shared" si="3"/>
        <x:v>SEM DATA</x:v>
      </x:c>
    </x:row>
    <x:row r="45" ht="13.149999618530273" customHeight="1">
      <x:c r="I45" s="5"/>
      <x:c r="J45" s="5"/>
      <x:c r="K45" s="6"/>
      <x:c r="N45" s="5"/>
      <x:c r="P45" s="4" t="str">
        <x:f t="shared" ca="1" si="2"/>
      </x:c>
      <x:c r="Q45" s="4" t="str">
        <x:f t="shared" si="3"/>
        <x:v>SEM DATA</x:v>
      </x:c>
    </x:row>
    <x:row r="46" ht="13.149999618530273" customHeight="1">
      <x:c r="I46" s="5"/>
      <x:c r="J46" s="5"/>
      <x:c r="K46" s="6"/>
      <x:c r="N46" s="5"/>
      <x:c r="P46" s="4" t="str">
        <x:f t="shared" ca="1" si="2"/>
      </x:c>
      <x:c r="Q46" s="4" t="str">
        <x:f t="shared" si="3"/>
        <x:v>SEM DATA</x:v>
      </x:c>
    </x:row>
    <x:row r="47" ht="13.149999618530273" customHeight="1">
      <x:c r="I47" s="5"/>
      <x:c r="J47" s="5"/>
      <x:c r="K47" s="6"/>
      <x:c r="N47" s="5"/>
      <x:c r="O47"/>
      <x:c r="P47" s="4" t="str">
        <x:f t="shared" ca="1" si="2"/>
      </x:c>
      <x:c r="Q47" s="4" t="str">
        <x:f t="shared" si="3"/>
        <x:v>SEM DATA</x:v>
      </x:c>
    </x:row>
    <x:row r="48" ht="13.149999618530273" customHeight="1">
      <x:c r="I48" s="5"/>
      <x:c r="J48" s="5"/>
      <x:c r="K48" s="6"/>
      <x:c r="N48" s="5"/>
      <x:c r="P48" s="4" t="str">
        <x:f t="shared" ca="1" si="2"/>
      </x:c>
      <x:c r="Q48" s="4" t="str">
        <x:f t="shared" si="3"/>
        <x:v>SEM DATA</x:v>
      </x:c>
    </x:row>
    <x:row r="49" ht="13.149999618530273" customHeight="1">
      <x:c r="I49" s="5"/>
      <x:c r="J49" s="5"/>
      <x:c r="K49" s="6"/>
      <x:c r="N49" s="5"/>
      <x:c r="O49"/>
      <x:c r="P49" s="4" t="str">
        <x:f t="shared" ca="1" si="2"/>
      </x:c>
      <x:c r="Q49" s="4" t="str">
        <x:f t="shared" si="3"/>
        <x:v>SEM DATA</x:v>
      </x:c>
    </x:row>
    <x:row r="50" ht="13.149999618530273" customHeight="1">
      <x:c r="I50" s="5"/>
      <x:c r="J50" s="5"/>
      <x:c r="K50" s="6"/>
      <x:c r="N50" s="5"/>
      <x:c r="P50" s="4" t="str">
        <x:f t="shared" ca="1" si="2"/>
      </x:c>
      <x:c r="Q50" s="4" t="str">
        <x:f t="shared" si="3"/>
        <x:v>SEM DATA</x:v>
      </x:c>
    </x:row>
    <x:row r="51" ht="13.149999618530273" customHeight="1">
      <x:c r="I51" s="5"/>
      <x:c r="J51" s="5"/>
      <x:c r="K51" s="6"/>
      <x:c r="N51" s="5"/>
      <x:c r="O51"/>
      <x:c r="P51" s="4" t="str">
        <x:f t="shared" ca="1" si="2"/>
      </x:c>
      <x:c r="Q51" s="4" t="str">
        <x:f t="shared" si="3"/>
        <x:v>SEM DATA</x:v>
      </x:c>
    </x:row>
    <x:row r="52" ht="13.149999618530273" customHeight="1">
      <x:c r="I52" s="5"/>
      <x:c r="J52" s="5"/>
      <x:c r="K52" s="6"/>
      <x:c r="N52" s="5"/>
      <x:c r="O52"/>
      <x:c r="P52" s="4" t="str">
        <x:f t="shared" ca="1" si="2"/>
      </x:c>
      <x:c r="Q52" s="4" t="str">
        <x:f t="shared" si="3"/>
        <x:v>SEM DATA</x:v>
      </x:c>
    </x:row>
    <x:row r="53" ht="13.149999618530273" customHeight="1">
      <x:c r="I53" s="5"/>
      <x:c r="J53" s="5"/>
      <x:c r="K53" s="6"/>
      <x:c r="N53" s="5"/>
      <x:c r="P53" s="4" t="str">
        <x:f t="shared" ca="1" si="2"/>
      </x:c>
      <x:c r="Q53" s="4" t="str">
        <x:f t="shared" si="3"/>
        <x:v>SEM DATA</x:v>
      </x:c>
    </x:row>
    <x:row r="54" ht="13.149999618530273" customHeight="1">
      <x:c r="I54" s="5"/>
      <x:c r="J54" s="5"/>
      <x:c r="K54" s="6"/>
      <x:c r="N54" s="5"/>
    </x:row>
    <x:row r="55" ht="13.149999618530273" customHeight="1">
      <x:c r="I55" s="5"/>
      <x:c r="J55" s="5"/>
      <x:c r="K55" s="6"/>
      <x:c r="N55" s="5"/>
    </x:row>
    <x:row r="56" ht="13.149999618530273" customHeight="1">
      <x:c r="I56" s="5"/>
      <x:c r="J56" s="5"/>
      <x:c r="K56" s="6"/>
      <x:c r="N56" s="5"/>
    </x:row>
    <x:row r="57" ht="13.149999618530273" customHeight="1">
      <x:c r="I57" s="5"/>
      <x:c r="J57" s="5"/>
      <x:c r="K57" s="6"/>
      <x:c r="N57" s="5"/>
    </x:row>
  </x:sheetData>
  <x:mergeCells>
    <x:mergeCell ref="A1:Q1"/>
    <x:mergeCell ref="A2:Q2"/>
  </x:mergeCells>
  <x:conditionalFormatting sqref="H5:H53">
    <x:cfRule type="expression" dxfId="15" priority="1">
      <x:formula>H5="Concluído"</x:formula>
    </x:cfRule>
    <x:cfRule type="expression" dxfId="14" priority="2">
      <x:formula>H5="Bloqueado"</x:formula>
    </x:cfRule>
  </x:conditionalFormatting>
  <x:conditionalFormatting sqref="Q5:Q53">
    <x:cfRule type="expression" dxfId="13" priority="3">
      <x:formula>Q5="ATRASADO"</x:formula>
    </x:cfRule>
    <x:cfRule type="expression" dxfId="12" priority="4">
      <x:formula>Q5="ATENÇÃO"</x:formula>
    </x:cfRule>
    <x:cfRule type="expression" dxfId="11" priority="5">
      <x:formula>Q5="OK"</x:formula>
    </x:cfRule>
  </x:conditionalFormatting>
  <x:dataValidations count="4">
    <x:dataValidation type="list" sqref="G5:G53">
      <x:formula1>"Crítica,Alta,Média,Baixa"</x:formula1>
    </x:dataValidation>
    <x:dataValidation type="list" sqref="H5:H53">
      <x:formula1>"Não iniciado,Em andamento,Pendente Aqua/Cliente,Bloqueado,Concluído,N/A"</x:formula1>
    </x:dataValidation>
    <x:dataValidation type="list" sqref="H5:H54">
      <x:formula1>"Não iniciado,Em andamento,Concluído,Bloqueado"</x:formula1>
    </x:dataValidation>
    <x:dataValidation type="list" sqref="H5:H57">
      <x:formula1>"Não iniciado,Em andamento,Concluído,Aguardando Aqua"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e04bb87bf14ccf"/>
  </x:tableParts>
</x:worksheet>
</file>

<file path=xl/worksheets/sheet2.xml><?xml version="1.0" encoding="utf-8"?>
<x:worksheet xmlns:x="http://schemas.openxmlformats.org/spreadsheetml/2006/main">
  <x:sheetFormatPr defaultColWidth="8.75" defaultRowHeight="14.25"/>
  <x:cols>
    <x:col min="1" max="1" width="2.875" customWidth="1"/>
    <x:col min="2" max="2" width="17.75" customWidth="1"/>
    <x:col min="3" max="3" width="32" customWidth="1"/>
    <x:col min="4" max="4" width="39.875" customWidth="1"/>
    <x:col min="5" max="5" width="14.25" customWidth="1"/>
    <x:col min="6" max="6" width="17.625" customWidth="1"/>
    <x:col min="7" max="7" width="9.875" customWidth="1"/>
    <x:col min="8" max="8" width="15.25" customWidth="1"/>
    <x:col min="9" max="9" width="12.5" customWidth="1"/>
    <x:col min="10" max="11" width="10.125" customWidth="1"/>
    <x:col min="12" max="12" width="24.25" customWidth="1"/>
    <x:col min="13" max="13" width="16" customWidth="1"/>
    <x:col min="14" max="14" width="10" customWidth="1"/>
    <x:col min="15" max="15" width="30" customWidth="1"/>
    <x:col min="16" max="16" width="7.25" customWidth="1"/>
    <x:col min="17" max="17" width="11.125" customWidth="1"/>
  </x:cols>
  <x:sheetData>
    <x:row r="1" ht="19.5">
      <x:c r="A1" s="17" t="s">
        <x:v>145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</x:row>
    <x:row r="2">
      <x:c r="A2" s="18" t="s">
        <x:v>146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4" ht="15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  <x:c r="P4" s="1" t="s">
        <x:v>17</x:v>
      </x:c>
      <x:c r="Q4" s="1" t="s">
        <x:v>18</x:v>
      </x:c>
    </x:row>
    <x:row r="5">
      <x:c r="A5">
        <x:v>1</x:v>
      </x:c>
      <x:c r="B5" t="s">
        <x:v>19</x:v>
      </x:c>
      <x:c r="C5" t="s">
        <x:v>20</x:v>
      </x:c>
      <x:c r="D5" t="s">
        <x:v>21</x:v>
      </x:c>
      <x:c r="E5" t="s">
        <x:v>22</x:v>
      </x:c>
      <x:c r="F5" t="s">
        <x:v>23</x:v>
      </x:c>
      <x:c r="G5" t="s">
        <x:v>24</x:v>
      </x:c>
      <x:c r="H5" t="s">
        <x:v>25</x:v>
      </x:c>
      <x:c r="I5" s="2">
        <x:v>46260</x:v>
      </x:c>
      <x:c r="J5" s="2">
        <x:v>46260</x:v>
      </x:c>
      <x:c r="K5" s="8">
        <x:v>1</x:v>
      </x:c>
      <x:c r="N5" s="2"/>
      <x:c r="P5" t="n">
        <x:f t="shared" ref="P5:P36" ca="1" si="0">IF(I5="","",I5-TODAY())</x:f>
        <x:v>-21</x:v>
      </x:c>
      <x:c r="Q5" t="str">
        <x:f t="shared" ref="Q5:Q36" si="1">IF(H5="Concluído","OK",IF(H5="Bloqueado","BLOQUEADO",IF(I5="","SEM DATA",IF(P5&lt;0,"ATRASADO",IF(P5&lt;=3,"ATENÇÃO","NO PRAZO")))))</x:f>
        <x:v>OK</x:v>
      </x:c>
    </x:row>
    <x:row r="6">
      <x:c r="A6">
        <x:v>2</x:v>
      </x:c>
      <x:c r="B6" t="s">
        <x:v>19</x:v>
      </x:c>
      <x:c r="C6" t="s">
        <x:v>147</x:v>
      </x:c>
      <x:c r="D6" t="s">
        <x:v>148</x:v>
      </x:c>
      <x:c r="E6" t="s">
        <x:v>35</x:v>
      </x:c>
      <x:c r="F6" t="s">
        <x:v>23</x:v>
      </x:c>
      <x:c r="G6" t="s">
        <x:v>24</x:v>
      </x:c>
      <x:c r="H6" t="s">
        <x:v>25</x:v>
      </x:c>
      <x:c r="I6" s="2">
        <x:v>46276</x:v>
      </x:c>
      <x:c r="J6" s="2">
        <x:v>46276</x:v>
      </x:c>
      <x:c r="K6" s="8">
        <x:v>1</x:v>
      </x:c>
      <x:c r="N6" s="2"/>
      <x:c r="O6" t="s">
        <x:v>149</x:v>
      </x:c>
      <x:c r="P6">
        <x:f t="shared" ca="1" si="0"/>
        <x:v>-5</x:v>
      </x:c>
      <x:c r="Q6" t="str">
        <x:f t="shared" si="1"/>
        <x:v>OK</x:v>
      </x:c>
    </x:row>
    <x:row r="7">
      <x:c r="A7">
        <x:v>3</x:v>
      </x:c>
      <x:c r="B7" t="s">
        <x:v>19</x:v>
      </x:c>
      <x:c r="C7" t="s">
        <x:v>150</x:v>
      </x:c>
      <x:c r="D7" t="s">
        <x:v>151</x:v>
      </x:c>
      <x:c r="E7" t="s">
        <x:v>35</x:v>
      </x:c>
      <x:c r="F7" t="s">
        <x:v>23</x:v>
      </x:c>
      <x:c r="G7" t="s">
        <x:v>24</x:v>
      </x:c>
      <x:c r="H7" t="s">
        <x:v>25</x:v>
      </x:c>
      <x:c r="I7" s="2">
        <x:v>46276</x:v>
      </x:c>
      <x:c r="J7" s="2">
        <x:v>46276</x:v>
      </x:c>
      <x:c r="K7" s="8">
        <x:v>1</x:v>
      </x:c>
      <x:c r="N7" s="2"/>
      <x:c r="O7" t="s">
        <x:v>152</x:v>
      </x:c>
      <x:c r="P7">
        <x:f t="shared" ca="1" si="0"/>
        <x:v>-5</x:v>
      </x:c>
      <x:c r="Q7" t="str">
        <x:f t="shared" si="1"/>
        <x:v>OK</x:v>
      </x:c>
    </x:row>
    <x:row r="8">
      <x:c r="A8">
        <x:v>4</x:v>
      </x:c>
      <x:c r="B8" t="s">
        <x:v>19</x:v>
      </x:c>
      <x:c r="C8" t="s">
        <x:v>28</x:v>
      </x:c>
      <x:c r="D8" t="s">
        <x:v>29</x:v>
      </x:c>
      <x:c r="E8" t="s">
        <x:v>22</x:v>
      </x:c>
      <x:c r="F8" t="s">
        <x:v>23</x:v>
      </x:c>
      <x:c r="G8" t="s">
        <x:v>30</x:v>
      </x:c>
      <x:c r="H8" t="str">
        <x:v>Concluído</x:v>
      </x:c>
      <x:c r="I8" s="44" t="n">
        <x:v>46281</x:v>
      </x:c>
      <x:c r="J8" s="44" t="n">
        <x:v>46281</x:v>
      </x:c>
      <x:c r="K8" s="8" t="n">
        <x:v>1</x:v>
      </x:c>
      <x:c r="L8" t="str">
        <x:v>Matriz nominal de responsáveis definida</x:v>
      </x:c>
      <x:c r="M8"/>
      <x:c r="N8" s="2"/>
      <x:c r="O8" t="str">
        <x:v>Antônio Carlos – Cobrança | Matheus Candolo – Gestor do contrato | Leandro – Apoio geral | Aqua: Elias – Cobrança</x:v>
      </x:c>
      <x:c r="P8">
        <x:f t="shared" ca="1" si="0"/>
        <x:v>-1</x:v>
      </x:c>
      <x:c r="Q8" t="str">
        <x:f t="shared" ca="1" si="1"/>
        <x:v>ATRASADO</x:v>
      </x:c>
    </x:row>
    <x:row r="9">
      <x:c r="A9">
        <x:v>5</x:v>
      </x:c>
      <x:c r="B9" t="s">
        <x:v>32</x:v>
      </x:c>
      <x:c r="C9" t="s">
        <x:v>33</x:v>
      </x:c>
      <x:c r="D9" t="s">
        <x:v>34</x:v>
      </x:c>
      <x:c r="E9" t="s">
        <x:v>35</x:v>
      </x:c>
      <x:c r="F9" t="s">
        <x:v>36</x:v>
      </x:c>
      <x:c r="G9" t="s">
        <x:v>24</x:v>
      </x:c>
      <x:c r="H9" t="str">
        <x:v>Concluído</x:v>
      </x:c>
      <x:c r="I9" s="2">
        <x:v>46283</x:v>
      </x:c>
      <x:c r="J9" s="44" t="n">
        <x:v>46281</x:v>
      </x:c>
      <x:c r="K9" s="8" t="n">
        <x:v>1</x:v>
      </x:c>
      <x:c r="L9" t="str">
        <x:v>Confirmação operacional – Base Recife concluída</x:v>
      </x:c>
      <x:c r="M9"/>
      <x:c r="N9" s="2"/>
      <x:c r="O9" t="str">
        <x:v>Base Recife confirmada como concluída e disponível para a mobilização.</x:v>
      </x:c>
      <x:c r="P9">
        <x:f t="shared" ca="1" si="0"/>
        <x:v>2</x:v>
      </x:c>
      <x:c r="Q9" t="str">
        <x:f t="shared" ca="1" si="1"/>
        <x:v>ATENÇÃO</x:v>
      </x:c>
    </x:row>
    <x:row r="10">
      <x:c r="A10">
        <x:v>6</x:v>
      </x:c>
      <x:c r="B10" t="s">
        <x:v>32</x:v>
      </x:c>
      <x:c r="C10" t="s">
        <x:v>38</x:v>
      </x:c>
      <x:c r="D10" t="s">
        <x:v>39</x:v>
      </x:c>
      <x:c r="E10" t="s">
        <x:v>35</x:v>
      </x:c>
      <x:c r="F10" t="s">
        <x:v>40</x:v>
      </x:c>
      <x:c r="G10" t="s">
        <x:v>24</x:v>
      </x:c>
      <x:c r="H10" t="str">
        <x:v>Concluído</x:v>
      </x:c>
      <x:c r="I10" s="2">
        <x:v>46311</x:v>
      </x:c>
      <x:c r="J10" s="44" t="n">
        <x:v>46281</x:v>
      </x:c>
      <x:c r="K10" s="8" t="n">
        <x:v>1</x:v>
      </x:c>
      <x:c r="L10" t="str">
        <x:v>Confirmação operacional – Base Recife concluída</x:v>
      </x:c>
      <x:c r="M10"/>
      <x:c r="N10" s="2"/>
      <x:c r="O10" t="str">
        <x:v>Base Recife confirmada como concluída e disponível para a mobilização.</x:v>
      </x:c>
      <x:c r="P10">
        <x:f t="shared" ca="1" si="0"/>
        <x:v>30</x:v>
      </x:c>
      <x:c r="Q10" t="str">
        <x:f t="shared" ca="1" si="1"/>
        <x:v>NO PRAZO</x:v>
      </x:c>
    </x:row>
    <x:row r="11">
      <x:c r="A11">
        <x:v>7</x:v>
      </x:c>
      <x:c r="B11" t="s">
        <x:v>32</x:v>
      </x:c>
      <x:c r="C11" t="s">
        <x:v>41</x:v>
      </x:c>
      <x:c r="D11" t="s">
        <x:v>42</x:v>
      </x:c>
      <x:c r="E11" t="s">
        <x:v>35</x:v>
      </x:c>
      <x:c r="F11" t="s">
        <x:v>43</x:v>
      </x:c>
      <x:c r="G11" t="s">
        <x:v>30</x:v>
      </x:c>
      <x:c r="H11" t="str">
        <x:v>Concluído</x:v>
      </x:c>
      <x:c r="I11" s="2">
        <x:v>46311</x:v>
      </x:c>
      <x:c r="J11" s="44" t="n">
        <x:v>46281</x:v>
      </x:c>
      <x:c r="K11" s="8" t="n">
        <x:v>1</x:v>
      </x:c>
      <x:c r="L11" t="str">
        <x:v>Confirmação operacional – Base Recife concluída</x:v>
      </x:c>
      <x:c r="M11"/>
      <x:c r="N11" s="2"/>
      <x:c r="O11" t="str">
        <x:v>Base Recife confirmada como concluída e disponível para a mobilização.</x:v>
      </x:c>
      <x:c r="P11">
        <x:f t="shared" ca="1" si="0"/>
        <x:v>30</x:v>
      </x:c>
      <x:c r="Q11" t="str">
        <x:f t="shared" ca="1" si="1"/>
        <x:v>NO PRAZO</x:v>
      </x:c>
    </x:row>
    <x:row r="12">
      <x:c r="A12">
        <x:v>8</x:v>
      </x:c>
      <x:c r="B12" t="s">
        <x:v>32</x:v>
      </x:c>
      <x:c r="C12" t="s">
        <x:v>45</x:v>
      </x:c>
      <x:c r="D12" t="s">
        <x:v>46</x:v>
      </x:c>
      <x:c r="E12" t="s">
        <x:v>35</x:v>
      </x:c>
      <x:c r="F12" t="s">
        <x:v>43</x:v>
      </x:c>
      <x:c r="G12" t="s">
        <x:v>24</x:v>
      </x:c>
      <x:c r="H12" t="str">
        <x:v>Concluído</x:v>
      </x:c>
      <x:c r="I12" s="2">
        <x:v>46311</x:v>
      </x:c>
      <x:c r="J12" s="44" t="n">
        <x:v>46281</x:v>
      </x:c>
      <x:c r="K12" s="8" t="n">
        <x:v>1</x:v>
      </x:c>
      <x:c r="L12" t="str">
        <x:v>Confirmação operacional – Base Recife concluída</x:v>
      </x:c>
      <x:c r="M12"/>
      <x:c r="N12" s="2"/>
      <x:c r="O12" t="str">
        <x:v>Base Recife confirmada como concluída e disponível para a mobilização.</x:v>
      </x:c>
      <x:c r="P12">
        <x:f t="shared" ca="1" si="0"/>
        <x:v>30</x:v>
      </x:c>
      <x:c r="Q12" t="str">
        <x:f t="shared" ca="1" si="1"/>
        <x:v>NO PRAZO</x:v>
      </x:c>
    </x:row>
    <x:row r="13">
      <x:c r="A13">
        <x:v>9</x:v>
      </x:c>
      <x:c r="B13" t="s">
        <x:v>32</x:v>
      </x:c>
      <x:c r="C13" t="s">
        <x:v>48</x:v>
      </x:c>
      <x:c r="D13" t="s">
        <x:v>49</x:v>
      </x:c>
      <x:c r="E13" t="s">
        <x:v>35</x:v>
      </x:c>
      <x:c r="F13" t="s">
        <x:v>50</x:v>
      </x:c>
      <x:c r="G13" t="s">
        <x:v>51</x:v>
      </x:c>
      <x:c r="H13" t="str">
        <x:v>Concluído</x:v>
      </x:c>
      <x:c r="I13" s="2">
        <x:v>46311</x:v>
      </x:c>
      <x:c r="J13" s="44" t="n">
        <x:v>46281</x:v>
      </x:c>
      <x:c r="K13" s="8" t="n">
        <x:v>1</x:v>
      </x:c>
      <x:c r="L13" t="str">
        <x:v>Confirmação operacional – Base Recife concluída</x:v>
      </x:c>
      <x:c r="M13"/>
      <x:c r="N13" s="2"/>
      <x:c r="O13" t="str">
        <x:v>Base Recife confirmada como concluída e disponível para a mobilização.</x:v>
      </x:c>
      <x:c r="P13">
        <x:f t="shared" ca="1" si="0"/>
        <x:v>30</x:v>
      </x:c>
      <x:c r="Q13" t="str">
        <x:f t="shared" ca="1" si="1"/>
        <x:v>NO PRAZO</x:v>
      </x:c>
    </x:row>
    <x:row r="14">
      <x:c r="A14">
        <x:v>10</x:v>
      </x:c>
      <x:c r="B14" t="s">
        <x:v>32</x:v>
      </x:c>
      <x:c r="C14" t="s">
        <x:v>53</x:v>
      </x:c>
      <x:c r="D14" t="s">
        <x:v>54</x:v>
      </x:c>
      <x:c r="E14" t="s">
        <x:v>35</x:v>
      </x:c>
      <x:c r="F14" t="s">
        <x:v>55</x:v>
      </x:c>
      <x:c r="G14" t="s">
        <x:v>30</x:v>
      </x:c>
      <x:c r="H14" t="str">
        <x:v>Concluído</x:v>
      </x:c>
      <x:c r="I14" s="2">
        <x:v>46311</x:v>
      </x:c>
      <x:c r="J14" s="44" t="n">
        <x:v>46281</x:v>
      </x:c>
      <x:c r="K14" s="8" t="n">
        <x:v>1</x:v>
      </x:c>
      <x:c r="L14" t="str">
        <x:v>Confirmação operacional – Base Recife concluída</x:v>
      </x:c>
      <x:c r="M14"/>
      <x:c r="N14" s="2"/>
      <x:c r="O14" t="str">
        <x:v>Base Recife confirmada como concluída e disponível para a mobilização.</x:v>
      </x:c>
      <x:c r="P14">
        <x:f t="shared" ca="1" si="0"/>
        <x:v>30</x:v>
      </x:c>
      <x:c r="Q14" t="str">
        <x:f t="shared" ca="1" si="1"/>
        <x:v>NO PRAZO</x:v>
      </x:c>
    </x:row>
    <x:row r="15">
      <x:c r="A15">
        <x:v>11</x:v>
      </x:c>
      <x:c r="B15" t="s">
        <x:v>32</x:v>
      </x:c>
      <x:c r="C15" t="s">
        <x:v>57</x:v>
      </x:c>
      <x:c r="D15" t="s">
        <x:v>58</x:v>
      </x:c>
      <x:c r="E15" t="s">
        <x:v>35</x:v>
      </x:c>
      <x:c r="F15" t="s">
        <x:v>59</x:v>
      </x:c>
      <x:c r="G15" t="s">
        <x:v>30</x:v>
      </x:c>
      <x:c r="H15" t="str">
        <x:v>Concluído</x:v>
      </x:c>
      <x:c r="I15" s="2">
        <x:v>46311</x:v>
      </x:c>
      <x:c r="J15" s="44" t="n">
        <x:v>46281</x:v>
      </x:c>
      <x:c r="K15" s="8" t="n">
        <x:v>1</x:v>
      </x:c>
      <x:c r="L15" t="str">
        <x:v>Confirmação operacional – Base Recife concluída</x:v>
      </x:c>
      <x:c r="M15"/>
      <x:c r="N15" s="2"/>
      <x:c r="O15" t="str">
        <x:v>Base Recife confirmada como concluída e disponível para a mobilização.</x:v>
      </x:c>
      <x:c r="P15">
        <x:f t="shared" ca="1" si="0"/>
        <x:v>30</x:v>
      </x:c>
      <x:c r="Q15" t="str">
        <x:f t="shared" ca="1" si="1"/>
        <x:v>NO PRAZO</x:v>
      </x:c>
    </x:row>
    <x:row r="16">
      <x:c r="A16">
        <x:v>12</x:v>
      </x:c>
      <x:c r="B16" t="s">
        <x:v>32</x:v>
      </x:c>
      <x:c r="C16" t="s">
        <x:v>61</x:v>
      </x:c>
      <x:c r="D16" t="s">
        <x:v>62</x:v>
      </x:c>
      <x:c r="E16" t="s">
        <x:v>35</x:v>
      </x:c>
      <x:c r="F16" t="s">
        <x:v>63</x:v>
      </x:c>
      <x:c r="G16" t="s">
        <x:v>51</x:v>
      </x:c>
      <x:c r="H16" t="str">
        <x:v>Concluído</x:v>
      </x:c>
      <x:c r="I16" s="2">
        <x:v>46311</x:v>
      </x:c>
      <x:c r="J16" s="44" t="n">
        <x:v>46281</x:v>
      </x:c>
      <x:c r="K16" s="8" t="n">
        <x:v>1</x:v>
      </x:c>
      <x:c r="L16" t="str">
        <x:v>Confirmação operacional – Base Recife concluída</x:v>
      </x:c>
      <x:c r="M16"/>
      <x:c r="N16" s="2"/>
      <x:c r="O16" t="str">
        <x:v>Base Recife confirmada como concluída e disponível para a mobilização.</x:v>
      </x:c>
      <x:c r="P16">
        <x:f t="shared" ca="1" si="0"/>
        <x:v>30</x:v>
      </x:c>
      <x:c r="Q16" t="str">
        <x:f t="shared" ca="1" si="1"/>
        <x:v>NO PRAZO</x:v>
      </x:c>
    </x:row>
    <x:row r="17">
      <x:c r="A17">
        <x:v>13</x:v>
      </x:c>
      <x:c r="B17" t="s">
        <x:v>65</x:v>
      </x:c>
      <x:c r="C17" t="s">
        <x:v>66</x:v>
      </x:c>
      <x:c r="D17" t="s">
        <x:v>67</x:v>
      </x:c>
      <x:c r="E17" t="s">
        <x:v>35</x:v>
      </x:c>
      <x:c r="F17" t="s">
        <x:v>23</x:v>
      </x:c>
      <x:c r="G17" t="s">
        <x:v>24</x:v>
      </x:c>
      <x:c r="H17" t="str">
        <x:v>Concluído</x:v>
      </x:c>
      <x:c r="I17" s="2">
        <x:v>46276</x:v>
      </x:c>
      <x:c r="J17" s="44" t="n">
        <x:v>46281</x:v>
      </x:c>
      <x:c r="K17" s="8" t="n">
        <x:v>1</x:v>
      </x:c>
      <x:c r="L17" t="str">
        <x:v>Confirmação operacional – requisitos SSMA recebidos</x:v>
      </x:c>
      <x:c r="M17"/>
      <x:c r="N17" s="2"/>
      <x:c r="O17" t="str">
        <x:v>Requisitos, materiais e orientações de SSMA recebidos.</x:v>
      </x:c>
      <x:c r="P17">
        <x:f t="shared" ca="1" si="0"/>
        <x:v>-5</x:v>
      </x:c>
      <x:c r="Q17" t="str">
        <x:f t="shared" ca="1" si="1"/>
        <x:v>ATRASADO</x:v>
      </x:c>
    </x:row>
    <x:row r="18">
      <x:c r="A18">
        <x:v>14</x:v>
      </x:c>
      <x:c r="B18" t="s">
        <x:v>65</x:v>
      </x:c>
      <x:c r="C18" t="s">
        <x:v>69</x:v>
      </x:c>
      <x:c r="D18" t="s">
        <x:v>70</x:v>
      </x:c>
      <x:c r="E18" t="s">
        <x:v>35</x:v>
      </x:c>
      <x:c r="F18" t="s">
        <x:v>23</x:v>
      </x:c>
      <x:c r="G18" t="s">
        <x:v>24</x:v>
      </x:c>
      <x:c r="H18" t="s">
        <x:v>31</x:v>
      </x:c>
      <x:c r="I18" s="2">
        <x:v>46304</x:v>
      </x:c>
      <x:c r="J18" s="2"/>
      <x:c r="K18" s="8">
        <x:v>0</x:v>
      </x:c>
      <x:c r="N18" s="2"/>
      <x:c r="P18">
        <x:f t="shared" ca="1" si="0"/>
        <x:v>23</x:v>
      </x:c>
      <x:c r="Q18" t="str">
        <x:f t="shared" ca="1" si="1"/>
        <x:v>NO PRAZO</x:v>
      </x:c>
    </x:row>
    <x:row r="19">
      <x:c r="A19">
        <x:v>15</x:v>
      </x:c>
      <x:c r="B19" t="s">
        <x:v>65</x:v>
      </x:c>
      <x:c r="C19" t="s">
        <x:v>71</x:v>
      </x:c>
      <x:c r="D19" t="s">
        <x:v>72</x:v>
      </x:c>
      <x:c r="E19" t="s">
        <x:v>35</x:v>
      </x:c>
      <x:c r="F19" t="s">
        <x:v>73</x:v>
      </x:c>
      <x:c r="G19" t="s">
        <x:v>24</x:v>
      </x:c>
      <x:c r="H19" t="s">
        <x:v>31</x:v>
      </x:c>
      <x:c r="I19" s="2">
        <x:v>46280</x:v>
      </x:c>
      <x:c r="J19" s="2"/>
      <x:c r="K19" s="8">
        <x:v>0</x:v>
      </x:c>
      <x:c r="N19" s="2"/>
      <x:c r="P19">
        <x:f t="shared" ca="1" si="0"/>
        <x:v>-1</x:v>
      </x:c>
      <x:c r="Q19" t="str">
        <x:f t="shared" ca="1" si="1"/>
        <x:v>ATRASADO</x:v>
      </x:c>
    </x:row>
    <x:row r="20">
      <x:c r="A20">
        <x:v>16</x:v>
      </x:c>
      <x:c r="B20" t="s">
        <x:v>74</x:v>
      </x:c>
      <x:c r="C20" t="s">
        <x:v>75</x:v>
      </x:c>
      <x:c r="D20" t="s">
        <x:v>76</x:v>
      </x:c>
      <x:c r="E20" t="s">
        <x:v>35</x:v>
      </x:c>
      <x:c r="F20" t="s">
        <x:v>23</x:v>
      </x:c>
      <x:c r="G20" t="s">
        <x:v>30</x:v>
      </x:c>
      <x:c r="H20" t="str">
        <x:v>Concluído</x:v>
      </x:c>
      <x:c r="I20" s="44" t="n">
        <x:v>46276</x:v>
      </x:c>
      <x:c r="J20" s="44" t="n">
        <x:v>46281</x:v>
      </x:c>
      <x:c r="K20" s="8" t="n">
        <x:v>1</x:v>
      </x:c>
      <x:c r="L20" t="str">
        <x:v>E-mail Sheyla - 16/09 | aplicação da marca aprovada</x:v>
      </x:c>
      <x:c r="M20"/>
      <x:c r="N20" s="2"/>
      <x:c r="O20" t="str">
        <x:v>Padrão recebido em 11/09; aplicação da marca aprovada pela Aqua em 16/09, liberando sequência da etapa interna.</x:v>
      </x:c>
      <x:c r="P20">
        <x:f t="shared" ca="1" si="0"/>
        <x:v>-5</x:v>
      </x:c>
      <x:c r="Q20" t="str">
        <x:f t="shared" ca="1" si="1"/>
        <x:v>ATRASADO</x:v>
      </x:c>
    </x:row>
    <x:row r="21">
      <x:c r="A21">
        <x:v>17</x:v>
      </x:c>
      <x:c r="B21" t="s">
        <x:v>74</x:v>
      </x:c>
      <x:c r="C21" t="s">
        <x:v>77</x:v>
      </x:c>
      <x:c r="D21" t="s">
        <x:v>78</x:v>
      </x:c>
      <x:c r="E21" t="s">
        <x:v>35</x:v>
      </x:c>
      <x:c r="F21" t="s">
        <x:v>43</x:v>
      </x:c>
      <x:c r="G21" t="s">
        <x:v>30</x:v>
      </x:c>
      <x:c r="H21" t="s">
        <x:v>31</x:v>
      </x:c>
      <x:c r="I21" s="2">
        <x:v>46311</x:v>
      </x:c>
      <x:c r="J21" s="2"/>
      <x:c r="K21" s="8">
        <x:v>0</x:v>
      </x:c>
      <x:c r="N21" s="2"/>
      <x:c r="P21">
        <x:f t="shared" ca="1" si="0"/>
        <x:v>30</x:v>
      </x:c>
      <x:c r="Q21" t="str">
        <x:f t="shared" ca="1" si="1"/>
        <x:v>NO PRAZO</x:v>
      </x:c>
    </x:row>
    <x:row r="22">
      <x:c r="A22">
        <x:v>18</x:v>
      </x:c>
      <x:c r="B22" t="s">
        <x:v>74</x:v>
      </x:c>
      <x:c r="C22" t="s">
        <x:v>81</x:v>
      </x:c>
      <x:c r="D22" t="s">
        <x:v>82</x:v>
      </x:c>
      <x:c r="E22" t="s">
        <x:v>35</x:v>
      </x:c>
      <x:c r="F22" t="s">
        <x:v>83</x:v>
      </x:c>
      <x:c r="G22" t="s">
        <x:v>24</x:v>
      </x:c>
      <x:c r="H22" t="s">
        <x:v>31</x:v>
      </x:c>
      <x:c r="I22" s="2">
        <x:v>46311</x:v>
      </x:c>
      <x:c r="J22" s="2"/>
      <x:c r="K22" s="8">
        <x:v>0</x:v>
      </x:c>
      <x:c r="N22" s="2"/>
      <x:c r="P22">
        <x:f t="shared" ca="1" si="0"/>
        <x:v>30</x:v>
      </x:c>
      <x:c r="Q22" t="str">
        <x:f t="shared" ca="1" si="1"/>
        <x:v>NO PRAZO</x:v>
      </x:c>
    </x:row>
    <x:row r="23">
      <x:c r="A23">
        <x:v>19</x:v>
      </x:c>
      <x:c r="B23" t="s">
        <x:v>84</x:v>
      </x:c>
      <x:c r="C23" t="s">
        <x:v>85</x:v>
      </x:c>
      <x:c r="D23" t="s">
        <x:v>86</x:v>
      </x:c>
      <x:c r="E23" t="s">
        <x:v>35</x:v>
      </x:c>
      <x:c r="F23" t="s">
        <x:v>87</x:v>
      </x:c>
      <x:c r="G23" t="s">
        <x:v>24</x:v>
      </x:c>
      <x:c r="H23" t="str">
        <x:v>Concluído</x:v>
      </x:c>
      <x:c r="I23" s="44" t="n">
        <x:v>46287</x:v>
      </x:c>
      <x:c r="J23" s="44" t="n">
        <x:v>46281</x:v>
      </x:c>
      <x:c r="K23" s="8" t="n">
        <x:v>1</x:v>
      </x:c>
      <x:c r="L23" t="str">
        <x:v>Rampagem Cobrança definida</x:v>
      </x:c>
      <x:c r="M23"/>
      <x:c r="N23" s="2"/>
      <x:c r="O23" t="str">
        <x:v>Dimensionamento definido: OUT 44 | NOV 44 | DEZ 57 | JAN 71 | FEV 88 veículos/equipes. Mobilização física permanece controlada separadamente.</x:v>
      </x:c>
      <x:c r="P23">
        <x:f t="shared" ca="1" si="0"/>
        <x:v>2</x:v>
      </x:c>
      <x:c r="Q23" t="str">
        <x:f t="shared" ca="1" si="1"/>
        <x:v>ATENÇÃO</x:v>
      </x:c>
    </x:row>
    <x:row r="24">
      <x:c r="A24">
        <x:v>20</x:v>
      </x:c>
      <x:c r="B24" t="s">
        <x:v>84</x:v>
      </x:c>
      <x:c r="C24" t="s">
        <x:v>89</x:v>
      </x:c>
      <x:c r="D24" t="s">
        <x:v>90</x:v>
      </x:c>
      <x:c r="E24" t="s">
        <x:v>35</x:v>
      </x:c>
      <x:c r="F24" t="s">
        <x:v>91</x:v>
      </x:c>
      <x:c r="G24" t="s">
        <x:v>24</x:v>
      </x:c>
      <x:c r="H24" t="s">
        <x:v>31</x:v>
      </x:c>
      <x:c r="I24" s="2">
        <x:v>46311</x:v>
      </x:c>
      <x:c r="J24" s="2"/>
      <x:c r="K24" s="8">
        <x:v>0</x:v>
      </x:c>
      <x:c r="N24" s="2"/>
      <x:c r="P24">
        <x:f t="shared" ca="1" si="0"/>
        <x:v>30</x:v>
      </x:c>
      <x:c r="Q24" t="str">
        <x:f t="shared" ca="1" si="1"/>
        <x:v>NO PRAZO</x:v>
      </x:c>
    </x:row>
    <x:row r="25">
      <x:c r="A25">
        <x:v>21</x:v>
      </x:c>
      <x:c r="B25" t="s">
        <x:v>84</x:v>
      </x:c>
      <x:c r="C25" t="s">
        <x:v>93</x:v>
      </x:c>
      <x:c r="D25" t="s">
        <x:v>94</x:v>
      </x:c>
      <x:c r="E25" t="s">
        <x:v>35</x:v>
      </x:c>
      <x:c r="F25" t="s">
        <x:v>23</x:v>
      </x:c>
      <x:c r="G25" t="s">
        <x:v>30</x:v>
      </x:c>
      <x:c r="H25" t="s">
        <x:v>153</x:v>
      </x:c>
      <x:c r="I25" s="2">
        <x:v>46276</x:v>
      </x:c>
      <x:c r="J25" s="2"/>
      <x:c r="K25" s="8">
        <x:v>0</x:v>
      </x:c>
      <x:c r="N25" s="2"/>
      <x:c r="O25" t="s">
        <x:v>154</x:v>
      </x:c>
      <x:c r="P25">
        <x:f t="shared" ca="1" si="0"/>
        <x:v>-5</x:v>
      </x:c>
      <x:c r="Q25" t="str">
        <x:f t="shared" ca="1" si="1"/>
        <x:v>ATRASADO</x:v>
      </x:c>
    </x:row>
    <x:row r="26">
      <x:c r="A26">
        <x:v>22</x:v>
      </x:c>
      <x:c r="B26" t="s">
        <x:v>84</x:v>
      </x:c>
      <x:c r="C26" t="s">
        <x:v>95</x:v>
      </x:c>
      <x:c r="D26" t="s">
        <x:v>96</x:v>
      </x:c>
      <x:c r="E26" t="s">
        <x:v>35</x:v>
      </x:c>
      <x:c r="F26" t="s">
        <x:v>97</x:v>
      </x:c>
      <x:c r="G26" t="s">
        <x:v>30</x:v>
      </x:c>
      <x:c r="H26" t="s">
        <x:v>31</x:v>
      </x:c>
      <x:c r="I26" s="2">
        <x:v>46311</x:v>
      </x:c>
      <x:c r="J26" s="2"/>
      <x:c r="K26" s="8">
        <x:v>0</x:v>
      </x:c>
      <x:c r="N26" s="2"/>
      <x:c r="P26">
        <x:f t="shared" ca="1" si="0"/>
        <x:v>30</x:v>
      </x:c>
      <x:c r="Q26" t="str">
        <x:f t="shared" ca="1" si="1"/>
        <x:v>NO PRAZO</x:v>
      </x:c>
    </x:row>
    <x:row r="27">
      <x:c r="A27">
        <x:v>23</x:v>
      </x:c>
      <x:c r="B27" t="s">
        <x:v>98</x:v>
      </x:c>
      <x:c r="C27" t="s">
        <x:v>99</x:v>
      </x:c>
      <x:c r="D27" t="s">
        <x:v>100</x:v>
      </x:c>
      <x:c r="E27" t="s">
        <x:v>35</x:v>
      </x:c>
      <x:c r="F27" t="s">
        <x:v>101</x:v>
      </x:c>
      <x:c r="G27" t="s">
        <x:v>24</x:v>
      </x:c>
      <x:c r="H27" t="str">
        <x:v>Concluído</x:v>
      </x:c>
      <x:c r="I27" s="2">
        <x:v>46280</x:v>
      </x:c>
      <x:c r="J27" s="44" t="n">
        <x:v>46281</x:v>
      </x:c>
      <x:c r="K27" s="8" t="n">
        <x:v>1</x:v>
      </x:c>
      <x:c r="L27" t="str">
        <x:v>Rampagem operacional Cobrança definida</x:v>
      </x:c>
      <x:c r="M27"/>
      <x:c r="N27" s="2"/>
      <x:c r="O27" t="str">
        <x:v>Quadro operacional dimensionado conforme rampa definida. Recrutamento, admissão e liberação dos colaboradores permanecem controlados separadamente.</x:v>
      </x:c>
      <x:c r="P27">
        <x:f t="shared" ca="1" si="0"/>
        <x:v>-1</x:v>
      </x:c>
      <x:c r="Q27" t="str">
        <x:f t="shared" ca="1" si="1"/>
        <x:v>ATRASADO</x:v>
      </x:c>
    </x:row>
    <x:row r="28">
      <x:c r="A28">
        <x:v>24</x:v>
      </x:c>
      <x:c r="B28" t="s">
        <x:v>98</x:v>
      </x:c>
      <x:c r="C28" t="s">
        <x:v>155</x:v>
      </x:c>
      <x:c r="D28" t="s">
        <x:v>156</x:v>
      </x:c>
      <x:c r="E28" t="s">
        <x:v>35</x:v>
      </x:c>
      <x:c r="F28" t="s">
        <x:v>157</x:v>
      </x:c>
      <x:c r="G28" t="s">
        <x:v>24</x:v>
      </x:c>
      <x:c r="H28" t="s">
        <x:v>31</x:v>
      </x:c>
      <x:c r="I28" s="2">
        <x:v>46297</x:v>
      </x:c>
      <x:c r="J28" s="2"/>
      <x:c r="K28" s="8">
        <x:v>0</x:v>
      </x:c>
      <x:c r="N28" s="2"/>
      <x:c r="P28">
        <x:f t="shared" ca="1" si="0"/>
        <x:v>16</x:v>
      </x:c>
      <x:c r="Q28" t="str">
        <x:f t="shared" ca="1" si="1"/>
        <x:v>NO PRAZO</x:v>
      </x:c>
    </x:row>
    <x:row r="29">
      <x:c r="A29">
        <x:v>25</x:v>
      </x:c>
      <x:c r="B29" t="s">
        <x:v>98</x:v>
      </x:c>
      <x:c r="C29" t="s">
        <x:v>158</x:v>
      </x:c>
      <x:c r="D29" t="s">
        <x:v>159</x:v>
      </x:c>
      <x:c r="E29" t="s">
        <x:v>35</x:v>
      </x:c>
      <x:c r="F29" t="s">
        <x:v>160</x:v>
      </x:c>
      <x:c r="G29" t="s">
        <x:v>24</x:v>
      </x:c>
      <x:c r="H29" t="s">
        <x:v>31</x:v>
      </x:c>
      <x:c r="I29" s="2">
        <x:v>46297</x:v>
      </x:c>
      <x:c r="J29" s="2"/>
      <x:c r="K29" s="8">
        <x:v>0</x:v>
      </x:c>
      <x:c r="N29" s="2"/>
      <x:c r="P29">
        <x:f t="shared" ca="1" si="0"/>
        <x:v>16</x:v>
      </x:c>
      <x:c r="Q29" t="str">
        <x:f t="shared" ca="1" si="1"/>
        <x:v>NO PRAZO</x:v>
      </x:c>
    </x:row>
    <x:row r="30">
      <x:c r="A30">
        <x:v>26</x:v>
      </x:c>
      <x:c r="B30" t="s">
        <x:v>98</x:v>
      </x:c>
      <x:c r="C30" t="s">
        <x:v>102</x:v>
      </x:c>
      <x:c r="D30" t="s">
        <x:v>103</x:v>
      </x:c>
      <x:c r="E30" t="s">
        <x:v>35</x:v>
      </x:c>
      <x:c r="F30" t="s">
        <x:v>23</x:v>
      </x:c>
      <x:c r="G30" t="s">
        <x:v>24</x:v>
      </x:c>
      <x:c r="H30" t="s">
        <x:v>31</x:v>
      </x:c>
      <x:c r="I30" s="2">
        <x:v>46297</x:v>
      </x:c>
      <x:c r="J30" s="2"/>
      <x:c r="K30" s="8">
        <x:v>0</x:v>
      </x:c>
      <x:c r="N30" s="2"/>
      <x:c r="O30" t="s">
        <x:v>161</x:v>
      </x:c>
      <x:c r="P30">
        <x:f t="shared" ca="1" si="0"/>
        <x:v>16</x:v>
      </x:c>
      <x:c r="Q30" t="str">
        <x:f t="shared" ca="1" si="1"/>
        <x:v>NO PRAZO</x:v>
      </x:c>
    </x:row>
    <x:row r="31">
      <x:c r="A31">
        <x:v>27</x:v>
      </x:c>
      <x:c r="B31" t="s">
        <x:v>98</x:v>
      </x:c>
      <x:c r="C31" t="s">
        <x:v>104</x:v>
      </x:c>
      <x:c r="D31" t="s">
        <x:v>105</x:v>
      </x:c>
      <x:c r="E31" t="s">
        <x:v>35</x:v>
      </x:c>
      <x:c r="F31" t="s">
        <x:v>23</x:v>
      </x:c>
      <x:c r="G31" t="s">
        <x:v>24</x:v>
      </x:c>
      <x:c r="H31" t="s">
        <x:v>31</x:v>
      </x:c>
      <x:c r="I31" s="2">
        <x:v>46304</x:v>
      </x:c>
      <x:c r="J31" s="2"/>
      <x:c r="K31" s="8">
        <x:v>0</x:v>
      </x:c>
      <x:c r="N31" s="2"/>
      <x:c r="O31" t="s">
        <x:v>162</x:v>
      </x:c>
      <x:c r="P31">
        <x:f t="shared" ca="1" si="0"/>
        <x:v>23</x:v>
      </x:c>
      <x:c r="Q31" t="str">
        <x:f t="shared" ca="1" si="1"/>
        <x:v>NO PRAZO</x:v>
      </x:c>
    </x:row>
    <x:row r="32">
      <x:c r="A32">
        <x:v>28</x:v>
      </x:c>
      <x:c r="B32" t="s">
        <x:v>98</x:v>
      </x:c>
      <x:c r="C32" t="s">
        <x:v>107</x:v>
      </x:c>
      <x:c r="D32" t="s">
        <x:v>108</x:v>
      </x:c>
      <x:c r="E32" t="s">
        <x:v>22</x:v>
      </x:c>
      <x:c r="F32" t="s">
        <x:v>109</x:v>
      </x:c>
      <x:c r="G32" t="s">
        <x:v>24</x:v>
      </x:c>
      <x:c r="H32" t="s">
        <x:v>31</x:v>
      </x:c>
      <x:c r="I32" s="2">
        <x:v>46311</x:v>
      </x:c>
      <x:c r="J32" s="2"/>
      <x:c r="K32" s="8">
        <x:v>0</x:v>
      </x:c>
      <x:c r="N32" s="2"/>
      <x:c r="P32">
        <x:f t="shared" ca="1" si="0"/>
        <x:v>30</x:v>
      </x:c>
      <x:c r="Q32" t="str">
        <x:f t="shared" ca="1" si="1"/>
        <x:v>NO PRAZO</x:v>
      </x:c>
    </x:row>
    <x:row r="33">
      <x:c r="A33">
        <x:v>29</x:v>
      </x:c>
      <x:c r="B33" t="s">
        <x:v>111</x:v>
      </x:c>
      <x:c r="C33" t="s">
        <x:v>163</x:v>
      </x:c>
      <x:c r="D33" t="s">
        <x:v>164</x:v>
      </x:c>
      <x:c r="E33" t="s">
        <x:v>22</x:v>
      </x:c>
      <x:c r="F33" t="s">
        <x:v>23</x:v>
      </x:c>
      <x:c r="G33" t="s">
        <x:v>24</x:v>
      </x:c>
      <x:c r="H33" t="s">
        <x:v>31</x:v>
      </x:c>
      <x:c r="I33" s="2">
        <x:v>46318</x:v>
      </x:c>
      <x:c r="J33" s="2"/>
      <x:c r="K33" s="8">
        <x:v>0</x:v>
      </x:c>
      <x:c r="N33" s="2"/>
      <x:c r="P33">
        <x:f t="shared" ca="1" si="0"/>
        <x:v>37</x:v>
      </x:c>
      <x:c r="Q33" t="str">
        <x:f t="shared" ca="1" si="1"/>
        <x:v>NO PRAZO</x:v>
      </x:c>
    </x:row>
    <x:row r="34">
      <x:c r="A34">
        <x:v>30</x:v>
      </x:c>
      <x:c r="B34" t="s">
        <x:v>111</x:v>
      </x:c>
      <x:c r="C34" t="s">
        <x:v>165</x:v>
      </x:c>
      <x:c r="D34" t="s">
        <x:v>166</x:v>
      </x:c>
      <x:c r="E34" t="s">
        <x:v>22</x:v>
      </x:c>
      <x:c r="F34" t="s">
        <x:v>122</x:v>
      </x:c>
      <x:c r="G34" t="s">
        <x:v>24</x:v>
      </x:c>
      <x:c r="H34" t="s">
        <x:v>31</x:v>
      </x:c>
      <x:c r="I34" s="2">
        <x:v>46318</x:v>
      </x:c>
      <x:c r="J34" s="2"/>
      <x:c r="K34" s="8">
        <x:v>0</x:v>
      </x:c>
      <x:c r="N34" s="2"/>
      <x:c r="P34">
        <x:f t="shared" ca="1" si="0"/>
        <x:v>37</x:v>
      </x:c>
      <x:c r="Q34" t="str">
        <x:f t="shared" ca="1" si="1"/>
        <x:v>NO PRAZO</x:v>
      </x:c>
    </x:row>
    <x:row r="35">
      <x:c r="A35">
        <x:v>31</x:v>
      </x:c>
      <x:c r="B35" t="s">
        <x:v>119</x:v>
      </x:c>
      <x:c r="C35" t="s">
        <x:v>120</x:v>
      </x:c>
      <x:c r="D35" t="s">
        <x:v>121</x:v>
      </x:c>
      <x:c r="E35" t="s">
        <x:v>35</x:v>
      </x:c>
      <x:c r="F35" t="s">
        <x:v>122</x:v>
      </x:c>
      <x:c r="G35" t="s">
        <x:v>24</x:v>
      </x:c>
      <x:c r="H35" t="s">
        <x:v>31</x:v>
      </x:c>
      <x:c r="I35" s="2">
        <x:v>46318</x:v>
      </x:c>
      <x:c r="J35" s="2"/>
      <x:c r="K35" s="8">
        <x:v>0</x:v>
      </x:c>
      <x:c r="N35" s="2"/>
      <x:c r="P35">
        <x:f t="shared" ca="1" si="0"/>
        <x:v>37</x:v>
      </x:c>
      <x:c r="Q35" t="str">
        <x:f t="shared" ca="1" si="1"/>
        <x:v>NO PRAZO</x:v>
      </x:c>
    </x:row>
    <x:row r="36">
      <x:c r="A36">
        <x:v>32</x:v>
      </x:c>
      <x:c r="B36" t="s">
        <x:v>119</x:v>
      </x:c>
      <x:c r="C36" t="s">
        <x:v>167</x:v>
      </x:c>
      <x:c r="D36" t="s">
        <x:v>168</x:v>
      </x:c>
      <x:c r="E36" t="s">
        <x:v>35</x:v>
      </x:c>
      <x:c r="F36" t="s">
        <x:v>55</x:v>
      </x:c>
      <x:c r="G36" t="s">
        <x:v>24</x:v>
      </x:c>
      <x:c r="H36" t="s">
        <x:v>31</x:v>
      </x:c>
      <x:c r="I36" s="2">
        <x:v>46311</x:v>
      </x:c>
      <x:c r="J36" s="2"/>
      <x:c r="K36" s="8">
        <x:v>0</x:v>
      </x:c>
      <x:c r="N36" s="2"/>
      <x:c r="P36">
        <x:f t="shared" ca="1" si="0"/>
        <x:v>30</x:v>
      </x:c>
      <x:c r="Q36" t="str">
        <x:f t="shared" ca="1" si="1"/>
        <x:v>NO PRAZO</x:v>
      </x:c>
    </x:row>
    <x:row r="37">
      <x:c r="A37">
        <x:v>33</x:v>
      </x:c>
      <x:c r="B37" t="s">
        <x:v>119</x:v>
      </x:c>
      <x:c r="C37" t="s">
        <x:v>169</x:v>
      </x:c>
      <x:c r="D37" t="s">
        <x:v>170</x:v>
      </x:c>
      <x:c r="E37" t="s">
        <x:v>22</x:v>
      </x:c>
      <x:c r="F37" t="s">
        <x:v>23</x:v>
      </x:c>
      <x:c r="G37" t="s">
        <x:v>24</x:v>
      </x:c>
      <x:c r="H37" t="s">
        <x:v>31</x:v>
      </x:c>
      <x:c r="I37" s="2">
        <x:v>46318</x:v>
      </x:c>
      <x:c r="J37" s="2"/>
      <x:c r="K37" s="8">
        <x:v>0</x:v>
      </x:c>
      <x:c r="N37" s="2"/>
      <x:c r="P37" t="n">
        <x:f t="shared" ref="P37:P53" ca="1" si="2">IF(I37="","",I37-TODAY())</x:f>
        <x:v>37</x:v>
      </x:c>
      <x:c r="Q37" t="str">
        <x:f t="shared" ref="Q37:Q53" ca="1" si="3">IF(H37="Concluído","OK",IF(H37="Bloqueado","BLOQUEADO",IF(I37="","SEM DATA",IF(P37&lt;0,"ATRASADO",IF(P37&lt;=3,"ATENÇÃO","NO PRAZO")))))</x:f>
        <x:v>NO PRAZO</x:v>
      </x:c>
    </x:row>
    <x:row r="38">
      <x:c r="A38">
        <x:v>34</x:v>
      </x:c>
      <x:c r="B38" t="s">
        <x:v>171</x:v>
      </x:c>
      <x:c r="C38" t="s">
        <x:v>172</x:v>
      </x:c>
      <x:c r="D38" t="s">
        <x:v>173</x:v>
      </x:c>
      <x:c r="E38" t="s">
        <x:v>22</x:v>
      </x:c>
      <x:c r="F38" t="s">
        <x:v>23</x:v>
      </x:c>
      <x:c r="G38" t="s">
        <x:v>24</x:v>
      </x:c>
      <x:c r="H38" t="str">
        <x:v>Em andamento</x:v>
      </x:c>
      <x:c r="I38" s="44" t="n">
        <x:v>46287</x:v>
      </x:c>
      <x:c r="J38" s="44"/>
      <x:c r="K38" s="8" t="n">
        <x:v>0</x:v>
      </x:c>
      <x:c r="L38" t="str">
        <x:v>E-mail 15/09 | Solicitação de Compra</x:v>
      </x:c>
      <x:c r="M38" t="str">
        <x:v>Acompanhar cotação/pedido e prazo da primeira entrega em Recife</x:v>
      </x:c>
      <x:c r="N38" s="2"/>
      <x:c r="O38" t="str">
        <x:v>Solicitação inicial de compras encaminhada em 15/09. Primeira entrega direcionada para Recife; complementos por base conforme definição da rampa. Itens/quantidades dos anexos não validados nesta atualização.</x:v>
      </x:c>
      <x:c r="P38">
        <x:f t="shared" ca="1" si="2"/>
        <x:v>2</x:v>
      </x:c>
      <x:c r="Q38" t="str">
        <x:f t="shared" ca="1" si="3"/>
        <x:v>ATENÇÃO</x:v>
      </x:c>
    </x:row>
    <x:row r="39">
      <x:c r="A39">
        <x:v>35</x:v>
      </x:c>
      <x:c r="B39" t="s">
        <x:v>171</x:v>
      </x:c>
      <x:c r="C39" t="s">
        <x:v>174</x:v>
      </x:c>
      <x:c r="D39" t="s">
        <x:v>175</x:v>
      </x:c>
      <x:c r="E39" t="s">
        <x:v>22</x:v>
      </x:c>
      <x:c r="F39" t="s">
        <x:v>23</x:v>
      </x:c>
      <x:c r="G39" t="s">
        <x:v>30</x:v>
      </x:c>
      <x:c r="H39" t="s">
        <x:v>31</x:v>
      </x:c>
      <x:c r="I39" s="2">
        <x:v>46283</x:v>
      </x:c>
      <x:c r="J39" s="2"/>
      <x:c r="K39" s="8">
        <x:v>0</x:v>
      </x:c>
      <x:c r="N39" s="2"/>
      <x:c r="P39">
        <x:f t="shared" ca="1" si="2"/>
        <x:v>2</x:v>
      </x:c>
      <x:c r="Q39" t="str">
        <x:f t="shared" ca="1" si="3"/>
        <x:v>ATENÇÃO</x:v>
      </x:c>
    </x:row>
    <x:row r="40">
      <x:c r="A40">
        <x:v>36</x:v>
      </x:c>
      <x:c r="B40" t="s">
        <x:v>171</x:v>
      </x:c>
      <x:c r="C40" t="s">
        <x:v>176</x:v>
      </x:c>
      <x:c r="D40" t="s">
        <x:v>177</x:v>
      </x:c>
      <x:c r="E40" t="s">
        <x:v>22</x:v>
      </x:c>
      <x:c r="F40" t="s">
        <x:v>178</x:v>
      </x:c>
      <x:c r="G40" t="s">
        <x:v>24</x:v>
      </x:c>
      <x:c r="H40" t="s">
        <x:v>31</x:v>
      </x:c>
      <x:c r="I40" s="2">
        <x:v>46311</x:v>
      </x:c>
      <x:c r="J40" s="2"/>
      <x:c r="K40" s="8">
        <x:v>0</x:v>
      </x:c>
      <x:c r="N40" s="2"/>
      <x:c r="P40">
        <x:f t="shared" ca="1" si="2"/>
        <x:v>30</x:v>
      </x:c>
      <x:c r="Q40" t="str">
        <x:f t="shared" ca="1" si="3"/>
        <x:v>NO PRAZO</x:v>
      </x:c>
    </x:row>
    <x:row r="41">
      <x:c r="A41">
        <x:v>37</x:v>
      </x:c>
      <x:c r="B41" t="s">
        <x:v>140</x:v>
      </x:c>
      <x:c r="C41" t="s">
        <x:v>179</x:v>
      </x:c>
      <x:c r="D41" t="s">
        <x:v>180</x:v>
      </x:c>
      <x:c r="E41" t="s">
        <x:v>22</x:v>
      </x:c>
      <x:c r="F41" t="s">
        <x:v>23</x:v>
      </x:c>
      <x:c r="G41" t="s">
        <x:v>24</x:v>
      </x:c>
      <x:c r="H41" t="s">
        <x:v>31</x:v>
      </x:c>
      <x:c r="I41" s="2">
        <x:v>46311</x:v>
      </x:c>
      <x:c r="J41" s="2"/>
      <x:c r="K41" s="8">
        <x:v>0</x:v>
      </x:c>
      <x:c r="N41" s="2"/>
      <x:c r="P41">
        <x:f t="shared" ca="1" si="2"/>
        <x:v>30</x:v>
      </x:c>
      <x:c r="Q41" t="str">
        <x:f t="shared" ca="1" si="3"/>
        <x:v>NO PRAZO</x:v>
      </x:c>
    </x:row>
    <x:row r="42">
      <x:c r="A42">
        <x:v>38</x:v>
      </x:c>
      <x:c r="B42" t="s">
        <x:v>140</x:v>
      </x:c>
      <x:c r="C42" t="s">
        <x:v>181</x:v>
      </x:c>
      <x:c r="D42" t="s">
        <x:v>182</x:v>
      </x:c>
      <x:c r="E42" t="s">
        <x:v>22</x:v>
      </x:c>
      <x:c r="F42" t="s">
        <x:v>122</x:v>
      </x:c>
      <x:c r="G42" t="s">
        <x:v>24</x:v>
      </x:c>
      <x:c r="H42" t="s">
        <x:v>31</x:v>
      </x:c>
      <x:c r="I42" s="2">
        <x:v>46318</x:v>
      </x:c>
      <x:c r="J42" s="2"/>
      <x:c r="K42" s="8">
        <x:v>0</x:v>
      </x:c>
      <x:c r="N42" s="2"/>
      <x:c r="P42">
        <x:f t="shared" ca="1" si="2"/>
        <x:v>37</x:v>
      </x:c>
      <x:c r="Q42" t="str">
        <x:f t="shared" ca="1" si="3"/>
        <x:v>NO PRAZO</x:v>
      </x:c>
    </x:row>
    <x:row r="43">
      <x:c r="A43">
        <x:v>39</x:v>
      </x:c>
      <x:c r="B43" t="s">
        <x:v>140</x:v>
      </x:c>
      <x:c r="C43" t="s">
        <x:v>183</x:v>
      </x:c>
      <x:c r="D43" t="s">
        <x:v>184</x:v>
      </x:c>
      <x:c r="E43" t="s">
        <x:v>22</x:v>
      </x:c>
      <x:c r="F43" t="s">
        <x:v>23</x:v>
      </x:c>
      <x:c r="G43" t="s">
        <x:v>24</x:v>
      </x:c>
      <x:c r="H43" t="s">
        <x:v>31</x:v>
      </x:c>
      <x:c r="I43" s="2">
        <x:v>46318</x:v>
      </x:c>
      <x:c r="J43" s="2"/>
      <x:c r="K43" s="8">
        <x:v>0</x:v>
      </x:c>
      <x:c r="N43" s="2"/>
      <x:c r="P43">
        <x:f t="shared" ca="1" si="2"/>
        <x:v>37</x:v>
      </x:c>
      <x:c r="Q43" t="str">
        <x:f t="shared" ca="1" si="3"/>
        <x:v>NO PRAZO</x:v>
      </x:c>
    </x:row>
    <x:row r="44">
      <x:c r="A44">
        <x:v>40</x:v>
      </x:c>
      <x:c r="B44" t="s">
        <x:v>185</x:v>
      </x:c>
      <x:c r="C44" t="s">
        <x:v>186</x:v>
      </x:c>
      <x:c r="D44" t="s">
        <x:v>187</x:v>
      </x:c>
      <x:c r="E44" t="s">
        <x:v>35</x:v>
      </x:c>
      <x:c r="F44" t="s">
        <x:v>188</x:v>
      </x:c>
      <x:c r="G44" t="s">
        <x:v>30</x:v>
      </x:c>
      <x:c r="H44" t="s">
        <x:v>31</x:v>
      </x:c>
      <x:c r="I44" s="2">
        <x:v>46318</x:v>
      </x:c>
      <x:c r="J44" s="2"/>
      <x:c r="K44" s="8">
        <x:v>0</x:v>
      </x:c>
      <x:c r="N44" s="2"/>
      <x:c r="P44">
        <x:f t="shared" ca="1" si="2"/>
        <x:v>37</x:v>
      </x:c>
      <x:c r="Q44" t="str">
        <x:f t="shared" ca="1" si="3"/>
        <x:v>NO PRAZO</x:v>
      </x:c>
    </x:row>
    <x:row r="45">
      <x:c r="A45">
        <x:v>41</x:v>
      </x:c>
      <x:c r="B45" t="s">
        <x:v>185</x:v>
      </x:c>
      <x:c r="C45" t="s">
        <x:v>189</x:v>
      </x:c>
      <x:c r="D45" t="s">
        <x:v>190</x:v>
      </x:c>
      <x:c r="E45" t="s">
        <x:v>22</x:v>
      </x:c>
      <x:c r="F45" t="s">
        <x:v>191</x:v>
      </x:c>
      <x:c r="G45" t="s">
        <x:v>24</x:v>
      </x:c>
      <x:c r="H45" t="s">
        <x:v>31</x:v>
      </x:c>
      <x:c r="I45" s="2">
        <x:v>46314</x:v>
      </x:c>
      <x:c r="J45" s="2"/>
      <x:c r="K45" s="8">
        <x:v>0</x:v>
      </x:c>
      <x:c r="N45" s="2"/>
      <x:c r="P45">
        <x:f t="shared" ca="1" si="2"/>
        <x:v>33</x:v>
      </x:c>
      <x:c r="Q45" t="str">
        <x:f t="shared" ca="1" si="3"/>
        <x:v>NO PRAZO</x:v>
      </x:c>
    </x:row>
    <x:row r="46">
      <x:c r="A46">
        <x:v>42</x:v>
      </x:c>
      <x:c r="B46" t="s">
        <x:v>185</x:v>
      </x:c>
      <x:c r="C46" t="s">
        <x:v>192</x:v>
      </x:c>
      <x:c r="D46" t="s">
        <x:v>193</x:v>
      </x:c>
      <x:c r="E46" t="s">
        <x:v>22</x:v>
      </x:c>
      <x:c r="F46" t="s">
        <x:v>191</x:v>
      </x:c>
      <x:c r="G46" t="s">
        <x:v>24</x:v>
      </x:c>
      <x:c r="H46" t="s">
        <x:v>31</x:v>
      </x:c>
      <x:c r="I46" s="2">
        <x:v>46320</x:v>
      </x:c>
      <x:c r="J46" s="2"/>
      <x:c r="K46" s="8">
        <x:v>0</x:v>
      </x:c>
      <x:c r="N46" s="2"/>
      <x:c r="P46">
        <x:f t="shared" ca="1" si="2"/>
        <x:v>39</x:v>
      </x:c>
      <x:c r="Q46" t="str">
        <x:f t="shared" ca="1" si="3"/>
        <x:v>NO PRAZO</x:v>
      </x:c>
    </x:row>
    <x:row r="47">
      <x:c r="A47">
        <x:v>43</x:v>
      </x:c>
      <x:c r="B47" t="s">
        <x:v>185</x:v>
      </x:c>
      <x:c r="C47" t="s">
        <x:v>194</x:v>
      </x:c>
      <x:c r="D47" t="s">
        <x:v>195</x:v>
      </x:c>
      <x:c r="E47" t="s">
        <x:v>22</x:v>
      </x:c>
      <x:c r="F47" t="s">
        <x:v>23</x:v>
      </x:c>
      <x:c r="G47" t="s">
        <x:v>24</x:v>
      </x:c>
      <x:c r="H47" t="s">
        <x:v>31</x:v>
      </x:c>
      <x:c r="I47" s="2">
        <x:v>46321</x:v>
      </x:c>
      <x:c r="J47" s="2"/>
      <x:c r="K47" s="8">
        <x:v>0</x:v>
      </x:c>
      <x:c r="N47" s="2"/>
      <x:c r="P47">
        <x:f t="shared" ca="1" si="2"/>
        <x:v>40</x:v>
      </x:c>
      <x:c r="Q47" t="str">
        <x:f t="shared" ca="1" si="3"/>
        <x:v>NO PRAZO</x:v>
      </x:c>
    </x:row>
    <x:row r="48">
      <x:c r="A48">
        <x:v>44</x:v>
      </x:c>
      <x:c r="B48" t="s">
        <x:v>196</x:v>
      </x:c>
      <x:c r="C48" t="s">
        <x:v>197</x:v>
      </x:c>
      <x:c r="D48" t="s">
        <x:v>198</x:v>
      </x:c>
      <x:c r="E48" t="s">
        <x:v>22</x:v>
      </x:c>
      <x:c r="F48" t="s">
        <x:v>87</x:v>
      </x:c>
      <x:c r="G48" t="s">
        <x:v>30</x:v>
      </x:c>
      <x:c r="H48" t="s">
        <x:v>31</x:v>
      </x:c>
      <x:c r="I48" s="2">
        <x:v>46322</x:v>
      </x:c>
      <x:c r="J48" s="2"/>
      <x:c r="K48" s="8">
        <x:v>0</x:v>
      </x:c>
      <x:c r="N48" s="2"/>
      <x:c r="P48">
        <x:f t="shared" ca="1" si="2"/>
        <x:v>41</x:v>
      </x:c>
      <x:c r="Q48" t="str">
        <x:f t="shared" ca="1" si="3"/>
        <x:v>NO PRAZO</x:v>
      </x:c>
    </x:row>
    <x:row r="49">
      <x:c r="A49">
        <x:v>45</x:v>
      </x:c>
      <x:c r="B49" t="s">
        <x:v>199</x:v>
      </x:c>
      <x:c r="C49" t="s">
        <x:v>200</x:v>
      </x:c>
      <x:c r="D49" t="s">
        <x:v>201</x:v>
      </x:c>
      <x:c r="E49" t="s">
        <x:v>35</x:v>
      </x:c>
      <x:c r="F49" t="s">
        <x:v>23</x:v>
      </x:c>
      <x:c r="G49" t="s">
        <x:v>24</x:v>
      </x:c>
      <x:c r="H49" t="s">
        <x:v>25</x:v>
      </x:c>
      <x:c r="I49" s="2">
        <x:v>46276</x:v>
      </x:c>
      <x:c r="J49" s="2">
        <x:v>46276</x:v>
      </x:c>
      <x:c r="K49" s="8">
        <x:v>1</x:v>
      </x:c>
      <x:c r="N49" s="2"/>
      <x:c r="O49" t="s">
        <x:v>202</x:v>
      </x:c>
      <x:c r="P49">
        <x:f t="shared" ca="1" si="2"/>
        <x:v>-5</x:v>
      </x:c>
      <x:c r="Q49" t="str">
        <x:f t="shared" si="3"/>
        <x:v>OK</x:v>
      </x:c>
    </x:row>
    <x:row r="50">
      <x:c r="A50">
        <x:v>46</x:v>
      </x:c>
      <x:c r="B50" t="s">
        <x:v>199</x:v>
      </x:c>
      <x:c r="C50" t="s">
        <x:v>203</x:v>
      </x:c>
      <x:c r="D50" t="s">
        <x:v>204</x:v>
      </x:c>
      <x:c r="E50" t="s">
        <x:v>22</x:v>
      </x:c>
      <x:c r="F50" t="s">
        <x:v>23</x:v>
      </x:c>
      <x:c r="G50" t="s">
        <x:v>24</x:v>
      </x:c>
      <x:c r="H50" t="s">
        <x:v>31</x:v>
      </x:c>
      <x:c r="I50" s="2">
        <x:v>46311</x:v>
      </x:c>
      <x:c r="J50" s="2"/>
      <x:c r="K50" s="8">
        <x:v>0</x:v>
      </x:c>
      <x:c r="N50" s="2"/>
      <x:c r="P50">
        <x:f t="shared" ca="1" si="2"/>
        <x:v>30</x:v>
      </x:c>
      <x:c r="Q50" t="str">
        <x:f t="shared" ca="1" si="3"/>
        <x:v>NO PRAZO</x:v>
      </x:c>
    </x:row>
    <x:row r="51">
      <x:c r="A51">
        <x:v>47</x:v>
      </x:c>
      <x:c r="B51" t="s">
        <x:v>199</x:v>
      </x:c>
      <x:c r="C51" t="s">
        <x:v>205</x:v>
      </x:c>
      <x:c r="D51" t="s">
        <x:v>206</x:v>
      </x:c>
      <x:c r="E51" t="s">
        <x:v>22</x:v>
      </x:c>
      <x:c r="F51" t="s">
        <x:v>23</x:v>
      </x:c>
      <x:c r="G51" t="s">
        <x:v>30</x:v>
      </x:c>
      <x:c r="H51" t="s">
        <x:v>31</x:v>
      </x:c>
      <x:c r="I51" s="2">
        <x:v>46318</x:v>
      </x:c>
      <x:c r="J51" s="2"/>
      <x:c r="K51" s="8">
        <x:v>0</x:v>
      </x:c>
      <x:c r="N51" s="2"/>
      <x:c r="P51">
        <x:f t="shared" ca="1" si="2"/>
        <x:v>37</x:v>
      </x:c>
      <x:c r="Q51" t="str">
        <x:f t="shared" ca="1" si="3"/>
        <x:v>NO PRAZO</x:v>
      </x:c>
    </x:row>
    <x:row r="52">
      <x:c r="A52">
        <x:v>48</x:v>
      </x:c>
      <x:c r="B52" t="s">
        <x:v>199</x:v>
      </x:c>
      <x:c r="C52" t="s">
        <x:v>207</x:v>
      </x:c>
      <x:c r="D52" t="s">
        <x:v>208</x:v>
      </x:c>
      <x:c r="E52" t="s">
        <x:v>35</x:v>
      </x:c>
      <x:c r="F52" t="s">
        <x:v>50</x:v>
      </x:c>
      <x:c r="G52" t="s">
        <x:v>24</x:v>
      </x:c>
      <x:c r="H52" t="s">
        <x:v>31</x:v>
      </x:c>
      <x:c r="I52" s="2">
        <x:v>46311</x:v>
      </x:c>
      <x:c r="J52" s="2"/>
      <x:c r="K52" s="8">
        <x:v>0</x:v>
      </x:c>
      <x:c r="N52" s="2"/>
      <x:c r="P52">
        <x:f t="shared" ca="1" si="2"/>
        <x:v>30</x:v>
      </x:c>
      <x:c r="Q52" t="str">
        <x:f t="shared" ca="1" si="3"/>
        <x:v>NO PRAZO</x:v>
      </x:c>
    </x:row>
    <x:row r="53">
      <x:c r="A53">
        <x:v>49</x:v>
      </x:c>
      <x:c r="B53" t="s">
        <x:v>199</x:v>
      </x:c>
      <x:c r="C53" t="s">
        <x:v>209</x:v>
      </x:c>
      <x:c r="D53" t="s">
        <x:v>210</x:v>
      </x:c>
      <x:c r="E53" t="s">
        <x:v>22</x:v>
      </x:c>
      <x:c r="F53" t="s">
        <x:v>23</x:v>
      </x:c>
      <x:c r="G53" t="s">
        <x:v>30</x:v>
      </x:c>
      <x:c r="H53" t="s">
        <x:v>31</x:v>
      </x:c>
      <x:c r="I53" s="2">
        <x:v>46318</x:v>
      </x:c>
      <x:c r="J53" s="2"/>
      <x:c r="K53" s="8">
        <x:v>0</x:v>
      </x:c>
      <x:c r="N53" s="2"/>
      <x:c r="P53">
        <x:f t="shared" ca="1" si="2"/>
        <x:v>37</x:v>
      </x:c>
      <x:c r="Q53" t="str">
        <x:f t="shared" ca="1" si="3"/>
        <x:v>NO PRAZO</x:v>
      </x:c>
    </x:row>
    <x:row r="54">
      <x:c r="I54" s="2"/>
      <x:c r="J54" s="2"/>
      <x:c r="K54" s="8"/>
      <x:c r="N54" s="2"/>
      <x:c r="P54" t="str">
        <x:f ca="1">IF(I54="","",I54-TODAY())</x:f>
      </x:c>
      <x:c r="Q54" t="str">
        <x:f>IF(H54="Concluído","OK",IF(H54="Bloqueado","BLOQUEADO",IF(I54="","SEM DATA",IF(P54&lt;0,"ATRASADO",IF(P54&lt;=3,"ATENÇÃO","NO PRAZO")))))</x:f>
        <x:v>SEM DATA</x:v>
      </x:c>
    </x:row>
  </x:sheetData>
  <x:mergeCells>
    <x:mergeCell ref="A1:Q1"/>
    <x:mergeCell ref="A2:Q2"/>
  </x:mergeCells>
  <x:conditionalFormatting sqref="H5:H53">
    <x:cfRule type="expression" dxfId="10" priority="1">
      <x:formula>H5="Concluído"</x:formula>
    </x:cfRule>
    <x:cfRule type="expression" dxfId="9" priority="2">
      <x:formula>H5="Bloqueado"</x:formula>
    </x:cfRule>
  </x:conditionalFormatting>
  <x:conditionalFormatting sqref="Q5:Q53">
    <x:cfRule type="expression" dxfId="8" priority="3">
      <x:formula>Q5="ATRASADO"</x:formula>
    </x:cfRule>
    <x:cfRule type="expression" dxfId="7" priority="4">
      <x:formula>Q5="ATENÇÃO"</x:formula>
    </x:cfRule>
    <x:cfRule type="expression" dxfId="6" priority="5">
      <x:formula>Q5="OK"</x:formula>
    </x:cfRule>
  </x:conditionalFormatting>
  <x:dataValidations count="3">
    <x:dataValidation type="list" sqref="G5:G53">
      <x:formula1>"Crítica,Alta,Média,Baixa"</x:formula1>
    </x:dataValidation>
    <x:dataValidation type="list" sqref="H5:H53">
      <x:formula1>"Não iniciado,Em andamento,Pendente Aqua/Cliente,Bloqueado,Concluído,N/A"</x:formula1>
    </x:dataValidation>
    <x:dataValidation type="list" sqref="H5:H54">
      <x:formula1>"Não iniciado,Em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a9b61d9cb1427c"/>
  </x:tableParts>
</x:worksheet>
</file>

<file path=xl/worksheets/sheet3.xml><?xml version="1.0" encoding="utf-8"?>
<x:worksheet xmlns:x="http://schemas.openxmlformats.org/spreadsheetml/2006/main">
  <x:sheetFormatPr defaultColWidth="8.75" defaultRowHeight="14.25"/>
  <x:cols>
    <x:col min="1" max="1" width="6" customWidth="1"/>
    <x:col min="2" max="2" width="20" customWidth="1"/>
    <x:col min="3" max="3" width="34" customWidth="1"/>
    <x:col min="4" max="4" width="40" customWidth="1"/>
    <x:col min="5" max="5" width="20" customWidth="1"/>
    <x:col min="6" max="6" width="24" customWidth="1"/>
    <x:col min="7" max="7" width="12" customWidth="1"/>
    <x:col min="8" max="8" width="20" customWidth="1"/>
    <x:col min="9" max="10" width="14" customWidth="1"/>
    <x:col min="11" max="11" width="12" customWidth="1"/>
    <x:col min="12" max="12" width="28" customWidth="1"/>
    <x:col min="13" max="13" width="34" customWidth="1"/>
    <x:col min="14" max="14" width="14" customWidth="1"/>
    <x:col min="15" max="15" width="30" customWidth="1"/>
    <x:col min="16" max="16" width="12" customWidth="1"/>
    <x:col min="17" max="17" width="14" customWidth="1"/>
  </x:cols>
  <x:sheetData>
    <x:row r="1" ht="17.850000381469727" customHeight="1">
      <x:c r="A1" s="17" t="s">
        <x:v>211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</x:row>
    <x:row r="2">
      <x:c r="A2" s="18" t="s">
        <x:v>146</x:v>
      </x:c>
      <x:c r="B2" s="18"/>
      <x:c r="C2" s="18"/>
      <x:c r="D2" s="18"/>
      <x:c r="E2" s="18"/>
      <x:c r="F2" s="18"/>
      <x:c r="G2" s="18"/>
      <x:c r="H2" s="18"/>
      <x:c r="I2" s="18"/>
      <x:c r="J2" s="18"/>
      <x:c r="K2" s="18"/>
      <x:c r="L2" s="18"/>
      <x:c r="M2" s="18"/>
      <x:c r="N2" s="18"/>
      <x:c r="O2" s="18"/>
      <x:c r="P2" s="18"/>
      <x:c r="Q2" s="18"/>
    </x:row>
    <x:row r="4" ht="15">
      <x:c r="A4" s="1" t="s">
        <x:v>2</x:v>
      </x:c>
      <x:c r="B4" s="1" t="s">
        <x:v>3</x:v>
      </x:c>
      <x:c r="C4" s="1" t="s">
        <x:v>4</x:v>
      </x:c>
      <x:c r="D4" s="1" t="s">
        <x:v>5</x:v>
      </x:c>
      <x:c r="E4" s="1" t="s">
        <x:v>6</x:v>
      </x:c>
      <x:c r="F4" s="1" t="s">
        <x:v>7</x:v>
      </x:c>
      <x:c r="G4" s="1" t="s">
        <x:v>8</x:v>
      </x:c>
      <x:c r="H4" s="1" t="s">
        <x:v>9</x:v>
      </x:c>
      <x:c r="I4" s="1" t="s">
        <x:v>10</x:v>
      </x:c>
      <x:c r="J4" s="1" t="s">
        <x:v>11</x:v>
      </x:c>
      <x:c r="K4" s="1" t="s">
        <x:v>12</x:v>
      </x:c>
      <x:c r="L4" s="1" t="s">
        <x:v>13</x:v>
      </x:c>
      <x:c r="M4" s="1" t="s">
        <x:v>14</x:v>
      </x:c>
      <x:c r="N4" s="1" t="s">
        <x:v>15</x:v>
      </x:c>
      <x:c r="O4" s="1" t="s">
        <x:v>16</x:v>
      </x:c>
      <x:c r="P4" s="1" t="s">
        <x:v>17</x:v>
      </x:c>
      <x:c r="Q4" s="1" t="s">
        <x:v>18</x:v>
      </x:c>
    </x:row>
    <x:row r="5">
      <x:c r="A5">
        <x:v>1</x:v>
      </x:c>
      <x:c r="B5" t="s">
        <x:v>19</x:v>
      </x:c>
      <x:c r="C5" t="s">
        <x:v>20</x:v>
      </x:c>
      <x:c r="D5" t="s">
        <x:v>21</x:v>
      </x:c>
      <x:c r="E5" t="s">
        <x:v>22</x:v>
      </x:c>
      <x:c r="F5" t="s">
        <x:v>23</x:v>
      </x:c>
      <x:c r="G5" t="s">
        <x:v>24</x:v>
      </x:c>
      <x:c r="H5" t="s">
        <x:v>25</x:v>
      </x:c>
      <x:c r="I5" s="2">
        <x:v>46260</x:v>
      </x:c>
      <x:c r="J5" s="2">
        <x:v>46260</x:v>
      </x:c>
      <x:c r="K5" s="8">
        <x:v>1</x:v>
      </x:c>
      <x:c r="N5" s="2"/>
      <x:c r="P5" t="n">
        <x:f t="shared" ref="P5:P36" ca="1" si="0">IF(I5="","",I5-TODAY())</x:f>
        <x:v>-21</x:v>
      </x:c>
      <x:c r="Q5" t="str">
        <x:f t="shared" ref="Q5:Q36" si="1">IF(H5="Concluído","OK",IF(H5="Bloqueado","BLOQUEADO",IF(I5="","SEM DATA",IF(P5&lt;0,"ATRASADO",IF(P5&lt;=3,"ATENÇÃO","NO PRAZO")))))</x:f>
        <x:v>OK</x:v>
      </x:c>
    </x:row>
    <x:row r="6">
      <x:c r="A6">
        <x:v>2</x:v>
      </x:c>
      <x:c r="B6" t="s">
        <x:v>19</x:v>
      </x:c>
      <x:c r="C6" t="s">
        <x:v>147</x:v>
      </x:c>
      <x:c r="D6" t="s">
        <x:v>148</x:v>
      </x:c>
      <x:c r="E6" t="s">
        <x:v>35</x:v>
      </x:c>
      <x:c r="F6" t="s">
        <x:v>23</x:v>
      </x:c>
      <x:c r="G6" t="s">
        <x:v>24</x:v>
      </x:c>
      <x:c r="H6" t="s">
        <x:v>25</x:v>
      </x:c>
      <x:c r="I6" s="2">
        <x:v>46262</x:v>
      </x:c>
      <x:c r="J6" s="2">
        <x:v>46262</x:v>
      </x:c>
      <x:c r="K6" s="8">
        <x:v>1</x:v>
      </x:c>
      <x:c r="N6" s="2"/>
      <x:c r="P6">
        <x:f t="shared" ca="1" si="0"/>
        <x:v>-19</x:v>
      </x:c>
      <x:c r="Q6" t="str">
        <x:f t="shared" si="1"/>
        <x:v>OK</x:v>
      </x:c>
    </x:row>
    <x:row r="7">
      <x:c r="A7">
        <x:v>3</x:v>
      </x:c>
      <x:c r="B7" t="s">
        <x:v>19</x:v>
      </x:c>
      <x:c r="C7" t="s">
        <x:v>150</x:v>
      </x:c>
      <x:c r="D7" t="s">
        <x:v>151</x:v>
      </x:c>
      <x:c r="E7" t="s">
        <x:v>35</x:v>
      </x:c>
      <x:c r="F7" t="s">
        <x:v>23</x:v>
      </x:c>
      <x:c r="G7" t="s">
        <x:v>24</x:v>
      </x:c>
      <x:c r="H7" t="s">
        <x:v>25</x:v>
      </x:c>
      <x:c r="I7" s="2">
        <x:v>46266</x:v>
      </x:c>
      <x:c r="J7" s="2">
        <x:v>46268</x:v>
      </x:c>
      <x:c r="K7" s="8">
        <x:v>1</x:v>
      </x:c>
      <x:c r="N7" s="2"/>
      <x:c r="P7">
        <x:f t="shared" ca="1" si="0"/>
        <x:v>-15</x:v>
      </x:c>
      <x:c r="Q7" t="str">
        <x:f t="shared" si="1"/>
        <x:v>OK</x:v>
      </x:c>
    </x:row>
    <x:row r="8">
      <x:c r="A8">
        <x:v>4</x:v>
      </x:c>
      <x:c r="B8" t="s">
        <x:v>19</x:v>
      </x:c>
      <x:c r="C8" t="s">
        <x:v>28</x:v>
      </x:c>
      <x:c r="D8" t="s">
        <x:v>29</x:v>
      </x:c>
      <x:c r="E8" t="s">
        <x:v>22</x:v>
      </x:c>
      <x:c r="F8" t="s">
        <x:v>23</x:v>
      </x:c>
      <x:c r="G8" t="s">
        <x:v>30</x:v>
      </x:c>
      <x:c r="H8" t="str">
        <x:v>Concluído</x:v>
      </x:c>
      <x:c r="I8" s="44" t="n">
        <x:v>46281</x:v>
      </x:c>
      <x:c r="J8" s="44" t="n">
        <x:v>46281</x:v>
      </x:c>
      <x:c r="K8" s="8" t="n">
        <x:v>1</x:v>
      </x:c>
      <x:c r="L8" t="str">
        <x:v>Matriz nominal de responsáveis definida</x:v>
      </x:c>
      <x:c r="M8"/>
      <x:c r="N8" s="2"/>
      <x:c r="O8" t="str">
        <x:v>Anna Michelle – Hidrometria | Matheus Candolo – Gestor do contrato | Leandro – Apoio geral | Aqua: José Roberto – Hidrometria</x:v>
      </x:c>
      <x:c r="P8">
        <x:f t="shared" ca="1" si="0"/>
        <x:v>-1</x:v>
      </x:c>
      <x:c r="Q8" t="str">
        <x:f t="shared" ca="1" si="1"/>
        <x:v>ATRASADO</x:v>
      </x:c>
    </x:row>
    <x:row r="9">
      <x:c r="A9">
        <x:v>5</x:v>
      </x:c>
      <x:c r="B9" t="s">
        <x:v>32</x:v>
      </x:c>
      <x:c r="C9" t="s">
        <x:v>33</x:v>
      </x:c>
      <x:c r="D9" t="s">
        <x:v>34</x:v>
      </x:c>
      <x:c r="E9" t="s">
        <x:v>35</x:v>
      </x:c>
      <x:c r="F9" t="s">
        <x:v>36</x:v>
      </x:c>
      <x:c r="G9" t="s">
        <x:v>24</x:v>
      </x:c>
      <x:c r="H9" t="str">
        <x:v>Concluído</x:v>
      </x:c>
      <x:c r="I9" s="2">
        <x:v>46283</x:v>
      </x:c>
      <x:c r="J9" s="44" t="n">
        <x:v>46281</x:v>
      </x:c>
      <x:c r="K9" s="8" t="n">
        <x:v>1</x:v>
      </x:c>
      <x:c r="L9" t="str">
        <x:v>Confirmação operacional – Base Recife concluída</x:v>
      </x:c>
      <x:c r="M9"/>
      <x:c r="N9" s="2"/>
      <x:c r="O9" t="str">
        <x:v>Base Recife confirmada como concluída e disponível para a mobilização.</x:v>
      </x:c>
      <x:c r="P9">
        <x:f t="shared" ca="1" si="0"/>
        <x:v>2</x:v>
      </x:c>
      <x:c r="Q9" t="str">
        <x:f t="shared" ca="1" si="1"/>
        <x:v>ATENÇÃO</x:v>
      </x:c>
    </x:row>
    <x:row r="10">
      <x:c r="A10">
        <x:v>6</x:v>
      </x:c>
      <x:c r="B10" t="s">
        <x:v>32</x:v>
      </x:c>
      <x:c r="C10" t="s">
        <x:v>38</x:v>
      </x:c>
      <x:c r="D10" t="s">
        <x:v>39</x:v>
      </x:c>
      <x:c r="E10" t="s">
        <x:v>35</x:v>
      </x:c>
      <x:c r="F10" t="s">
        <x:v>40</x:v>
      </x:c>
      <x:c r="G10" t="s">
        <x:v>24</x:v>
      </x:c>
      <x:c r="H10" t="str">
        <x:v>Concluído</x:v>
      </x:c>
      <x:c r="I10" s="2">
        <x:v>46311</x:v>
      </x:c>
      <x:c r="J10" s="44" t="n">
        <x:v>46281</x:v>
      </x:c>
      <x:c r="K10" s="8" t="n">
        <x:v>1</x:v>
      </x:c>
      <x:c r="L10" t="str">
        <x:v>Confirmação operacional – Base Recife concluída</x:v>
      </x:c>
      <x:c r="M10"/>
      <x:c r="N10" s="2"/>
      <x:c r="O10" t="str">
        <x:v>Base Recife confirmada como concluída e disponível para a mobilização.</x:v>
      </x:c>
      <x:c r="P10">
        <x:f t="shared" ca="1" si="0"/>
        <x:v>30</x:v>
      </x:c>
      <x:c r="Q10" t="str">
        <x:f t="shared" ca="1" si="1"/>
        <x:v>NO PRAZO</x:v>
      </x:c>
    </x:row>
    <x:row r="11">
      <x:c r="A11">
        <x:v>7</x:v>
      </x:c>
      <x:c r="B11" t="s">
        <x:v>32</x:v>
      </x:c>
      <x:c r="C11" t="s">
        <x:v>41</x:v>
      </x:c>
      <x:c r="D11" t="s">
        <x:v>42</x:v>
      </x:c>
      <x:c r="E11" t="s">
        <x:v>35</x:v>
      </x:c>
      <x:c r="F11" t="s">
        <x:v>43</x:v>
      </x:c>
      <x:c r="G11" t="s">
        <x:v>30</x:v>
      </x:c>
      <x:c r="H11" t="str">
        <x:v>Concluído</x:v>
      </x:c>
      <x:c r="I11" s="2">
        <x:v>46311</x:v>
      </x:c>
      <x:c r="J11" s="44" t="n">
        <x:v>46281</x:v>
      </x:c>
      <x:c r="K11" s="8" t="n">
        <x:v>1</x:v>
      </x:c>
      <x:c r="L11" t="str">
        <x:v>Confirmação operacional – Base Recife concluída</x:v>
      </x:c>
      <x:c r="M11"/>
      <x:c r="N11" s="2"/>
      <x:c r="O11" t="str">
        <x:v>Base Recife confirmada como concluída e disponível para a mobilização.</x:v>
      </x:c>
      <x:c r="P11">
        <x:f t="shared" ca="1" si="0"/>
        <x:v>30</x:v>
      </x:c>
      <x:c r="Q11" t="str">
        <x:f t="shared" ca="1" si="1"/>
        <x:v>NO PRAZO</x:v>
      </x:c>
    </x:row>
    <x:row r="12">
      <x:c r="A12">
        <x:v>8</x:v>
      </x:c>
      <x:c r="B12" t="s">
        <x:v>32</x:v>
      </x:c>
      <x:c r="C12" t="s">
        <x:v>45</x:v>
      </x:c>
      <x:c r="D12" t="s">
        <x:v>46</x:v>
      </x:c>
      <x:c r="E12" t="s">
        <x:v>35</x:v>
      </x:c>
      <x:c r="F12" t="s">
        <x:v>43</x:v>
      </x:c>
      <x:c r="G12" t="s">
        <x:v>24</x:v>
      </x:c>
      <x:c r="H12" t="str">
        <x:v>Concluído</x:v>
      </x:c>
      <x:c r="I12" s="2">
        <x:v>46311</x:v>
      </x:c>
      <x:c r="J12" s="44" t="n">
        <x:v>46281</x:v>
      </x:c>
      <x:c r="K12" s="8" t="n">
        <x:v>1</x:v>
      </x:c>
      <x:c r="L12" t="str">
        <x:v>Confirmação operacional – Base Recife concluída</x:v>
      </x:c>
      <x:c r="M12"/>
      <x:c r="N12" s="2"/>
      <x:c r="O12" t="str">
        <x:v>Base Recife confirmada como concluída e disponível para a mobilização.</x:v>
      </x:c>
      <x:c r="P12">
        <x:f t="shared" ca="1" si="0"/>
        <x:v>30</x:v>
      </x:c>
      <x:c r="Q12" t="str">
        <x:f t="shared" ca="1" si="1"/>
        <x:v>NO PRAZO</x:v>
      </x:c>
    </x:row>
    <x:row r="13">
      <x:c r="A13">
        <x:v>9</x:v>
      </x:c>
      <x:c r="B13" t="s">
        <x:v>32</x:v>
      </x:c>
      <x:c r="C13" t="s">
        <x:v>48</x:v>
      </x:c>
      <x:c r="D13" t="s">
        <x:v>49</x:v>
      </x:c>
      <x:c r="E13" t="s">
        <x:v>35</x:v>
      </x:c>
      <x:c r="F13" t="s">
        <x:v>50</x:v>
      </x:c>
      <x:c r="G13" t="s">
        <x:v>51</x:v>
      </x:c>
      <x:c r="H13" t="str">
        <x:v>Concluído</x:v>
      </x:c>
      <x:c r="I13" s="2">
        <x:v>46311</x:v>
      </x:c>
      <x:c r="J13" s="44" t="n">
        <x:v>46281</x:v>
      </x:c>
      <x:c r="K13" s="8" t="n">
        <x:v>1</x:v>
      </x:c>
      <x:c r="L13" t="str">
        <x:v>Confirmação operacional – Base Recife concluída</x:v>
      </x:c>
      <x:c r="M13"/>
      <x:c r="N13" s="2"/>
      <x:c r="O13" t="str">
        <x:v>Base Recife confirmada como concluída e disponível para a mobilização.</x:v>
      </x:c>
      <x:c r="P13">
        <x:f t="shared" ca="1" si="0"/>
        <x:v>30</x:v>
      </x:c>
      <x:c r="Q13" t="str">
        <x:f t="shared" ca="1" si="1"/>
        <x:v>NO PRAZO</x:v>
      </x:c>
    </x:row>
    <x:row r="14">
      <x:c r="A14">
        <x:v>10</x:v>
      </x:c>
      <x:c r="B14" t="s">
        <x:v>32</x:v>
      </x:c>
      <x:c r="C14" t="s">
        <x:v>53</x:v>
      </x:c>
      <x:c r="D14" t="s">
        <x:v>54</x:v>
      </x:c>
      <x:c r="E14" t="s">
        <x:v>35</x:v>
      </x:c>
      <x:c r="F14" t="s">
        <x:v>55</x:v>
      </x:c>
      <x:c r="G14" t="s">
        <x:v>30</x:v>
      </x:c>
      <x:c r="H14" t="str">
        <x:v>Concluído</x:v>
      </x:c>
      <x:c r="I14" s="2">
        <x:v>46311</x:v>
      </x:c>
      <x:c r="J14" s="44" t="n">
        <x:v>46281</x:v>
      </x:c>
      <x:c r="K14" s="8" t="n">
        <x:v>1</x:v>
      </x:c>
      <x:c r="L14" t="str">
        <x:v>Confirmação operacional – Base Recife concluída</x:v>
      </x:c>
      <x:c r="M14"/>
      <x:c r="N14" s="2"/>
      <x:c r="O14" t="str">
        <x:v>Base Recife confirmada como concluída e disponível para a mobilização.</x:v>
      </x:c>
      <x:c r="P14">
        <x:f t="shared" ca="1" si="0"/>
        <x:v>30</x:v>
      </x:c>
      <x:c r="Q14" t="str">
        <x:f t="shared" ca="1" si="1"/>
        <x:v>NO PRAZO</x:v>
      </x:c>
    </x:row>
    <x:row r="15">
      <x:c r="A15">
        <x:v>11</x:v>
      </x:c>
      <x:c r="B15" t="s">
        <x:v>32</x:v>
      </x:c>
      <x:c r="C15" t="s">
        <x:v>57</x:v>
      </x:c>
      <x:c r="D15" t="s">
        <x:v>58</x:v>
      </x:c>
      <x:c r="E15" t="s">
        <x:v>35</x:v>
      </x:c>
      <x:c r="F15" t="s">
        <x:v>59</x:v>
      </x:c>
      <x:c r="G15" t="s">
        <x:v>30</x:v>
      </x:c>
      <x:c r="H15" t="str">
        <x:v>Concluído</x:v>
      </x:c>
      <x:c r="I15" s="2">
        <x:v>46311</x:v>
      </x:c>
      <x:c r="J15" s="44" t="n">
        <x:v>46281</x:v>
      </x:c>
      <x:c r="K15" s="8" t="n">
        <x:v>1</x:v>
      </x:c>
      <x:c r="L15" t="str">
        <x:v>Confirmação operacional – Base Recife concluída</x:v>
      </x:c>
      <x:c r="M15"/>
      <x:c r="N15" s="2"/>
      <x:c r="O15" t="str">
        <x:v>Base Recife confirmada como concluída e disponível para a mobilização.</x:v>
      </x:c>
      <x:c r="P15">
        <x:f t="shared" ca="1" si="0"/>
        <x:v>30</x:v>
      </x:c>
      <x:c r="Q15" t="str">
        <x:f t="shared" ca="1" si="1"/>
        <x:v>NO PRAZO</x:v>
      </x:c>
    </x:row>
    <x:row r="16">
      <x:c r="A16">
        <x:v>12</x:v>
      </x:c>
      <x:c r="B16" t="s">
        <x:v>32</x:v>
      </x:c>
      <x:c r="C16" t="s">
        <x:v>61</x:v>
      </x:c>
      <x:c r="D16" t="s">
        <x:v>62</x:v>
      </x:c>
      <x:c r="E16" t="s">
        <x:v>35</x:v>
      </x:c>
      <x:c r="F16" t="s">
        <x:v>63</x:v>
      </x:c>
      <x:c r="G16" t="s">
        <x:v>51</x:v>
      </x:c>
      <x:c r="H16" t="str">
        <x:v>Concluído</x:v>
      </x:c>
      <x:c r="I16" s="2">
        <x:v>46311</x:v>
      </x:c>
      <x:c r="J16" s="44" t="n">
        <x:v>46281</x:v>
      </x:c>
      <x:c r="K16" s="8" t="n">
        <x:v>1</x:v>
      </x:c>
      <x:c r="L16" t="str">
        <x:v>Confirmação operacional – Base Recife concluída</x:v>
      </x:c>
      <x:c r="M16"/>
      <x:c r="N16" s="2"/>
      <x:c r="O16" t="str">
        <x:v>Base Recife confirmada como concluída e disponível para a mobilização.</x:v>
      </x:c>
      <x:c r="P16">
        <x:f t="shared" ca="1" si="0"/>
        <x:v>30</x:v>
      </x:c>
      <x:c r="Q16" t="str">
        <x:f t="shared" ca="1" si="1"/>
        <x:v>NO PRAZO</x:v>
      </x:c>
    </x:row>
    <x:row r="17">
      <x:c r="A17">
        <x:v>13</x:v>
      </x:c>
      <x:c r="B17" t="s">
        <x:v>65</x:v>
      </x:c>
      <x:c r="C17" t="s">
        <x:v>66</x:v>
      </x:c>
      <x:c r="D17" t="s">
        <x:v>67</x:v>
      </x:c>
      <x:c r="E17" t="s">
        <x:v>35</x:v>
      </x:c>
      <x:c r="F17" t="s">
        <x:v>23</x:v>
      </x:c>
      <x:c r="G17" t="s">
        <x:v>24</x:v>
      </x:c>
      <x:c r="H17" t="str">
        <x:v>Concluído</x:v>
      </x:c>
      <x:c r="I17" s="2">
        <x:v>46276</x:v>
      </x:c>
      <x:c r="J17" s="44" t="n">
        <x:v>46281</x:v>
      </x:c>
      <x:c r="K17" s="8" t="n">
        <x:v>1</x:v>
      </x:c>
      <x:c r="L17" t="str">
        <x:v>Confirmação operacional – requisitos SSMA recebidos</x:v>
      </x:c>
      <x:c r="M17"/>
      <x:c r="N17" s="2"/>
      <x:c r="O17" t="str">
        <x:v>Requisitos, materiais e orientações de SSMA recebidos.</x:v>
      </x:c>
      <x:c r="P17">
        <x:f t="shared" ca="1" si="0"/>
        <x:v>-5</x:v>
      </x:c>
      <x:c r="Q17" t="str">
        <x:f t="shared" ca="1" si="1"/>
        <x:v>ATRASADO</x:v>
      </x:c>
    </x:row>
    <x:row r="18">
      <x:c r="A18">
        <x:v>14</x:v>
      </x:c>
      <x:c r="B18" t="s">
        <x:v>65</x:v>
      </x:c>
      <x:c r="C18" t="s">
        <x:v>69</x:v>
      </x:c>
      <x:c r="D18" t="s">
        <x:v>70</x:v>
      </x:c>
      <x:c r="E18" t="s">
        <x:v>35</x:v>
      </x:c>
      <x:c r="F18" t="s">
        <x:v>23</x:v>
      </x:c>
      <x:c r="G18" t="s">
        <x:v>24</x:v>
      </x:c>
      <x:c r="H18" t="s">
        <x:v>79</x:v>
      </x:c>
      <x:c r="I18" s="2">
        <x:v>46304</x:v>
      </x:c>
      <x:c r="J18" s="2"/>
      <x:c r="K18" s="8">
        <x:v>0</x:v>
      </x:c>
      <x:c r="N18" s="2"/>
      <x:c r="O18" t="s">
        <x:v>212</x:v>
      </x:c>
      <x:c r="P18">
        <x:f t="shared" ca="1" si="0"/>
        <x:v>23</x:v>
      </x:c>
      <x:c r="Q18" t="str">
        <x:f t="shared" ca="1" si="1"/>
        <x:v>NO PRAZO</x:v>
      </x:c>
    </x:row>
    <x:row r="19">
      <x:c r="A19">
        <x:v>15</x:v>
      </x:c>
      <x:c r="B19" t="s">
        <x:v>65</x:v>
      </x:c>
      <x:c r="C19" t="s">
        <x:v>71</x:v>
      </x:c>
      <x:c r="D19" t="s">
        <x:v>72</x:v>
      </x:c>
      <x:c r="E19" t="s">
        <x:v>35</x:v>
      </x:c>
      <x:c r="F19" t="s">
        <x:v>73</x:v>
      </x:c>
      <x:c r="G19" t="s">
        <x:v>24</x:v>
      </x:c>
      <x:c r="H19" t="s">
        <x:v>79</x:v>
      </x:c>
      <x:c r="I19" s="2">
        <x:v>46280</x:v>
      </x:c>
      <x:c r="J19" s="2"/>
      <x:c r="K19" s="8">
        <x:v>0</x:v>
      </x:c>
      <x:c r="N19" s="2"/>
      <x:c r="P19">
        <x:f t="shared" ca="1" si="0"/>
        <x:v>-1</x:v>
      </x:c>
      <x:c r="Q19" t="str">
        <x:f t="shared" ca="1" si="1"/>
        <x:v>ATRASADO</x:v>
      </x:c>
    </x:row>
    <x:row r="20">
      <x:c r="A20">
        <x:v>16</x:v>
      </x:c>
      <x:c r="B20" t="s">
        <x:v>74</x:v>
      </x:c>
      <x:c r="C20" t="s">
        <x:v>75</x:v>
      </x:c>
      <x:c r="D20" t="s">
        <x:v>76</x:v>
      </x:c>
      <x:c r="E20" t="s">
        <x:v>35</x:v>
      </x:c>
      <x:c r="F20" t="s">
        <x:v>23</x:v>
      </x:c>
      <x:c r="G20" t="s">
        <x:v>30</x:v>
      </x:c>
      <x:c r="H20" t="str">
        <x:v>Concluído</x:v>
      </x:c>
      <x:c r="I20" s="44" t="n">
        <x:v>46276</x:v>
      </x:c>
      <x:c r="J20" s="44" t="n">
        <x:v>46281</x:v>
      </x:c>
      <x:c r="K20" s="8" t="n">
        <x:v>1</x:v>
      </x:c>
      <x:c r="L20" t="str">
        <x:v>E-mail Sheyla - 16/09 | aplicação da marca aprovada</x:v>
      </x:c>
      <x:c r="M20"/>
      <x:c r="N20" s="2"/>
      <x:c r="O20" t="str">
        <x:v>Padrão recebido em 11/09; aplicação da marca aprovada pela Aqua em 16/09, liberando sequência da etapa interna.</x:v>
      </x:c>
      <x:c r="P20">
        <x:f t="shared" ca="1" si="0"/>
        <x:v>-5</x:v>
      </x:c>
      <x:c r="Q20" t="str">
        <x:f t="shared" ca="1" si="1"/>
        <x:v>ATRASADO</x:v>
      </x:c>
    </x:row>
    <x:row r="21">
      <x:c r="A21">
        <x:v>17</x:v>
      </x:c>
      <x:c r="B21" t="s">
        <x:v>74</x:v>
      </x:c>
      <x:c r="C21" t="s">
        <x:v>77</x:v>
      </x:c>
      <x:c r="D21" t="s">
        <x:v>78</x:v>
      </x:c>
      <x:c r="E21" t="s">
        <x:v>35</x:v>
      </x:c>
      <x:c r="F21" t="s">
        <x:v>43</x:v>
      </x:c>
      <x:c r="G21" t="s">
        <x:v>30</x:v>
      </x:c>
      <x:c r="H21" t="s">
        <x:v>31</x:v>
      </x:c>
      <x:c r="I21" s="2">
        <x:v>46311</x:v>
      </x:c>
      <x:c r="J21" s="2"/>
      <x:c r="K21" s="8">
        <x:v>0</x:v>
      </x:c>
      <x:c r="N21" s="2"/>
      <x:c r="P21">
        <x:f t="shared" ca="1" si="0"/>
        <x:v>30</x:v>
      </x:c>
      <x:c r="Q21" t="str">
        <x:f t="shared" ca="1" si="1"/>
        <x:v>NO PRAZO</x:v>
      </x:c>
    </x:row>
    <x:row r="22">
      <x:c r="A22">
        <x:v>18</x:v>
      </x:c>
      <x:c r="B22" t="s">
        <x:v>74</x:v>
      </x:c>
      <x:c r="C22" t="s">
        <x:v>81</x:v>
      </x:c>
      <x:c r="D22" t="s">
        <x:v>82</x:v>
      </x:c>
      <x:c r="E22" t="s">
        <x:v>35</x:v>
      </x:c>
      <x:c r="F22" t="s">
        <x:v>83</x:v>
      </x:c>
      <x:c r="G22" t="s">
        <x:v>24</x:v>
      </x:c>
      <x:c r="H22" t="s">
        <x:v>31</x:v>
      </x:c>
      <x:c r="I22" s="2">
        <x:v>46311</x:v>
      </x:c>
      <x:c r="J22" s="2"/>
      <x:c r="K22" s="8">
        <x:v>0</x:v>
      </x:c>
      <x:c r="N22" s="2"/>
      <x:c r="P22">
        <x:f t="shared" ca="1" si="0"/>
        <x:v>30</x:v>
      </x:c>
      <x:c r="Q22" t="str">
        <x:f t="shared" ca="1" si="1"/>
        <x:v>NO PRAZO</x:v>
      </x:c>
    </x:row>
    <x:row r="23">
      <x:c r="A23">
        <x:v>19</x:v>
      </x:c>
      <x:c r="B23" t="s">
        <x:v>84</x:v>
      </x:c>
      <x:c r="C23" t="s">
        <x:v>85</x:v>
      </x:c>
      <x:c r="D23" t="s">
        <x:v>86</x:v>
      </x:c>
      <x:c r="E23" t="s">
        <x:v>35</x:v>
      </x:c>
      <x:c r="F23" t="s">
        <x:v>87</x:v>
      </x:c>
      <x:c r="G23" t="s">
        <x:v>24</x:v>
      </x:c>
      <x:c r="H23" t="str">
        <x:v>Concluído</x:v>
      </x:c>
      <x:c r="I23" s="44" t="n">
        <x:v>46287</x:v>
      </x:c>
      <x:c r="J23" s="44" t="n">
        <x:v>46281</x:v>
      </x:c>
      <x:c r="K23" s="8" t="n">
        <x:v>1</x:v>
      </x:c>
      <x:c r="L23" t="str">
        <x:v>Rampagem Hidrometria definida</x:v>
      </x:c>
      <x:c r="M23"/>
      <x:c r="N23" s="2"/>
      <x:c r="O23" t="str">
        <x:v>Dimensionamento definido: OUT 33 | NOV 41 | DEZ 48 | JAN 56 | FEV 61 veículos/equipes. Mobilização física permanece controlada separadamente.</x:v>
      </x:c>
      <x:c r="P23">
        <x:f t="shared" ca="1" si="0"/>
        <x:v>2</x:v>
      </x:c>
      <x:c r="Q23" t="str">
        <x:f t="shared" ca="1" si="1"/>
        <x:v>ATENÇÃO</x:v>
      </x:c>
    </x:row>
    <x:row r="24">
      <x:c r="A24">
        <x:v>20</x:v>
      </x:c>
      <x:c r="B24" t="s">
        <x:v>84</x:v>
      </x:c>
      <x:c r="C24" t="s">
        <x:v>89</x:v>
      </x:c>
      <x:c r="D24" t="s">
        <x:v>90</x:v>
      </x:c>
      <x:c r="E24" t="s">
        <x:v>35</x:v>
      </x:c>
      <x:c r="F24" t="s">
        <x:v>91</x:v>
      </x:c>
      <x:c r="G24" t="s">
        <x:v>24</x:v>
      </x:c>
      <x:c r="H24" t="s">
        <x:v>31</x:v>
      </x:c>
      <x:c r="I24" s="2">
        <x:v>46311</x:v>
      </x:c>
      <x:c r="J24" s="2"/>
      <x:c r="K24" s="8">
        <x:v>0</x:v>
      </x:c>
      <x:c r="N24" s="2"/>
      <x:c r="P24">
        <x:f t="shared" ca="1" si="0"/>
        <x:v>30</x:v>
      </x:c>
      <x:c r="Q24" t="str">
        <x:f t="shared" ca="1" si="1"/>
        <x:v>NO PRAZO</x:v>
      </x:c>
    </x:row>
    <x:row r="25">
      <x:c r="A25">
        <x:v>21</x:v>
      </x:c>
      <x:c r="B25" t="s">
        <x:v>84</x:v>
      </x:c>
      <x:c r="C25" t="s">
        <x:v>93</x:v>
      </x:c>
      <x:c r="D25" t="s">
        <x:v>94</x:v>
      </x:c>
      <x:c r="E25" t="s">
        <x:v>35</x:v>
      </x:c>
      <x:c r="F25" t="s">
        <x:v>23</x:v>
      </x:c>
      <x:c r="G25" t="s">
        <x:v>30</x:v>
      </x:c>
      <x:c r="H25" t="s">
        <x:v>153</x:v>
      </x:c>
      <x:c r="I25" s="2">
        <x:v>46276</x:v>
      </x:c>
      <x:c r="J25" s="2"/>
      <x:c r="K25" s="8">
        <x:v>0</x:v>
      </x:c>
      <x:c r="N25" s="2"/>
      <x:c r="O25" t="s">
        <x:v>154</x:v>
      </x:c>
      <x:c r="P25">
        <x:f t="shared" ca="1" si="0"/>
        <x:v>-5</x:v>
      </x:c>
      <x:c r="Q25" t="str">
        <x:f t="shared" ca="1" si="1"/>
        <x:v>ATRASADO</x:v>
      </x:c>
    </x:row>
    <x:row r="26">
      <x:c r="A26">
        <x:v>22</x:v>
      </x:c>
      <x:c r="B26" t="s">
        <x:v>84</x:v>
      </x:c>
      <x:c r="C26" t="s">
        <x:v>95</x:v>
      </x:c>
      <x:c r="D26" t="s">
        <x:v>96</x:v>
      </x:c>
      <x:c r="E26" t="s">
        <x:v>35</x:v>
      </x:c>
      <x:c r="F26" t="s">
        <x:v>97</x:v>
      </x:c>
      <x:c r="G26" t="s">
        <x:v>30</x:v>
      </x:c>
      <x:c r="H26" t="s">
        <x:v>31</x:v>
      </x:c>
      <x:c r="I26" s="2">
        <x:v>46311</x:v>
      </x:c>
      <x:c r="J26" s="2"/>
      <x:c r="K26" s="8">
        <x:v>0</x:v>
      </x:c>
      <x:c r="N26" s="2"/>
      <x:c r="P26">
        <x:f t="shared" ca="1" si="0"/>
        <x:v>30</x:v>
      </x:c>
      <x:c r="Q26" t="str">
        <x:f t="shared" ca="1" si="1"/>
        <x:v>NO PRAZO</x:v>
      </x:c>
    </x:row>
    <x:row r="27">
      <x:c r="A27">
        <x:v>23</x:v>
      </x:c>
      <x:c r="B27" t="s">
        <x:v>98</x:v>
      </x:c>
      <x:c r="C27" t="s">
        <x:v>99</x:v>
      </x:c>
      <x:c r="D27" t="s">
        <x:v>100</x:v>
      </x:c>
      <x:c r="E27" t="s">
        <x:v>35</x:v>
      </x:c>
      <x:c r="F27" t="s">
        <x:v>101</x:v>
      </x:c>
      <x:c r="G27" t="s">
        <x:v>24</x:v>
      </x:c>
      <x:c r="H27" t="str">
        <x:v>Concluído</x:v>
      </x:c>
      <x:c r="I27" s="2">
        <x:v>46280</x:v>
      </x:c>
      <x:c r="J27" s="44" t="n">
        <x:v>46281</x:v>
      </x:c>
      <x:c r="K27" s="8" t="n">
        <x:v>1</x:v>
      </x:c>
      <x:c r="L27" t="str">
        <x:v>Rampagem operacional Hidrometria definida</x:v>
      </x:c>
      <x:c r="M27"/>
      <x:c r="N27" s="2"/>
      <x:c r="O27" t="str">
        <x:v>Quadro operacional dimensionado conforme rampa definida. Recrutamento, admissão e liberação dos colaboradores permanecem controlados separadamente.</x:v>
      </x:c>
      <x:c r="P27">
        <x:f t="shared" ca="1" si="0"/>
        <x:v>-1</x:v>
      </x:c>
      <x:c r="Q27" t="str">
        <x:f t="shared" ca="1" si="1"/>
        <x:v>ATRASADO</x:v>
      </x:c>
    </x:row>
    <x:row r="28">
      <x:c r="A28">
        <x:v>24</x:v>
      </x:c>
      <x:c r="B28" t="s">
        <x:v>98</x:v>
      </x:c>
      <x:c r="C28" t="s">
        <x:v>155</x:v>
      </x:c>
      <x:c r="D28" t="s">
        <x:v>156</x:v>
      </x:c>
      <x:c r="E28" t="s">
        <x:v>35</x:v>
      </x:c>
      <x:c r="F28" t="s">
        <x:v>157</x:v>
      </x:c>
      <x:c r="G28" t="s">
        <x:v>24</x:v>
      </x:c>
      <x:c r="H28" t="s">
        <x:v>79</x:v>
      </x:c>
      <x:c r="I28" s="2">
        <x:v>46297</x:v>
      </x:c>
      <x:c r="J28" s="2"/>
      <x:c r="K28" s="8">
        <x:v>0.25</x:v>
      </x:c>
      <x:c r="N28" s="2"/>
      <x:c r="O28" t="s">
        <x:v>213</x:v>
      </x:c>
      <x:c r="P28">
        <x:f t="shared" ca="1" si="0"/>
        <x:v>16</x:v>
      </x:c>
      <x:c r="Q28" t="str">
        <x:f t="shared" ca="1" si="1"/>
        <x:v>NO PRAZO</x:v>
      </x:c>
    </x:row>
    <x:row r="29">
      <x:c r="A29">
        <x:v>25</x:v>
      </x:c>
      <x:c r="B29" t="s">
        <x:v>98</x:v>
      </x:c>
      <x:c r="C29" t="s">
        <x:v>158</x:v>
      </x:c>
      <x:c r="D29" t="s">
        <x:v>159</x:v>
      </x:c>
      <x:c r="E29" t="s">
        <x:v>35</x:v>
      </x:c>
      <x:c r="F29" t="s">
        <x:v>160</x:v>
      </x:c>
      <x:c r="G29" t="s">
        <x:v>24</x:v>
      </x:c>
      <x:c r="H29" t="s">
        <x:v>31</x:v>
      </x:c>
      <x:c r="I29" s="2">
        <x:v>46297</x:v>
      </x:c>
      <x:c r="J29" s="2"/>
      <x:c r="K29" s="8">
        <x:v>0</x:v>
      </x:c>
      <x:c r="N29" s="2"/>
      <x:c r="P29">
        <x:f t="shared" ca="1" si="0"/>
        <x:v>16</x:v>
      </x:c>
      <x:c r="Q29" t="str">
        <x:f t="shared" ca="1" si="1"/>
        <x:v>NO PRAZO</x:v>
      </x:c>
    </x:row>
    <x:row r="30">
      <x:c r="A30">
        <x:v>26</x:v>
      </x:c>
      <x:c r="B30" t="s">
        <x:v>98</x:v>
      </x:c>
      <x:c r="C30" t="s">
        <x:v>102</x:v>
      </x:c>
      <x:c r="D30" t="s">
        <x:v>103</x:v>
      </x:c>
      <x:c r="E30" t="s">
        <x:v>35</x:v>
      </x:c>
      <x:c r="F30" t="s">
        <x:v>23</x:v>
      </x:c>
      <x:c r="G30" t="s">
        <x:v>24</x:v>
      </x:c>
      <x:c r="H30" t="s">
        <x:v>31</x:v>
      </x:c>
      <x:c r="I30" s="2">
        <x:v>46297</x:v>
      </x:c>
      <x:c r="J30" s="2"/>
      <x:c r="K30" s="8">
        <x:v>0</x:v>
      </x:c>
      <x:c r="N30" s="2"/>
      <x:c r="O30" t="s">
        <x:v>214</x:v>
      </x:c>
      <x:c r="P30">
        <x:f t="shared" ca="1" si="0"/>
        <x:v>16</x:v>
      </x:c>
      <x:c r="Q30" t="str">
        <x:f t="shared" ca="1" si="1"/>
        <x:v>NO PRAZO</x:v>
      </x:c>
    </x:row>
    <x:row r="31">
      <x:c r="A31">
        <x:v>27</x:v>
      </x:c>
      <x:c r="B31" t="s">
        <x:v>98</x:v>
      </x:c>
      <x:c r="C31" t="s">
        <x:v>104</x:v>
      </x:c>
      <x:c r="D31" t="s">
        <x:v>105</x:v>
      </x:c>
      <x:c r="E31" t="s">
        <x:v>35</x:v>
      </x:c>
      <x:c r="F31" t="s">
        <x:v>23</x:v>
      </x:c>
      <x:c r="G31" t="s">
        <x:v>24</x:v>
      </x:c>
      <x:c r="H31" t="s">
        <x:v>31</x:v>
      </x:c>
      <x:c r="I31" s="2">
        <x:v>46304</x:v>
      </x:c>
      <x:c r="J31" s="2"/>
      <x:c r="K31" s="8">
        <x:v>0</x:v>
      </x:c>
      <x:c r="N31" s="2"/>
      <x:c r="O31" t="s">
        <x:v>215</x:v>
      </x:c>
      <x:c r="P31">
        <x:f t="shared" ca="1" si="0"/>
        <x:v>23</x:v>
      </x:c>
      <x:c r="Q31" t="str">
        <x:f t="shared" ca="1" si="1"/>
        <x:v>NO PRAZO</x:v>
      </x:c>
    </x:row>
    <x:row r="32">
      <x:c r="A32">
        <x:v>28</x:v>
      </x:c>
      <x:c r="B32" t="s">
        <x:v>98</x:v>
      </x:c>
      <x:c r="C32" t="s">
        <x:v>107</x:v>
      </x:c>
      <x:c r="D32" t="s">
        <x:v>108</x:v>
      </x:c>
      <x:c r="E32" t="s">
        <x:v>22</x:v>
      </x:c>
      <x:c r="F32" t="s">
        <x:v>109</x:v>
      </x:c>
      <x:c r="G32" t="s">
        <x:v>24</x:v>
      </x:c>
      <x:c r="H32" t="s">
        <x:v>31</x:v>
      </x:c>
      <x:c r="I32" s="2">
        <x:v>46311</x:v>
      </x:c>
      <x:c r="J32" s="2"/>
      <x:c r="K32" s="8">
        <x:v>0</x:v>
      </x:c>
      <x:c r="N32" s="2"/>
      <x:c r="P32">
        <x:f t="shared" ca="1" si="0"/>
        <x:v>30</x:v>
      </x:c>
      <x:c r="Q32" t="str">
        <x:f t="shared" ca="1" si="1"/>
        <x:v>NO PRAZO</x:v>
      </x:c>
    </x:row>
    <x:row r="33">
      <x:c r="A33">
        <x:v>29</x:v>
      </x:c>
      <x:c r="B33" t="s">
        <x:v>111</x:v>
      </x:c>
      <x:c r="C33" t="s">
        <x:v>163</x:v>
      </x:c>
      <x:c r="D33" t="s">
        <x:v>164</x:v>
      </x:c>
      <x:c r="E33" t="s">
        <x:v>22</x:v>
      </x:c>
      <x:c r="F33" t="s">
        <x:v>23</x:v>
      </x:c>
      <x:c r="G33" t="s">
        <x:v>24</x:v>
      </x:c>
      <x:c r="H33" t="s">
        <x:v>31</x:v>
      </x:c>
      <x:c r="I33" s="2">
        <x:v>46318</x:v>
      </x:c>
      <x:c r="J33" s="2"/>
      <x:c r="K33" s="8">
        <x:v>0</x:v>
      </x:c>
      <x:c r="N33" s="2"/>
      <x:c r="O33" t="s">
        <x:v>216</x:v>
      </x:c>
      <x:c r="P33">
        <x:f t="shared" ca="1" si="0"/>
        <x:v>37</x:v>
      </x:c>
      <x:c r="Q33" t="str">
        <x:f t="shared" ca="1" si="1"/>
        <x:v>NO PRAZO</x:v>
      </x:c>
    </x:row>
    <x:row r="34">
      <x:c r="A34">
        <x:v>30</x:v>
      </x:c>
      <x:c r="B34" t="s">
        <x:v>111</x:v>
      </x:c>
      <x:c r="C34" t="s">
        <x:v>165</x:v>
      </x:c>
      <x:c r="D34" t="s">
        <x:v>166</x:v>
      </x:c>
      <x:c r="E34" t="s">
        <x:v>22</x:v>
      </x:c>
      <x:c r="F34" t="s">
        <x:v>122</x:v>
      </x:c>
      <x:c r="G34" t="s">
        <x:v>24</x:v>
      </x:c>
      <x:c r="H34" t="s">
        <x:v>31</x:v>
      </x:c>
      <x:c r="I34" s="2">
        <x:v>46318</x:v>
      </x:c>
      <x:c r="J34" s="2"/>
      <x:c r="K34" s="8">
        <x:v>0</x:v>
      </x:c>
      <x:c r="N34" s="2"/>
      <x:c r="O34" t="s">
        <x:v>217</x:v>
      </x:c>
      <x:c r="P34">
        <x:f t="shared" ca="1" si="0"/>
        <x:v>37</x:v>
      </x:c>
      <x:c r="Q34" t="str">
        <x:f t="shared" ca="1" si="1"/>
        <x:v>NO PRAZO</x:v>
      </x:c>
    </x:row>
    <x:row r="35">
      <x:c r="A35">
        <x:v>31</x:v>
      </x:c>
      <x:c r="B35" t="s">
        <x:v>119</x:v>
      </x:c>
      <x:c r="C35" t="s">
        <x:v>120</x:v>
      </x:c>
      <x:c r="D35" t="s">
        <x:v>121</x:v>
      </x:c>
      <x:c r="E35" t="s">
        <x:v>35</x:v>
      </x:c>
      <x:c r="F35" t="s">
        <x:v>122</x:v>
      </x:c>
      <x:c r="G35" t="s">
        <x:v>24</x:v>
      </x:c>
      <x:c r="H35" t="s">
        <x:v>31</x:v>
      </x:c>
      <x:c r="I35" s="2">
        <x:v>46318</x:v>
      </x:c>
      <x:c r="J35" s="2"/>
      <x:c r="K35" s="8">
        <x:v>0</x:v>
      </x:c>
      <x:c r="N35" s="2"/>
      <x:c r="P35">
        <x:f t="shared" ca="1" si="0"/>
        <x:v>37</x:v>
      </x:c>
      <x:c r="Q35" t="str">
        <x:f t="shared" ca="1" si="1"/>
        <x:v>NO PRAZO</x:v>
      </x:c>
    </x:row>
    <x:row r="36">
      <x:c r="A36">
        <x:v>32</x:v>
      </x:c>
      <x:c r="B36" t="s">
        <x:v>119</x:v>
      </x:c>
      <x:c r="C36" t="s">
        <x:v>167</x:v>
      </x:c>
      <x:c r="D36" t="s">
        <x:v>168</x:v>
      </x:c>
      <x:c r="E36" t="s">
        <x:v>35</x:v>
      </x:c>
      <x:c r="F36" t="s">
        <x:v>55</x:v>
      </x:c>
      <x:c r="G36" t="s">
        <x:v>24</x:v>
      </x:c>
      <x:c r="H36" t="s">
        <x:v>31</x:v>
      </x:c>
      <x:c r="I36" s="2">
        <x:v>46311</x:v>
      </x:c>
      <x:c r="J36" s="2"/>
      <x:c r="K36" s="8">
        <x:v>0</x:v>
      </x:c>
      <x:c r="N36" s="2"/>
      <x:c r="P36">
        <x:f t="shared" ca="1" si="0"/>
        <x:v>30</x:v>
      </x:c>
      <x:c r="Q36" t="str">
        <x:f t="shared" ca="1" si="1"/>
        <x:v>NO PRAZO</x:v>
      </x:c>
    </x:row>
    <x:row r="37">
      <x:c r="A37">
        <x:v>33</x:v>
      </x:c>
      <x:c r="B37" t="s">
        <x:v>119</x:v>
      </x:c>
      <x:c r="C37" t="s">
        <x:v>169</x:v>
      </x:c>
      <x:c r="D37" t="s">
        <x:v>170</x:v>
      </x:c>
      <x:c r="E37" t="s">
        <x:v>22</x:v>
      </x:c>
      <x:c r="F37" t="s">
        <x:v>23</x:v>
      </x:c>
      <x:c r="G37" t="s">
        <x:v>24</x:v>
      </x:c>
      <x:c r="H37" t="s">
        <x:v>31</x:v>
      </x:c>
      <x:c r="I37" s="2">
        <x:v>46318</x:v>
      </x:c>
      <x:c r="J37" s="2"/>
      <x:c r="K37" s="8">
        <x:v>0</x:v>
      </x:c>
      <x:c r="N37" s="2"/>
      <x:c r="P37" t="n">
        <x:f t="shared" ref="P37:P54" ca="1" si="2">IF(I37="","",I37-TODAY())</x:f>
        <x:v>37</x:v>
      </x:c>
      <x:c r="Q37" t="str">
        <x:f t="shared" ref="Q37:Q54" ca="1" si="3">IF(H37="Concluído","OK",IF(H37="Bloqueado","BLOQUEADO",IF(I37="","SEM DATA",IF(P37&lt;0,"ATRASADO",IF(P37&lt;=3,"ATENÇÃO","NO PRAZO")))))</x:f>
        <x:v>NO PRAZO</x:v>
      </x:c>
    </x:row>
    <x:row r="38">
      <x:c r="A38">
        <x:v>34</x:v>
      </x:c>
      <x:c r="B38" t="s">
        <x:v>171</x:v>
      </x:c>
      <x:c r="C38" t="s">
        <x:v>172</x:v>
      </x:c>
      <x:c r="D38" t="s">
        <x:v>173</x:v>
      </x:c>
      <x:c r="E38" t="s">
        <x:v>22</x:v>
      </x:c>
      <x:c r="F38" t="s">
        <x:v>23</x:v>
      </x:c>
      <x:c r="G38" t="s">
        <x:v>24</x:v>
      </x:c>
      <x:c r="H38" t="s">
        <x:v>79</x:v>
      </x:c>
      <x:c r="I38" s="2">
        <x:v>46283</x:v>
      </x:c>
      <x:c r="J38" s="2"/>
      <x:c r="K38" s="8">
        <x:v>0</x:v>
      </x:c>
      <x:c r="N38" s="2"/>
      <x:c r="O38" t="s">
        <x:v>218</x:v>
      </x:c>
      <x:c r="P38">
        <x:f t="shared" ca="1" si="2"/>
        <x:v>2</x:v>
      </x:c>
      <x:c r="Q38" t="str">
        <x:f t="shared" ca="1" si="3"/>
        <x:v>ATENÇÃO</x:v>
      </x:c>
    </x:row>
    <x:row r="39">
      <x:c r="A39">
        <x:v>35</x:v>
      </x:c>
      <x:c r="B39" t="s">
        <x:v>171</x:v>
      </x:c>
      <x:c r="C39" t="s">
        <x:v>174</x:v>
      </x:c>
      <x:c r="D39" t="s">
        <x:v>175</x:v>
      </x:c>
      <x:c r="E39" t="s">
        <x:v>22</x:v>
      </x:c>
      <x:c r="F39" t="s">
        <x:v>23</x:v>
      </x:c>
      <x:c r="G39" t="s">
        <x:v>30</x:v>
      </x:c>
      <x:c r="H39" t="s">
        <x:v>79</x:v>
      </x:c>
      <x:c r="I39" s="2">
        <x:v>46283</x:v>
      </x:c>
      <x:c r="J39" s="2"/>
      <x:c r="K39" s="8">
        <x:v>0</x:v>
      </x:c>
      <x:c r="N39" s="2"/>
      <x:c r="O39" t="s">
        <x:v>219</x:v>
      </x:c>
      <x:c r="P39">
        <x:f t="shared" ca="1" si="2"/>
        <x:v>2</x:v>
      </x:c>
      <x:c r="Q39" t="str">
        <x:f t="shared" ca="1" si="3"/>
        <x:v>ATENÇÃO</x:v>
      </x:c>
    </x:row>
    <x:row r="40">
      <x:c r="A40">
        <x:v>36</x:v>
      </x:c>
      <x:c r="B40" t="s">
        <x:v>171</x:v>
      </x:c>
      <x:c r="C40" t="s">
        <x:v>176</x:v>
      </x:c>
      <x:c r="D40" t="s">
        <x:v>177</x:v>
      </x:c>
      <x:c r="E40" t="s">
        <x:v>22</x:v>
      </x:c>
      <x:c r="F40" t="s">
        <x:v>178</x:v>
      </x:c>
      <x:c r="G40" t="s">
        <x:v>24</x:v>
      </x:c>
      <x:c r="H40" t="s">
        <x:v>31</x:v>
      </x:c>
      <x:c r="I40" s="2">
        <x:v>46311</x:v>
      </x:c>
      <x:c r="J40" s="2"/>
      <x:c r="K40" s="8">
        <x:v>0</x:v>
      </x:c>
      <x:c r="N40" s="2"/>
      <x:c r="P40">
        <x:f t="shared" ca="1" si="2"/>
        <x:v>30</x:v>
      </x:c>
      <x:c r="Q40" t="str">
        <x:f t="shared" ca="1" si="3"/>
        <x:v>NO PRAZO</x:v>
      </x:c>
    </x:row>
    <x:row r="41">
      <x:c r="A41">
        <x:v>37</x:v>
      </x:c>
      <x:c r="B41" t="s">
        <x:v>140</x:v>
      </x:c>
      <x:c r="C41" t="s">
        <x:v>179</x:v>
      </x:c>
      <x:c r="D41" t="s">
        <x:v>180</x:v>
      </x:c>
      <x:c r="E41" t="s">
        <x:v>22</x:v>
      </x:c>
      <x:c r="F41" t="s">
        <x:v>23</x:v>
      </x:c>
      <x:c r="G41" t="s">
        <x:v>24</x:v>
      </x:c>
      <x:c r="H41" t="s">
        <x:v>31</x:v>
      </x:c>
      <x:c r="I41" s="2">
        <x:v>46311</x:v>
      </x:c>
      <x:c r="J41" s="2"/>
      <x:c r="K41" s="8">
        <x:v>0</x:v>
      </x:c>
      <x:c r="N41" s="2"/>
      <x:c r="P41">
        <x:f t="shared" ca="1" si="2"/>
        <x:v>30</x:v>
      </x:c>
      <x:c r="Q41" t="str">
        <x:f t="shared" ca="1" si="3"/>
        <x:v>NO PRAZO</x:v>
      </x:c>
    </x:row>
    <x:row r="42">
      <x:c r="A42">
        <x:v>38</x:v>
      </x:c>
      <x:c r="B42" t="s">
        <x:v>140</x:v>
      </x:c>
      <x:c r="C42" t="s">
        <x:v>181</x:v>
      </x:c>
      <x:c r="D42" t="s">
        <x:v>182</x:v>
      </x:c>
      <x:c r="E42" t="s">
        <x:v>22</x:v>
      </x:c>
      <x:c r="F42" t="s">
        <x:v>122</x:v>
      </x:c>
      <x:c r="G42" t="s">
        <x:v>24</x:v>
      </x:c>
      <x:c r="H42" t="s">
        <x:v>31</x:v>
      </x:c>
      <x:c r="I42" s="2">
        <x:v>46318</x:v>
      </x:c>
      <x:c r="J42" s="2"/>
      <x:c r="K42" s="8">
        <x:v>0</x:v>
      </x:c>
      <x:c r="N42" s="2"/>
      <x:c r="P42">
        <x:f t="shared" ca="1" si="2"/>
        <x:v>37</x:v>
      </x:c>
      <x:c r="Q42" t="str">
        <x:f t="shared" ca="1" si="3"/>
        <x:v>NO PRAZO</x:v>
      </x:c>
    </x:row>
    <x:row r="43">
      <x:c r="A43">
        <x:v>39</x:v>
      </x:c>
      <x:c r="B43" t="s">
        <x:v>140</x:v>
      </x:c>
      <x:c r="C43" t="s">
        <x:v>183</x:v>
      </x:c>
      <x:c r="D43" t="s">
        <x:v>184</x:v>
      </x:c>
      <x:c r="E43" t="s">
        <x:v>22</x:v>
      </x:c>
      <x:c r="F43" t="s">
        <x:v>23</x:v>
      </x:c>
      <x:c r="G43" t="s">
        <x:v>24</x:v>
      </x:c>
      <x:c r="H43" t="s">
        <x:v>31</x:v>
      </x:c>
      <x:c r="I43" s="2">
        <x:v>46318</x:v>
      </x:c>
      <x:c r="J43" s="2"/>
      <x:c r="K43" s="8">
        <x:v>0</x:v>
      </x:c>
      <x:c r="N43" s="2"/>
      <x:c r="P43">
        <x:f t="shared" ca="1" si="2"/>
        <x:v>37</x:v>
      </x:c>
      <x:c r="Q43" t="str">
        <x:f t="shared" ca="1" si="3"/>
        <x:v>NO PRAZO</x:v>
      </x:c>
    </x:row>
    <x:row r="44">
      <x:c r="A44">
        <x:v>40</x:v>
      </x:c>
      <x:c r="B44" t="s">
        <x:v>185</x:v>
      </x:c>
      <x:c r="C44" t="s">
        <x:v>186</x:v>
      </x:c>
      <x:c r="D44" t="s">
        <x:v>187</x:v>
      </x:c>
      <x:c r="E44" t="s">
        <x:v>35</x:v>
      </x:c>
      <x:c r="F44" t="s">
        <x:v>188</x:v>
      </x:c>
      <x:c r="G44" t="s">
        <x:v>30</x:v>
      </x:c>
      <x:c r="H44" t="s">
        <x:v>31</x:v>
      </x:c>
      <x:c r="I44" s="2">
        <x:v>46318</x:v>
      </x:c>
      <x:c r="J44" s="2"/>
      <x:c r="K44" s="8">
        <x:v>0</x:v>
      </x:c>
      <x:c r="N44" s="2"/>
      <x:c r="P44">
        <x:f t="shared" ca="1" si="2"/>
        <x:v>37</x:v>
      </x:c>
      <x:c r="Q44" t="str">
        <x:f t="shared" ca="1" si="3"/>
        <x:v>NO PRAZO</x:v>
      </x:c>
    </x:row>
    <x:row r="45">
      <x:c r="A45">
        <x:v>41</x:v>
      </x:c>
      <x:c r="B45" t="s">
        <x:v>185</x:v>
      </x:c>
      <x:c r="C45" t="s">
        <x:v>189</x:v>
      </x:c>
      <x:c r="D45" t="s">
        <x:v>190</x:v>
      </x:c>
      <x:c r="E45" t="s">
        <x:v>22</x:v>
      </x:c>
      <x:c r="F45" t="s">
        <x:v>191</x:v>
      </x:c>
      <x:c r="G45" t="s">
        <x:v>24</x:v>
      </x:c>
      <x:c r="H45" t="s">
        <x:v>31</x:v>
      </x:c>
      <x:c r="I45" s="2">
        <x:v>46314</x:v>
      </x:c>
      <x:c r="J45" s="2"/>
      <x:c r="K45" s="8">
        <x:v>0</x:v>
      </x:c>
      <x:c r="N45" s="2"/>
      <x:c r="P45">
        <x:f t="shared" ca="1" si="2"/>
        <x:v>33</x:v>
      </x:c>
      <x:c r="Q45" t="str">
        <x:f t="shared" ca="1" si="3"/>
        <x:v>NO PRAZO</x:v>
      </x:c>
    </x:row>
    <x:row r="46">
      <x:c r="A46">
        <x:v>42</x:v>
      </x:c>
      <x:c r="B46" t="s">
        <x:v>185</x:v>
      </x:c>
      <x:c r="C46" t="s">
        <x:v>192</x:v>
      </x:c>
      <x:c r="D46" t="s">
        <x:v>193</x:v>
      </x:c>
      <x:c r="E46" t="s">
        <x:v>22</x:v>
      </x:c>
      <x:c r="F46" t="s">
        <x:v>191</x:v>
      </x:c>
      <x:c r="G46" t="s">
        <x:v>24</x:v>
      </x:c>
      <x:c r="H46" t="s">
        <x:v>31</x:v>
      </x:c>
      <x:c r="I46" s="2">
        <x:v>46320</x:v>
      </x:c>
      <x:c r="J46" s="2"/>
      <x:c r="K46" s="8">
        <x:v>0</x:v>
      </x:c>
      <x:c r="N46" s="2"/>
      <x:c r="P46">
        <x:f t="shared" ca="1" si="2"/>
        <x:v>39</x:v>
      </x:c>
      <x:c r="Q46" t="str">
        <x:f t="shared" ca="1" si="3"/>
        <x:v>NO PRAZO</x:v>
      </x:c>
    </x:row>
    <x:row r="47">
      <x:c r="A47">
        <x:v>43</x:v>
      </x:c>
      <x:c r="B47" t="s">
        <x:v>185</x:v>
      </x:c>
      <x:c r="C47" t="s">
        <x:v>194</x:v>
      </x:c>
      <x:c r="D47" t="s">
        <x:v>195</x:v>
      </x:c>
      <x:c r="E47" t="s">
        <x:v>22</x:v>
      </x:c>
      <x:c r="F47" t="s">
        <x:v>23</x:v>
      </x:c>
      <x:c r="G47" t="s">
        <x:v>24</x:v>
      </x:c>
      <x:c r="H47" t="s">
        <x:v>31</x:v>
      </x:c>
      <x:c r="I47" s="2">
        <x:v>46321</x:v>
      </x:c>
      <x:c r="J47" s="2"/>
      <x:c r="K47" s="8">
        <x:v>0</x:v>
      </x:c>
      <x:c r="N47" s="2"/>
      <x:c r="O47" t="s">
        <x:v>220</x:v>
      </x:c>
      <x:c r="P47">
        <x:f t="shared" ca="1" si="2"/>
        <x:v>40</x:v>
      </x:c>
      <x:c r="Q47" t="str">
        <x:f t="shared" ca="1" si="3"/>
        <x:v>NO PRAZO</x:v>
      </x:c>
    </x:row>
    <x:row r="48">
      <x:c r="A48">
        <x:v>44</x:v>
      </x:c>
      <x:c r="B48" t="s">
        <x:v>196</x:v>
      </x:c>
      <x:c r="C48" t="s">
        <x:v>197</x:v>
      </x:c>
      <x:c r="D48" t="s">
        <x:v>198</x:v>
      </x:c>
      <x:c r="E48" t="s">
        <x:v>22</x:v>
      </x:c>
      <x:c r="F48" t="s">
        <x:v>87</x:v>
      </x:c>
      <x:c r="G48" t="s">
        <x:v>30</x:v>
      </x:c>
      <x:c r="H48" t="s">
        <x:v>31</x:v>
      </x:c>
      <x:c r="I48" s="2">
        <x:v>46322</x:v>
      </x:c>
      <x:c r="J48" s="2"/>
      <x:c r="K48" s="8">
        <x:v>0</x:v>
      </x:c>
      <x:c r="N48" s="2"/>
      <x:c r="P48">
        <x:f t="shared" ca="1" si="2"/>
        <x:v>41</x:v>
      </x:c>
      <x:c r="Q48" t="str">
        <x:f t="shared" ca="1" si="3"/>
        <x:v>NO PRAZO</x:v>
      </x:c>
    </x:row>
    <x:row r="49">
      <x:c r="A49">
        <x:v>45</x:v>
      </x:c>
      <x:c r="B49" t="s">
        <x:v>221</x:v>
      </x:c>
      <x:c r="C49" t="s">
        <x:v>222</x:v>
      </x:c>
      <x:c r="D49" t="s">
        <x:v>223</x:v>
      </x:c>
      <x:c r="E49" t="s">
        <x:v>22</x:v>
      </x:c>
      <x:c r="F49" t="s">
        <x:v>23</x:v>
      </x:c>
      <x:c r="G49" t="s">
        <x:v>24</x:v>
      </x:c>
      <x:c r="H49" t="s">
        <x:v>79</x:v>
      </x:c>
      <x:c r="I49" s="2">
        <x:v>46318</x:v>
      </x:c>
      <x:c r="J49" s="2"/>
      <x:c r="K49" s="8">
        <x:v>0</x:v>
      </x:c>
      <x:c r="N49" s="2"/>
      <x:c r="O49" t="s">
        <x:v>224</x:v>
      </x:c>
      <x:c r="P49">
        <x:f t="shared" ca="1" si="2"/>
        <x:v>37</x:v>
      </x:c>
      <x:c r="Q49" t="str">
        <x:f t="shared" ca="1" si="3"/>
        <x:v>NO PRAZO</x:v>
      </x:c>
    </x:row>
    <x:row r="50">
      <x:c r="A50">
        <x:v>46</x:v>
      </x:c>
      <x:c r="B50" t="s">
        <x:v>221</x:v>
      </x:c>
      <x:c r="C50" t="s">
        <x:v>225</x:v>
      </x:c>
      <x:c r="D50" t="s">
        <x:v>226</x:v>
      </x:c>
      <x:c r="E50" t="s">
        <x:v>35</x:v>
      </x:c>
      <x:c r="F50" t="s">
        <x:v>23</x:v>
      </x:c>
      <x:c r="G50" t="s">
        <x:v>24</x:v>
      </x:c>
      <x:c r="H50" t="s">
        <x:v>25</x:v>
      </x:c>
      <x:c r="I50" s="2">
        <x:v>46276</x:v>
      </x:c>
      <x:c r="J50" s="2">
        <x:v>46276</x:v>
      </x:c>
      <x:c r="K50" s="8">
        <x:v>1</x:v>
      </x:c>
      <x:c r="N50" s="2"/>
      <x:c r="O50" t="s">
        <x:v>227</x:v>
      </x:c>
      <x:c r="P50">
        <x:f t="shared" ca="1" si="2"/>
        <x:v>-5</x:v>
      </x:c>
      <x:c r="Q50" t="str">
        <x:f t="shared" si="3"/>
        <x:v>OK</x:v>
      </x:c>
    </x:row>
    <x:row r="51">
      <x:c r="A51">
        <x:v>47</x:v>
      </x:c>
      <x:c r="B51" t="s">
        <x:v>221</x:v>
      </x:c>
      <x:c r="C51" t="s">
        <x:v>228</x:v>
      </x:c>
      <x:c r="D51" t="s">
        <x:v>229</x:v>
      </x:c>
      <x:c r="E51" t="s">
        <x:v>22</x:v>
      </x:c>
      <x:c r="F51" t="s">
        <x:v>23</x:v>
      </x:c>
      <x:c r="G51" t="s">
        <x:v>24</x:v>
      </x:c>
      <x:c r="H51" t="s">
        <x:v>79</x:v>
      </x:c>
      <x:c r="I51" s="2">
        <x:v>46311</x:v>
      </x:c>
      <x:c r="J51" s="2"/>
      <x:c r="K51" s="8">
        <x:v>0</x:v>
      </x:c>
      <x:c r="N51" s="2"/>
      <x:c r="O51" t="s">
        <x:v>230</x:v>
      </x:c>
      <x:c r="P51">
        <x:f t="shared" ca="1" si="2"/>
        <x:v>30</x:v>
      </x:c>
      <x:c r="Q51" t="str">
        <x:f t="shared" ca="1" si="3"/>
        <x:v>NO PRAZO</x:v>
      </x:c>
    </x:row>
    <x:row r="52">
      <x:c r="A52">
        <x:v>48</x:v>
      </x:c>
      <x:c r="B52" t="s">
        <x:v>221</x:v>
      </x:c>
      <x:c r="C52" t="s">
        <x:v>231</x:v>
      </x:c>
      <x:c r="D52" t="s">
        <x:v>232</x:v>
      </x:c>
      <x:c r="E52" t="s">
        <x:v>35</x:v>
      </x:c>
      <x:c r="F52" t="s">
        <x:v>50</x:v>
      </x:c>
      <x:c r="G52" t="s">
        <x:v>24</x:v>
      </x:c>
      <x:c r="H52" t="s">
        <x:v>31</x:v>
      </x:c>
      <x:c r="I52" s="2">
        <x:v>46311</x:v>
      </x:c>
      <x:c r="J52" s="2"/>
      <x:c r="K52" s="8">
        <x:v>0</x:v>
      </x:c>
      <x:c r="N52" s="2"/>
      <x:c r="O52" t="s">
        <x:v>233</x:v>
      </x:c>
      <x:c r="P52">
        <x:f t="shared" ca="1" si="2"/>
        <x:v>30</x:v>
      </x:c>
      <x:c r="Q52" t="str">
        <x:f t="shared" ca="1" si="3"/>
        <x:v>NO PRAZO</x:v>
      </x:c>
    </x:row>
    <x:row r="53">
      <x:c r="A53">
        <x:v>49</x:v>
      </x:c>
      <x:c r="B53" t="s">
        <x:v>221</x:v>
      </x:c>
      <x:c r="C53" t="s">
        <x:v>234</x:v>
      </x:c>
      <x:c r="D53" t="s">
        <x:v>235</x:v>
      </x:c>
      <x:c r="E53" t="s">
        <x:v>22</x:v>
      </x:c>
      <x:c r="F53" t="s">
        <x:v>23</x:v>
      </x:c>
      <x:c r="G53" t="s">
        <x:v>24</x:v>
      </x:c>
      <x:c r="H53" t="s">
        <x:v>31</x:v>
      </x:c>
      <x:c r="I53" s="2">
        <x:v>46318</x:v>
      </x:c>
      <x:c r="J53" s="2"/>
      <x:c r="K53" s="8">
        <x:v>0</x:v>
      </x:c>
      <x:c r="N53" s="2"/>
      <x:c r="P53">
        <x:f t="shared" ca="1" si="2"/>
        <x:v>37</x:v>
      </x:c>
      <x:c r="Q53" t="str">
        <x:f t="shared" ca="1" si="3"/>
        <x:v>NO PRAZO</x:v>
      </x:c>
    </x:row>
    <x:row r="54">
      <x:c r="A54">
        <x:v>50</x:v>
      </x:c>
      <x:c r="B54" t="s">
        <x:v>221</x:v>
      </x:c>
      <x:c r="C54" t="s">
        <x:v>236</x:v>
      </x:c>
      <x:c r="D54" t="s">
        <x:v>237</x:v>
      </x:c>
      <x:c r="E54" t="s">
        <x:v>22</x:v>
      </x:c>
      <x:c r="F54" t="s">
        <x:v>23</x:v>
      </x:c>
      <x:c r="G54" t="s">
        <x:v>24</x:v>
      </x:c>
      <x:c r="H54" t="s">
        <x:v>31</x:v>
      </x:c>
      <x:c r="I54" s="2">
        <x:v>46318</x:v>
      </x:c>
      <x:c r="J54" s="2"/>
      <x:c r="K54" s="8">
        <x:v>0</x:v>
      </x:c>
      <x:c r="N54" s="2"/>
      <x:c r="P54">
        <x:f t="shared" ca="1" si="2"/>
        <x:v>37</x:v>
      </x:c>
      <x:c r="Q54" t="str">
        <x:f t="shared" ca="1" si="3"/>
        <x:v>NO PRAZO</x:v>
      </x:c>
    </x:row>
  </x:sheetData>
  <x:mergeCells>
    <x:mergeCell ref="A1:Q1"/>
    <x:mergeCell ref="A2:Q2"/>
  </x:mergeCells>
  <x:conditionalFormatting sqref="H5:H54">
    <x:cfRule type="expression" dxfId="5" priority="1">
      <x:formula>H5="Concluído"</x:formula>
    </x:cfRule>
    <x:cfRule type="expression" dxfId="4" priority="2">
      <x:formula>H5="Bloqueado"</x:formula>
    </x:cfRule>
  </x:conditionalFormatting>
  <x:conditionalFormatting sqref="Q5:Q54">
    <x:cfRule type="expression" dxfId="3" priority="3">
      <x:formula>Q5="ATRASADO"</x:formula>
    </x:cfRule>
    <x:cfRule type="expression" dxfId="2" priority="4">
      <x:formula>Q5="ATENÇÃO"</x:formula>
    </x:cfRule>
    <x:cfRule type="expression" dxfId="1" priority="5">
      <x:formula>Q5="OK"</x:formula>
    </x:cfRule>
  </x:conditionalFormatting>
  <x:dataValidations count="2">
    <x:dataValidation type="list" sqref="G5:G54">
      <x:formula1>"Crítica,Alta,Média,Baixa"</x:formula1>
    </x:dataValidation>
    <x:dataValidation type="list" sqref="H5:H54">
      <x:formula1>"Não iniciado,Em andamento,Concluído,Bloqueado"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fb515c957247aa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10.25" customWidth="1"/>
    <x:col min="2" max="2" width="23.25" customWidth="1"/>
    <x:col min="3" max="3" width="42.875" customWidth="1"/>
    <x:col min="4" max="4" width="14.375" customWidth="1"/>
    <x:col min="5" max="5" width="20.25" customWidth="1"/>
    <x:col min="6" max="6" width="7.125" customWidth="1"/>
    <x:col min="7" max="7" width="9.25" customWidth="1"/>
    <x:col min="8" max="8" width="8.5" customWidth="1"/>
    <x:col min="9" max="9" width="10" customWidth="1"/>
    <x:col min="10" max="10" width="11.125" customWidth="1"/>
    <x:col min="11" max="11" width="11.375" customWidth="1"/>
    <x:col min="12" max="12" width="3.875" customWidth="1"/>
    <x:col min="13" max="13" width="15.875" customWidth="1"/>
    <x:col min="14" max="14" width="17.375" customWidth="1"/>
    <x:col min="15" max="15" width="10.25" customWidth="1"/>
    <x:col min="16" max="16" width="12.125" customWidth="1"/>
    <x:col min="17" max="17" width="14.875" customWidth="1"/>
    <x:col min="18" max="18" width="15.5" customWidth="1"/>
  </x:cols>
  <x:sheetData>
    <x:row r="1" ht="17.850000381469727" customHeight="1">
      <x:c r="A1" s="17" t="s">
        <x:v>238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</x:row>
    <x:row r="3" ht="15">
      <x:c r="A3" s="1" t="s">
        <x:v>239</x:v>
      </x:c>
      <x:c r="B3" s="1" t="s">
        <x:v>240</x:v>
      </x:c>
      <x:c r="C3" s="1" t="s">
        <x:v>241</x:v>
      </x:c>
      <x:c r="D3" s="1" t="s">
        <x:v>242</x:v>
      </x:c>
      <x:c r="E3" s="1" t="s">
        <x:v>243</x:v>
      </x:c>
      <x:c r="F3" s="1" t="s">
        <x:v>244</x:v>
      </x:c>
      <x:c r="G3" s="1" t="s">
        <x:v>158</x:v>
      </x:c>
      <x:c r="H3" s="1" t="s">
        <x:v>245</x:v>
      </x:c>
      <x:c r="I3" s="1" t="s">
        <x:v>246</x:v>
      </x:c>
      <x:c r="J3" s="1" t="s">
        <x:v>247</x:v>
      </x:c>
      <x:c r="K3" s="1" t="s">
        <x:v>248</x:v>
      </x:c>
      <x:c r="L3" s="1" t="s">
        <x:v>249</x:v>
      </x:c>
      <x:c r="M3" s="1" t="s">
        <x:v>250</x:v>
      </x:c>
      <x:c r="N3" s="1" t="s">
        <x:v>251</x:v>
      </x:c>
      <x:c r="O3" s="1" t="s">
        <x:v>252</x:v>
      </x:c>
      <x:c r="P3" s="1" t="s">
        <x:v>111</x:v>
      </x:c>
      <x:c r="Q3" s="1" t="s">
        <x:v>253</x:v>
      </x:c>
      <x:c r="R3" s="1" t="s">
        <x:v>254</x:v>
      </x:c>
    </x:row>
    <x:row r="4">
      <x:c r="A4" t="s">
        <x:v>255</x:v>
      </x:c>
      <x:c r="B4" t="s">
        <x:v>256</x:v>
      </x:c>
      <x:c r="C4" t="s">
        <x:v>257</x:v>
      </x:c>
      <x:c r="E4" t="s">
        <x:v>258</x:v>
      </x:c>
      <x:c r="G4" t="s">
        <x:v>259</x:v>
      </x:c>
      <x:c r="I4" t="s">
        <x:v>260</x:v>
      </x:c>
      <x:c r="R4" t="str">
        <x:f t="shared" ref="R4:R67" si="0">IF(AND(G4="Aprovado",H4="Aprovado",I4="Aprovado",J4="Aprovado",K4="Aprovado",L4="Aprovado",M4="Aprovado",N4="Aprovado",O4="Aprovado",P4="Aprovado",Q4="Aprovado"),"SIM","NÃO")</x:f>
        <x:v>NÃO</x:v>
      </x:c>
    </x:row>
    <x:row r="5">
      <x:c r="A5" t="s">
        <x:v>255</x:v>
      </x:c>
      <x:c r="B5" t="s">
        <x:v>256</x:v>
      </x:c>
      <x:c r="C5" t="s">
        <x:v>261</x:v>
      </x:c>
      <x:c r="E5" t="s">
        <x:v>258</x:v>
      </x:c>
      <x:c r="G5" t="s">
        <x:v>259</x:v>
      </x:c>
      <x:c r="I5" t="s">
        <x:v>260</x:v>
      </x:c>
      <x:c r="R5" t="str">
        <x:f t="shared" si="0"/>
        <x:v>NÃO</x:v>
      </x:c>
    </x:row>
    <x:row r="6">
      <x:c r="A6" t="s">
        <x:v>255</x:v>
      </x:c>
      <x:c r="B6" t="s">
        <x:v>256</x:v>
      </x:c>
      <x:c r="C6" t="s">
        <x:v>262</x:v>
      </x:c>
      <x:c r="E6" t="s">
        <x:v>258</x:v>
      </x:c>
      <x:c r="G6" t="s">
        <x:v>259</x:v>
      </x:c>
      <x:c r="I6" t="s">
        <x:v>260</x:v>
      </x:c>
      <x:c r="R6" t="str">
        <x:f t="shared" si="0"/>
        <x:v>NÃO</x:v>
      </x:c>
    </x:row>
    <x:row r="7">
      <x:c r="A7" t="s">
        <x:v>255</x:v>
      </x:c>
      <x:c r="B7" t="s">
        <x:v>256</x:v>
      </x:c>
      <x:c r="C7" t="s">
        <x:v>263</x:v>
      </x:c>
      <x:c r="E7" t="s">
        <x:v>258</x:v>
      </x:c>
      <x:c r="G7" t="s">
        <x:v>259</x:v>
      </x:c>
      <x:c r="I7" t="s">
        <x:v>260</x:v>
      </x:c>
      <x:c r="R7" t="str">
        <x:f t="shared" si="0"/>
        <x:v>NÃO</x:v>
      </x:c>
    </x:row>
    <x:row r="8">
      <x:c r="A8" t="s">
        <x:v>255</x:v>
      </x:c>
      <x:c r="B8" t="s">
        <x:v>256</x:v>
      </x:c>
      <x:c r="C8" t="s">
        <x:v>264</x:v>
      </x:c>
      <x:c r="E8" t="s">
        <x:v>258</x:v>
      </x:c>
      <x:c r="G8" t="s">
        <x:v>259</x:v>
      </x:c>
      <x:c r="I8" t="s">
        <x:v>260</x:v>
      </x:c>
      <x:c r="R8" t="str">
        <x:f t="shared" si="0"/>
        <x:v>NÃO</x:v>
      </x:c>
    </x:row>
    <x:row r="9">
      <x:c r="A9" t="s">
        <x:v>255</x:v>
      </x:c>
      <x:c r="B9" t="s">
        <x:v>256</x:v>
      </x:c>
      <x:c r="C9" t="s">
        <x:v>265</x:v>
      </x:c>
      <x:c r="E9" t="s">
        <x:v>258</x:v>
      </x:c>
      <x:c r="G9" t="s">
        <x:v>259</x:v>
      </x:c>
      <x:c r="I9" t="s">
        <x:v>260</x:v>
      </x:c>
      <x:c r="R9" t="str">
        <x:f t="shared" si="0"/>
        <x:v>NÃO</x:v>
      </x:c>
    </x:row>
    <x:row r="10">
      <x:c r="A10" t="s">
        <x:v>255</x:v>
      </x:c>
      <x:c r="B10" t="s">
        <x:v>256</x:v>
      </x:c>
      <x:c r="C10" t="s">
        <x:v>266</x:v>
      </x:c>
      <x:c r="E10" t="s">
        <x:v>258</x:v>
      </x:c>
      <x:c r="G10" t="s">
        <x:v>259</x:v>
      </x:c>
      <x:c r="I10" t="s">
        <x:v>260</x:v>
      </x:c>
      <x:c r="R10" t="str">
        <x:f t="shared" si="0"/>
        <x:v>NÃO</x:v>
      </x:c>
    </x:row>
    <x:row r="11">
      <x:c r="A11" t="s">
        <x:v>255</x:v>
      </x:c>
      <x:c r="B11" t="s">
        <x:v>256</x:v>
      </x:c>
      <x:c r="C11" t="s">
        <x:v>267</x:v>
      </x:c>
      <x:c r="E11" t="s">
        <x:v>258</x:v>
      </x:c>
      <x:c r="G11" t="s">
        <x:v>259</x:v>
      </x:c>
      <x:c r="I11" t="s">
        <x:v>260</x:v>
      </x:c>
      <x:c r="R11" t="str">
        <x:f t="shared" si="0"/>
        <x:v>NÃO</x:v>
      </x:c>
    </x:row>
    <x:row r="12">
      <x:c r="A12" t="s">
        <x:v>255</x:v>
      </x:c>
      <x:c r="B12" t="s">
        <x:v>256</x:v>
      </x:c>
      <x:c r="C12" t="s">
        <x:v>268</x:v>
      </x:c>
      <x:c r="E12" t="s">
        <x:v>258</x:v>
      </x:c>
      <x:c r="G12" t="s">
        <x:v>259</x:v>
      </x:c>
      <x:c r="I12" t="s">
        <x:v>260</x:v>
      </x:c>
      <x:c r="R12" t="str">
        <x:f t="shared" si="0"/>
        <x:v>NÃO</x:v>
      </x:c>
    </x:row>
    <x:row r="13">
      <x:c r="A13" t="s">
        <x:v>255</x:v>
      </x:c>
      <x:c r="B13" t="s">
        <x:v>256</x:v>
      </x:c>
      <x:c r="C13" t="s">
        <x:v>269</x:v>
      </x:c>
      <x:c r="E13" t="s">
        <x:v>258</x:v>
      </x:c>
      <x:c r="G13" t="s">
        <x:v>259</x:v>
      </x:c>
      <x:c r="I13" t="s">
        <x:v>260</x:v>
      </x:c>
      <x:c r="R13" t="str">
        <x:f t="shared" si="0"/>
        <x:v>NÃO</x:v>
      </x:c>
    </x:row>
    <x:row r="14">
      <x:c r="A14" t="s">
        <x:v>255</x:v>
      </x:c>
      <x:c r="B14" t="s">
        <x:v>256</x:v>
      </x:c>
      <x:c r="C14" t="s">
        <x:v>270</x:v>
      </x:c>
      <x:c r="E14" t="s">
        <x:v>258</x:v>
      </x:c>
      <x:c r="G14" t="s">
        <x:v>259</x:v>
      </x:c>
      <x:c r="I14" t="s">
        <x:v>260</x:v>
      </x:c>
      <x:c r="R14" t="str">
        <x:f t="shared" si="0"/>
        <x:v>NÃO</x:v>
      </x:c>
    </x:row>
    <x:row r="15">
      <x:c r="A15" t="s">
        <x:v>255</x:v>
      </x:c>
      <x:c r="B15" t="s">
        <x:v>256</x:v>
      </x:c>
      <x:c r="C15" t="s">
        <x:v>271</x:v>
      </x:c>
      <x:c r="E15" t="s">
        <x:v>258</x:v>
      </x:c>
      <x:c r="G15" t="s">
        <x:v>259</x:v>
      </x:c>
      <x:c r="I15" t="s">
        <x:v>260</x:v>
      </x:c>
      <x:c r="R15" t="str">
        <x:f t="shared" si="0"/>
        <x:v>NÃO</x:v>
      </x:c>
    </x:row>
    <x:row r="16">
      <x:c r="A16" t="s">
        <x:v>255</x:v>
      </x:c>
      <x:c r="B16" t="s">
        <x:v>256</x:v>
      </x:c>
      <x:c r="C16" t="s">
        <x:v>272</x:v>
      </x:c>
      <x:c r="E16" t="s">
        <x:v>258</x:v>
      </x:c>
      <x:c r="G16" t="s">
        <x:v>259</x:v>
      </x:c>
      <x:c r="I16" t="s">
        <x:v>260</x:v>
      </x:c>
      <x:c r="R16" t="str">
        <x:f t="shared" si="0"/>
        <x:v>NÃO</x:v>
      </x:c>
    </x:row>
    <x:row r="17">
      <x:c r="A17" t="s">
        <x:v>255</x:v>
      </x:c>
      <x:c r="B17" t="s">
        <x:v>256</x:v>
      </x:c>
      <x:c r="C17" t="s">
        <x:v>273</x:v>
      </x:c>
      <x:c r="E17" t="s">
        <x:v>258</x:v>
      </x:c>
      <x:c r="G17" t="s">
        <x:v>259</x:v>
      </x:c>
      <x:c r="I17" t="s">
        <x:v>260</x:v>
      </x:c>
      <x:c r="R17" t="str">
        <x:f t="shared" si="0"/>
        <x:v>NÃO</x:v>
      </x:c>
    </x:row>
    <x:row r="18">
      <x:c r="A18" t="s">
        <x:v>255</x:v>
      </x:c>
      <x:c r="B18" t="s">
        <x:v>256</x:v>
      </x:c>
      <x:c r="C18" t="s">
        <x:v>274</x:v>
      </x:c>
      <x:c r="E18" t="s">
        <x:v>258</x:v>
      </x:c>
      <x:c r="G18" t="s">
        <x:v>259</x:v>
      </x:c>
      <x:c r="I18" t="s">
        <x:v>260</x:v>
      </x:c>
      <x:c r="R18" t="str">
        <x:f t="shared" si="0"/>
        <x:v>NÃO</x:v>
      </x:c>
    </x:row>
    <x:row r="19">
      <x:c r="A19" t="s">
        <x:v>255</x:v>
      </x:c>
      <x:c r="B19" t="s">
        <x:v>256</x:v>
      </x:c>
      <x:c r="C19" t="s">
        <x:v>275</x:v>
      </x:c>
      <x:c r="E19" t="s">
        <x:v>258</x:v>
      </x:c>
      <x:c r="G19" t="s">
        <x:v>259</x:v>
      </x:c>
      <x:c r="I19" t="s">
        <x:v>260</x:v>
      </x:c>
      <x:c r="R19" t="str">
        <x:f t="shared" si="0"/>
        <x:v>NÃO</x:v>
      </x:c>
    </x:row>
    <x:row r="20">
      <x:c r="A20" t="s">
        <x:v>255</x:v>
      </x:c>
      <x:c r="B20" t="s">
        <x:v>256</x:v>
      </x:c>
      <x:c r="C20" t="s">
        <x:v>276</x:v>
      </x:c>
      <x:c r="D20" t="s">
        <x:v>277</x:v>
      </x:c>
      <x:c r="E20" t="s">
        <x:v>258</x:v>
      </x:c>
      <x:c r="G20" t="s">
        <x:v>278</x:v>
      </x:c>
      <x:c r="I20" t="s">
        <x:v>278</x:v>
      </x:c>
      <x:c r="R20" t="str">
        <x:f t="shared" si="0"/>
        <x:v>NÃO</x:v>
      </x:c>
    </x:row>
    <x:row r="21">
      <x:c r="A21" t="s">
        <x:v>255</x:v>
      </x:c>
      <x:c r="B21" t="s">
        <x:v>256</x:v>
      </x:c>
      <x:c r="C21" t="s">
        <x:v>279</x:v>
      </x:c>
      <x:c r="D21" t="s">
        <x:v>280</x:v>
      </x:c>
      <x:c r="E21" t="s">
        <x:v>258</x:v>
      </x:c>
      <x:c r="G21" t="s">
        <x:v>278</x:v>
      </x:c>
      <x:c r="I21" t="s">
        <x:v>278</x:v>
      </x:c>
      <x:c r="R21" t="str">
        <x:f t="shared" si="0"/>
        <x:v>NÃO</x:v>
      </x:c>
    </x:row>
    <x:row r="22">
      <x:c r="A22" t="s">
        <x:v>255</x:v>
      </x:c>
      <x:c r="B22" t="s">
        <x:v>256</x:v>
      </x:c>
      <x:c r="C22" t="s">
        <x:v>281</x:v>
      </x:c>
      <x:c r="D22" t="s">
        <x:v>282</x:v>
      </x:c>
      <x:c r="E22" t="s">
        <x:v>258</x:v>
      </x:c>
      <x:c r="G22" t="s">
        <x:v>278</x:v>
      </x:c>
      <x:c r="I22" t="s">
        <x:v>278</x:v>
      </x:c>
      <x:c r="R22" t="str">
        <x:f t="shared" si="0"/>
        <x:v>NÃO</x:v>
      </x:c>
    </x:row>
    <x:row r="23">
      <x:c r="A23" t="s">
        <x:v>255</x:v>
      </x:c>
      <x:c r="B23" t="s">
        <x:v>256</x:v>
      </x:c>
      <x:c r="C23" t="s">
        <x:v>283</x:v>
      </x:c>
      <x:c r="D23" t="s">
        <x:v>284</x:v>
      </x:c>
      <x:c r="E23" t="s">
        <x:v>258</x:v>
      </x:c>
      <x:c r="G23" t="s">
        <x:v>278</x:v>
      </x:c>
      <x:c r="I23" t="s">
        <x:v>278</x:v>
      </x:c>
      <x:c r="R23" t="str">
        <x:f t="shared" si="0"/>
        <x:v>NÃO</x:v>
      </x:c>
    </x:row>
    <x:row r="24">
      <x:c r="A24" t="s">
        <x:v>255</x:v>
      </x:c>
      <x:c r="B24" t="s">
        <x:v>256</x:v>
      </x:c>
      <x:c r="C24" t="s">
        <x:v>285</x:v>
      </x:c>
      <x:c r="D24" t="s">
        <x:v>286</x:v>
      </x:c>
      <x:c r="E24" t="s">
        <x:v>258</x:v>
      </x:c>
      <x:c r="G24" t="s">
        <x:v>278</x:v>
      </x:c>
      <x:c r="I24" t="s">
        <x:v>278</x:v>
      </x:c>
      <x:c r="R24" t="str">
        <x:f t="shared" si="0"/>
        <x:v>NÃO</x:v>
      </x:c>
    </x:row>
    <x:row r="25">
      <x:c r="A25" t="s">
        <x:v>287</x:v>
      </x:c>
      <x:c r="B25" t="s">
        <x:v>256</x:v>
      </x:c>
      <x:c r="C25" t="s">
        <x:v>288</x:v>
      </x:c>
      <x:c r="D25" t="s">
        <x:v>289</x:v>
      </x:c>
      <x:c r="E25" t="s">
        <x:v>290</x:v>
      </x:c>
      <x:c r="G25" t="s">
        <x:v>278</x:v>
      </x:c>
      <x:c r="I25" t="s">
        <x:v>278</x:v>
      </x:c>
      <x:c r="R25" t="str">
        <x:f t="shared" si="0"/>
        <x:v>NÃO</x:v>
      </x:c>
    </x:row>
    <x:row r="26">
      <x:c r="A26" t="s">
        <x:v>287</x:v>
      </x:c>
      <x:c r="B26" t="s">
        <x:v>256</x:v>
      </x:c>
      <x:c r="C26" t="s">
        <x:v>291</x:v>
      </x:c>
      <x:c r="D26" t="s">
        <x:v>292</x:v>
      </x:c>
      <x:c r="E26" t="s">
        <x:v>258</x:v>
      </x:c>
      <x:c r="G26" t="s">
        <x:v>278</x:v>
      </x:c>
      <x:c r="I26" t="s">
        <x:v>278</x:v>
      </x:c>
      <x:c r="R26" t="str">
        <x:f t="shared" si="0"/>
        <x:v>NÃO</x:v>
      </x:c>
    </x:row>
    <x:row r="27">
      <x:c r="A27" t="s">
        <x:v>287</x:v>
      </x:c>
      <x:c r="B27" t="s">
        <x:v>256</x:v>
      </x:c>
      <x:c r="C27" t="s">
        <x:v>293</x:v>
      </x:c>
      <x:c r="D27" t="s">
        <x:v>294</x:v>
      </x:c>
      <x:c r="E27" t="s">
        <x:v>258</x:v>
      </x:c>
      <x:c r="G27" t="s">
        <x:v>278</x:v>
      </x:c>
      <x:c r="I27" t="s">
        <x:v>278</x:v>
      </x:c>
      <x:c r="R27" t="str">
        <x:f t="shared" si="0"/>
        <x:v>NÃO</x:v>
      </x:c>
    </x:row>
    <x:row r="28">
      <x:c r="A28" t="s">
        <x:v>287</x:v>
      </x:c>
      <x:c r="B28" t="s">
        <x:v>256</x:v>
      </x:c>
      <x:c r="C28" t="s">
        <x:v>295</x:v>
      </x:c>
      <x:c r="D28" t="s">
        <x:v>296</x:v>
      </x:c>
      <x:c r="E28" t="s">
        <x:v>290</x:v>
      </x:c>
      <x:c r="G28" t="s">
        <x:v>278</x:v>
      </x:c>
      <x:c r="I28" t="s">
        <x:v>278</x:v>
      </x:c>
      <x:c r="R28" t="str">
        <x:f t="shared" si="0"/>
        <x:v>NÃO</x:v>
      </x:c>
    </x:row>
    <x:row r="29">
      <x:c r="A29" t="s">
        <x:v>287</x:v>
      </x:c>
      <x:c r="B29" t="s">
        <x:v>256</x:v>
      </x:c>
      <x:c r="C29" t="s">
        <x:v>297</x:v>
      </x:c>
      <x:c r="D29" t="s">
        <x:v>298</x:v>
      </x:c>
      <x:c r="E29" t="s">
        <x:v>258</x:v>
      </x:c>
      <x:c r="G29" t="s">
        <x:v>278</x:v>
      </x:c>
      <x:c r="I29" t="s">
        <x:v>278</x:v>
      </x:c>
      <x:c r="R29" t="str">
        <x:f t="shared" si="0"/>
        <x:v>NÃO</x:v>
      </x:c>
    </x:row>
    <x:row r="30">
      <x:c r="A30" t="s">
        <x:v>287</x:v>
      </x:c>
      <x:c r="B30" t="s">
        <x:v>256</x:v>
      </x:c>
      <x:c r="C30" t="s">
        <x:v>299</x:v>
      </x:c>
      <x:c r="D30" t="s">
        <x:v>300</x:v>
      </x:c>
      <x:c r="E30" t="s">
        <x:v>301</x:v>
      </x:c>
      <x:c r="G30" t="s">
        <x:v>278</x:v>
      </x:c>
      <x:c r="I30" t="s">
        <x:v>278</x:v>
      </x:c>
      <x:c r="R30" t="str">
        <x:f t="shared" si="0"/>
        <x:v>NÃO</x:v>
      </x:c>
    </x:row>
    <x:row r="31">
      <x:c r="A31" t="s">
        <x:v>287</x:v>
      </x:c>
      <x:c r="B31" t="s">
        <x:v>256</x:v>
      </x:c>
      <x:c r="C31" t="s">
        <x:v>302</x:v>
      </x:c>
      <x:c r="D31" t="s">
        <x:v>303</x:v>
      </x:c>
      <x:c r="E31" t="s">
        <x:v>258</x:v>
      </x:c>
      <x:c r="G31" t="s">
        <x:v>278</x:v>
      </x:c>
      <x:c r="I31" t="s">
        <x:v>278</x:v>
      </x:c>
      <x:c r="R31" t="str">
        <x:f t="shared" si="0"/>
        <x:v>NÃO</x:v>
      </x:c>
    </x:row>
    <x:row r="32">
      <x:c r="A32" t="s">
        <x:v>287</x:v>
      </x:c>
      <x:c r="B32" t="s">
        <x:v>256</x:v>
      </x:c>
      <x:c r="C32" t="s">
        <x:v>304</x:v>
      </x:c>
      <x:c r="D32" t="s">
        <x:v>305</x:v>
      </x:c>
      <x:c r="E32" t="s">
        <x:v>290</x:v>
      </x:c>
      <x:c r="G32" t="s">
        <x:v>278</x:v>
      </x:c>
      <x:c r="I32" t="s">
        <x:v>278</x:v>
      </x:c>
      <x:c r="R32" t="str">
        <x:f t="shared" si="0"/>
        <x:v>NÃO</x:v>
      </x:c>
    </x:row>
    <x:row r="33">
      <x:c r="A33" t="s">
        <x:v>287</x:v>
      </x:c>
      <x:c r="B33" t="s">
        <x:v>306</x:v>
      </x:c>
      <x:c r="C33" t="s">
        <x:v>307</x:v>
      </x:c>
      <x:c r="D33" t="s">
        <x:v>308</x:v>
      </x:c>
      <x:c r="E33" t="s">
        <x:v>258</x:v>
      </x:c>
      <x:c r="G33" t="s">
        <x:v>278</x:v>
      </x:c>
      <x:c r="I33" t="s">
        <x:v>278</x:v>
      </x:c>
      <x:c r="R33" t="str">
        <x:f t="shared" si="0"/>
        <x:v>NÃO</x:v>
      </x:c>
    </x:row>
    <x:row r="34">
      <x:c r="A34" t="s">
        <x:v>287</x:v>
      </x:c>
      <x:c r="B34" t="s">
        <x:v>306</x:v>
      </x:c>
      <x:c r="C34" t="s">
        <x:v>309</x:v>
      </x:c>
      <x:c r="D34" t="s">
        <x:v>310</x:v>
      </x:c>
      <x:c r="E34" t="s">
        <x:v>258</x:v>
      </x:c>
      <x:c r="G34" t="s">
        <x:v>278</x:v>
      </x:c>
      <x:c r="I34" t="s">
        <x:v>278</x:v>
      </x:c>
      <x:c r="R34" t="str">
        <x:f t="shared" si="0"/>
        <x:v>NÃO</x:v>
      </x:c>
    </x:row>
    <x:row r="35">
      <x:c r="A35" t="s">
        <x:v>287</x:v>
      </x:c>
      <x:c r="B35" t="s">
        <x:v>306</x:v>
      </x:c>
      <x:c r="C35" t="s">
        <x:v>311</x:v>
      </x:c>
      <x:c r="D35" t="s">
        <x:v>312</x:v>
      </x:c>
      <x:c r="E35" t="s">
        <x:v>258</x:v>
      </x:c>
      <x:c r="G35" t="s">
        <x:v>278</x:v>
      </x:c>
      <x:c r="I35" t="s">
        <x:v>278</x:v>
      </x:c>
      <x:c r="R35" t="str">
        <x:f t="shared" si="0"/>
        <x:v>NÃO</x:v>
      </x:c>
    </x:row>
    <x:row r="36">
      <x:c r="A36" t="s">
        <x:v>287</x:v>
      </x:c>
      <x:c r="B36" t="s">
        <x:v>306</x:v>
      </x:c>
      <x:c r="C36" t="s">
        <x:v>313</x:v>
      </x:c>
      <x:c r="D36" t="s">
        <x:v>314</x:v>
      </x:c>
      <x:c r="E36" t="s">
        <x:v>258</x:v>
      </x:c>
      <x:c r="G36" t="s">
        <x:v>278</x:v>
      </x:c>
      <x:c r="I36" t="s">
        <x:v>278</x:v>
      </x:c>
      <x:c r="R36" t="str">
        <x:f t="shared" si="0"/>
        <x:v>NÃO</x:v>
      </x:c>
    </x:row>
    <x:row r="37">
      <x:c r="A37" t="s">
        <x:v>287</x:v>
      </x:c>
      <x:c r="B37" t="s">
        <x:v>306</x:v>
      </x:c>
      <x:c r="C37" t="s">
        <x:v>315</x:v>
      </x:c>
      <x:c r="D37" t="s">
        <x:v>316</x:v>
      </x:c>
      <x:c r="E37" t="s">
        <x:v>290</x:v>
      </x:c>
      <x:c r="G37" t="s">
        <x:v>278</x:v>
      </x:c>
      <x:c r="I37" t="s">
        <x:v>278</x:v>
      </x:c>
      <x:c r="R37" t="str">
        <x:f t="shared" si="0"/>
        <x:v>NÃO</x:v>
      </x:c>
    </x:row>
    <x:row r="38">
      <x:c r="A38" t="s">
        <x:v>287</x:v>
      </x:c>
      <x:c r="B38" t="s">
        <x:v>306</x:v>
      </x:c>
      <x:c r="C38" t="s">
        <x:v>317</x:v>
      </x:c>
      <x:c r="D38" t="s">
        <x:v>318</x:v>
      </x:c>
      <x:c r="E38" t="s">
        <x:v>258</x:v>
      </x:c>
      <x:c r="G38" t="s">
        <x:v>278</x:v>
      </x:c>
      <x:c r="I38" t="s">
        <x:v>278</x:v>
      </x:c>
      <x:c r="R38" t="str">
        <x:f t="shared" si="0"/>
        <x:v>NÃO</x:v>
      </x:c>
    </x:row>
    <x:row r="39">
      <x:c r="A39" t="s">
        <x:v>287</x:v>
      </x:c>
      <x:c r="B39" t="s">
        <x:v>306</x:v>
      </x:c>
      <x:c r="C39" t="s">
        <x:v>319</x:v>
      </x:c>
      <x:c r="D39" t="s">
        <x:v>320</x:v>
      </x:c>
      <x:c r="E39" t="s">
        <x:v>258</x:v>
      </x:c>
      <x:c r="G39" t="s">
        <x:v>278</x:v>
      </x:c>
      <x:c r="I39" t="s">
        <x:v>278</x:v>
      </x:c>
      <x:c r="R39" t="str">
        <x:f t="shared" si="0"/>
        <x:v>NÃO</x:v>
      </x:c>
    </x:row>
    <x:row r="40">
      <x:c r="A40" t="s">
        <x:v>287</x:v>
      </x:c>
      <x:c r="B40" t="s">
        <x:v>306</x:v>
      </x:c>
      <x:c r="C40" t="s">
        <x:v>321</x:v>
      </x:c>
      <x:c r="D40" t="s">
        <x:v>322</x:v>
      </x:c>
      <x:c r="E40" t="s">
        <x:v>290</x:v>
      </x:c>
      <x:c r="G40" t="s">
        <x:v>278</x:v>
      </x:c>
      <x:c r="I40" t="s">
        <x:v>278</x:v>
      </x:c>
      <x:c r="R40" t="str">
        <x:f t="shared" si="0"/>
        <x:v>NÃO</x:v>
      </x:c>
    </x:row>
    <x:row r="41">
      <x:c r="A41" t="s">
        <x:v>287</x:v>
      </x:c>
      <x:c r="B41" t="s">
        <x:v>323</x:v>
      </x:c>
      <x:c r="C41" t="s">
        <x:v>324</x:v>
      </x:c>
      <x:c r="D41" t="s">
        <x:v>325</x:v>
      </x:c>
      <x:c r="E41" t="s">
        <x:v>258</x:v>
      </x:c>
      <x:c r="G41" t="s">
        <x:v>278</x:v>
      </x:c>
      <x:c r="I41" t="s">
        <x:v>278</x:v>
      </x:c>
      <x:c r="R41" t="str">
        <x:f t="shared" si="0"/>
        <x:v>NÃO</x:v>
      </x:c>
    </x:row>
    <x:row r="42">
      <x:c r="A42" t="s">
        <x:v>287</x:v>
      </x:c>
      <x:c r="B42" t="s">
        <x:v>323</x:v>
      </x:c>
      <x:c r="C42" t="s">
        <x:v>326</x:v>
      </x:c>
      <x:c r="D42" t="s">
        <x:v>327</x:v>
      </x:c>
      <x:c r="E42" t="s">
        <x:v>290</x:v>
      </x:c>
      <x:c r="G42" t="s">
        <x:v>278</x:v>
      </x:c>
      <x:c r="I42" t="s">
        <x:v>278</x:v>
      </x:c>
      <x:c r="R42" t="str">
        <x:f t="shared" si="0"/>
        <x:v>NÃO</x:v>
      </x:c>
    </x:row>
    <x:row r="43">
      <x:c r="A43" t="s">
        <x:v>287</x:v>
      </x:c>
      <x:c r="B43" t="s">
        <x:v>323</x:v>
      </x:c>
      <x:c r="C43" t="s">
        <x:v>328</x:v>
      </x:c>
      <x:c r="D43" t="s">
        <x:v>329</x:v>
      </x:c>
      <x:c r="E43" t="s">
        <x:v>258</x:v>
      </x:c>
      <x:c r="G43" t="s">
        <x:v>278</x:v>
      </x:c>
      <x:c r="I43" t="s">
        <x:v>278</x:v>
      </x:c>
      <x:c r="R43" t="str">
        <x:f t="shared" si="0"/>
        <x:v>NÃO</x:v>
      </x:c>
    </x:row>
    <x:row r="44">
      <x:c r="A44" t="s">
        <x:v>287</x:v>
      </x:c>
      <x:c r="B44" t="s">
        <x:v>323</x:v>
      </x:c>
      <x:c r="C44" t="s">
        <x:v>330</x:v>
      </x:c>
      <x:c r="D44" t="s">
        <x:v>331</x:v>
      </x:c>
      <x:c r="E44" t="s">
        <x:v>258</x:v>
      </x:c>
      <x:c r="G44" t="s">
        <x:v>278</x:v>
      </x:c>
      <x:c r="I44" t="s">
        <x:v>278</x:v>
      </x:c>
      <x:c r="R44" t="str">
        <x:f t="shared" si="0"/>
        <x:v>NÃO</x:v>
      </x:c>
    </x:row>
    <x:row r="45">
      <x:c r="A45" t="s">
        <x:v>287</x:v>
      </x:c>
      <x:c r="B45" t="s">
        <x:v>323</x:v>
      </x:c>
      <x:c r="C45" t="s">
        <x:v>332</x:v>
      </x:c>
      <x:c r="D45" t="s">
        <x:v>333</x:v>
      </x:c>
      <x:c r="E45" t="s">
        <x:v>258</x:v>
      </x:c>
      <x:c r="G45" t="s">
        <x:v>278</x:v>
      </x:c>
      <x:c r="I45" t="s">
        <x:v>278</x:v>
      </x:c>
      <x:c r="R45" t="str">
        <x:f t="shared" si="0"/>
        <x:v>NÃO</x:v>
      </x:c>
    </x:row>
    <x:row r="46">
      <x:c r="A46" t="s">
        <x:v>287</x:v>
      </x:c>
      <x:c r="B46" t="s">
        <x:v>323</x:v>
      </x:c>
      <x:c r="C46" t="s">
        <x:v>334</x:v>
      </x:c>
      <x:c r="D46" t="s">
        <x:v>335</x:v>
      </x:c>
      <x:c r="E46" t="s">
        <x:v>336</x:v>
      </x:c>
      <x:c r="G46" t="s">
        <x:v>278</x:v>
      </x:c>
      <x:c r="I46" t="s">
        <x:v>278</x:v>
      </x:c>
      <x:c r="R46" t="str">
        <x:f t="shared" si="0"/>
        <x:v>NÃO</x:v>
      </x:c>
    </x:row>
    <x:row r="47">
      <x:c r="A47" t="s">
        <x:v>287</x:v>
      </x:c>
      <x:c r="B47" t="s">
        <x:v>323</x:v>
      </x:c>
      <x:c r="C47" t="s">
        <x:v>337</x:v>
      </x:c>
      <x:c r="D47" t="s">
        <x:v>338</x:v>
      </x:c>
      <x:c r="E47" t="s">
        <x:v>258</x:v>
      </x:c>
      <x:c r="G47" t="s">
        <x:v>278</x:v>
      </x:c>
      <x:c r="I47" t="s">
        <x:v>278</x:v>
      </x:c>
      <x:c r="R47" t="str">
        <x:f t="shared" si="0"/>
        <x:v>NÃO</x:v>
      </x:c>
    </x:row>
    <x:row r="48">
      <x:c r="A48" t="s">
        <x:v>287</x:v>
      </x:c>
      <x:c r="B48" t="s">
        <x:v>339</x:v>
      </x:c>
      <x:c r="C48" t="s">
        <x:v>340</x:v>
      </x:c>
      <x:c r="E48" t="s">
        <x:v>258</x:v>
      </x:c>
      <x:c r="R48" t="str">
        <x:f t="shared" si="0"/>
        <x:v>NÃO</x:v>
      </x:c>
    </x:row>
    <x:row r="49">
      <x:c r="A49" t="s">
        <x:v>287</x:v>
      </x:c>
      <x:c r="B49" t="s">
        <x:v>341</x:v>
      </x:c>
      <x:c r="C49" t="s">
        <x:v>342</x:v>
      </x:c>
      <x:c r="E49" t="s">
        <x:v>258</x:v>
      </x:c>
      <x:c r="R49" t="str">
        <x:f t="shared" si="0"/>
        <x:v>NÃO</x:v>
      </x:c>
    </x:row>
    <x:row r="50">
      <x:c r="A50" t="s">
        <x:v>287</x:v>
      </x:c>
      <x:c r="B50" t="s">
        <x:v>343</x:v>
      </x:c>
      <x:c r="C50" t="s">
        <x:v>344</x:v>
      </x:c>
      <x:c r="E50" t="s">
        <x:v>258</x:v>
      </x:c>
      <x:c r="R50" t="str">
        <x:f t="shared" si="0"/>
        <x:v>NÃO</x:v>
      </x:c>
    </x:row>
    <x:row r="51">
      <x:c r="A51" t="s">
        <x:v>287</x:v>
      </x:c>
      <x:c r="B51" t="s">
        <x:v>345</x:v>
      </x:c>
      <x:c r="C51" t="s">
        <x:v>346</x:v>
      </x:c>
      <x:c r="E51" t="s">
        <x:v>258</x:v>
      </x:c>
      <x:c r="R51" t="str">
        <x:f t="shared" si="0"/>
        <x:v>NÃO</x:v>
      </x:c>
    </x:row>
    <x:row r="52">
      <x:c r="A52" t="s">
        <x:v>287</x:v>
      </x:c>
      <x:c r="B52" t="s">
        <x:v>345</x:v>
      </x:c>
      <x:c r="C52" t="s">
        <x:v>347</x:v>
      </x:c>
      <x:c r="E52" t="s">
        <x:v>258</x:v>
      </x:c>
      <x:c r="G52" t="s">
        <x:v>259</x:v>
      </x:c>
      <x:c r="H52" t="s">
        <x:v>348</x:v>
      </x:c>
      <x:c r="I52" t="s">
        <x:v>260</x:v>
      </x:c>
      <x:c r="R52" t="str">
        <x:f t="shared" si="0"/>
        <x:v>NÃO</x:v>
      </x:c>
    </x:row>
    <x:row r="53">
      <x:c r="A53" t="s">
        <x:v>287</x:v>
      </x:c>
      <x:c r="B53" t="s">
        <x:v>349</x:v>
      </x:c>
      <x:c r="C53" t="s">
        <x:v>350</x:v>
      </x:c>
      <x:c r="E53" t="s">
        <x:v>351</x:v>
      </x:c>
      <x:c r="G53" t="s">
        <x:v>259</x:v>
      </x:c>
      <x:c r="H53" t="s">
        <x:v>348</x:v>
      </x:c>
      <x:c r="I53" t="s">
        <x:v>260</x:v>
      </x:c>
      <x:c r="R53" t="str">
        <x:f t="shared" si="0"/>
        <x:v>NÃO</x:v>
      </x:c>
    </x:row>
    <x:row r="54">
      <x:c r="A54" t="s">
        <x:v>287</x:v>
      </x:c>
      <x:c r="B54" t="s">
        <x:v>345</x:v>
      </x:c>
      <x:c r="C54" t="s">
        <x:v>352</x:v>
      </x:c>
      <x:c r="E54" t="s">
        <x:v>258</x:v>
      </x:c>
      <x:c r="G54" t="s">
        <x:v>259</x:v>
      </x:c>
      <x:c r="H54" t="s">
        <x:v>348</x:v>
      </x:c>
      <x:c r="I54" t="s">
        <x:v>260</x:v>
      </x:c>
      <x:c r="R54" t="str">
        <x:f t="shared" si="0"/>
        <x:v>NÃO</x:v>
      </x:c>
    </x:row>
    <x:row r="55">
      <x:c r="A55" t="s">
        <x:v>287</x:v>
      </x:c>
      <x:c r="B55" t="s">
        <x:v>353</x:v>
      </x:c>
      <x:c r="C55" t="s">
        <x:v>354</x:v>
      </x:c>
      <x:c r="E55" t="s">
        <x:v>351</x:v>
      </x:c>
      <x:c r="R55" t="str">
        <x:f t="shared" si="0"/>
        <x:v>NÃO</x:v>
      </x:c>
    </x:row>
    <x:row r="56">
      <x:c r="A56" t="s">
        <x:v>287</x:v>
      </x:c>
      <x:c r="B56" t="s">
        <x:v>355</x:v>
      </x:c>
      <x:c r="C56" t="s">
        <x:v>356</x:v>
      </x:c>
      <x:c r="E56" t="s">
        <x:v>290</x:v>
      </x:c>
      <x:c r="G56" t="s">
        <x:v>278</x:v>
      </x:c>
      <x:c r="H56" t="s">
        <x:v>278</x:v>
      </x:c>
      <x:c r="I56" t="s">
        <x:v>278</x:v>
      </x:c>
      <x:c r="R56" t="str">
        <x:f t="shared" si="0"/>
        <x:v>NÃO</x:v>
      </x:c>
    </x:row>
    <x:row r="57">
      <x:c r="A57" t="s">
        <x:v>287</x:v>
      </x:c>
      <x:c r="B57" t="s">
        <x:v>355</x:v>
      </x:c>
      <x:c r="C57" t="s">
        <x:v>357</x:v>
      </x:c>
      <x:c r="E57" t="s">
        <x:v>290</x:v>
      </x:c>
      <x:c r="G57" t="s">
        <x:v>259</x:v>
      </x:c>
      <x:c r="H57" t="s">
        <x:v>348</x:v>
      </x:c>
      <x:c r="I57" t="s">
        <x:v>260</x:v>
      </x:c>
      <x:c r="R57" t="str">
        <x:f t="shared" si="0"/>
        <x:v>NÃO</x:v>
      </x:c>
    </x:row>
    <x:row r="58">
      <x:c r="A58" t="s">
        <x:v>287</x:v>
      </x:c>
      <x:c r="B58" t="s">
        <x:v>355</x:v>
      </x:c>
      <x:c r="C58" t="s">
        <x:v>358</x:v>
      </x:c>
      <x:c r="E58" t="s">
        <x:v>290</x:v>
      </x:c>
      <x:c r="G58" t="s">
        <x:v>259</x:v>
      </x:c>
      <x:c r="H58" t="s">
        <x:v>348</x:v>
      </x:c>
      <x:c r="I58" t="s">
        <x:v>260</x:v>
      </x:c>
      <x:c r="R58" t="str">
        <x:f t="shared" si="0"/>
        <x:v>NÃO</x:v>
      </x:c>
    </x:row>
    <x:row r="59">
      <x:c r="A59" t="s">
        <x:v>287</x:v>
      </x:c>
      <x:c r="B59" t="s">
        <x:v>355</x:v>
      </x:c>
      <x:c r="C59" t="s">
        <x:v>359</x:v>
      </x:c>
      <x:c r="E59" t="s">
        <x:v>290</x:v>
      </x:c>
      <x:c r="G59" t="s">
        <x:v>259</x:v>
      </x:c>
      <x:c r="H59" t="s">
        <x:v>348</x:v>
      </x:c>
      <x:c r="I59" t="s">
        <x:v>260</x:v>
      </x:c>
      <x:c r="R59" t="str">
        <x:f t="shared" si="0"/>
        <x:v>NÃO</x:v>
      </x:c>
    </x:row>
    <x:row r="60">
      <x:c r="A60" t="s">
        <x:v>287</x:v>
      </x:c>
      <x:c r="B60" t="s">
        <x:v>355</x:v>
      </x:c>
      <x:c r="C60" t="s">
        <x:v>360</x:v>
      </x:c>
      <x:c r="E60" t="s">
        <x:v>351</x:v>
      </x:c>
      <x:c r="G60" t="s">
        <x:v>278</x:v>
      </x:c>
      <x:c r="H60" t="s">
        <x:v>278</x:v>
      </x:c>
      <x:c r="I60" t="s">
        <x:v>278</x:v>
      </x:c>
      <x:c r="R60" t="str">
        <x:f t="shared" si="0"/>
        <x:v>NÃO</x:v>
      </x:c>
    </x:row>
    <x:row r="61">
      <x:c r="R61" t="str">
        <x:f t="shared" si="0"/>
        <x:v>NÃO</x:v>
      </x:c>
    </x:row>
    <x:row r="62">
      <x:c r="R62" t="str">
        <x:f t="shared" si="0"/>
        <x:v>NÃO</x:v>
      </x:c>
    </x:row>
    <x:row r="63">
      <x:c r="R63" t="str">
        <x:f t="shared" si="0"/>
        <x:v>NÃO</x:v>
      </x:c>
    </x:row>
    <x:row r="64">
      <x:c r="R64" t="str">
        <x:f t="shared" si="0"/>
        <x:v>NÃO</x:v>
      </x:c>
    </x:row>
    <x:row r="65">
      <x:c r="R65" t="str">
        <x:f t="shared" si="0"/>
        <x:v>NÃO</x:v>
      </x:c>
    </x:row>
    <x:row r="66">
      <x:c r="R66" t="str">
        <x:f t="shared" si="0"/>
        <x:v>NÃO</x:v>
      </x:c>
    </x:row>
    <x:row r="67">
      <x:c r="R67" t="str">
        <x:f t="shared" si="0"/>
        <x:v>NÃO</x:v>
      </x:c>
    </x:row>
    <x:row r="68">
      <x:c r="R68" t="str">
        <x:f t="shared" ref="R68:R131" si="1">IF(AND(G68="Aprovado",H68="Aprovado",I68="Aprovado",J68="Aprovado",K68="Aprovado",L68="Aprovado",M68="Aprovado",N68="Aprovado",O68="Aprovado",P68="Aprovado",Q68="Aprovado"),"SIM","NÃO")</x:f>
        <x:v>NÃO</x:v>
      </x:c>
    </x:row>
    <x:row r="69">
      <x:c r="R69" t="str">
        <x:f t="shared" si="1"/>
        <x:v>NÃO</x:v>
      </x:c>
    </x:row>
    <x:row r="70">
      <x:c r="R70" t="str">
        <x:f t="shared" si="1"/>
        <x:v>NÃO</x:v>
      </x:c>
    </x:row>
    <x:row r="71">
      <x:c r="R71" t="str">
        <x:f t="shared" si="1"/>
        <x:v>NÃO</x:v>
      </x:c>
    </x:row>
    <x:row r="72">
      <x:c r="R72" t="str">
        <x:f t="shared" si="1"/>
        <x:v>NÃO</x:v>
      </x:c>
    </x:row>
    <x:row r="73">
      <x:c r="R73" t="str">
        <x:f t="shared" si="1"/>
        <x:v>NÃO</x:v>
      </x:c>
    </x:row>
    <x:row r="74">
      <x:c r="R74" t="str">
        <x:f t="shared" si="1"/>
        <x:v>NÃO</x:v>
      </x:c>
    </x:row>
    <x:row r="75">
      <x:c r="R75" t="str">
        <x:f t="shared" si="1"/>
        <x:v>NÃO</x:v>
      </x:c>
    </x:row>
    <x:row r="76">
      <x:c r="R76" t="str">
        <x:f t="shared" si="1"/>
        <x:v>NÃO</x:v>
      </x:c>
    </x:row>
    <x:row r="77">
      <x:c r="R77" t="str">
        <x:f t="shared" si="1"/>
        <x:v>NÃO</x:v>
      </x:c>
    </x:row>
    <x:row r="78">
      <x:c r="R78" t="str">
        <x:f t="shared" si="1"/>
        <x:v>NÃO</x:v>
      </x:c>
    </x:row>
    <x:row r="79">
      <x:c r="R79" t="str">
        <x:f t="shared" si="1"/>
        <x:v>NÃO</x:v>
      </x:c>
    </x:row>
    <x:row r="80">
      <x:c r="R80" t="str">
        <x:f t="shared" si="1"/>
        <x:v>NÃO</x:v>
      </x:c>
    </x:row>
    <x:row r="81">
      <x:c r="R81" t="str">
        <x:f t="shared" si="1"/>
        <x:v>NÃO</x:v>
      </x:c>
    </x:row>
    <x:row r="82">
      <x:c r="R82" t="str">
        <x:f t="shared" si="1"/>
        <x:v>NÃO</x:v>
      </x:c>
    </x:row>
    <x:row r="83">
      <x:c r="R83" t="str">
        <x:f t="shared" si="1"/>
        <x:v>NÃO</x:v>
      </x:c>
    </x:row>
    <x:row r="84">
      <x:c r="R84" t="str">
        <x:f t="shared" si="1"/>
        <x:v>NÃO</x:v>
      </x:c>
    </x:row>
    <x:row r="85">
      <x:c r="R85" t="str">
        <x:f t="shared" si="1"/>
        <x:v>NÃO</x:v>
      </x:c>
    </x:row>
    <x:row r="86">
      <x:c r="R86" t="str">
        <x:f t="shared" si="1"/>
        <x:v>NÃO</x:v>
      </x:c>
    </x:row>
    <x:row r="87">
      <x:c r="R87" t="str">
        <x:f t="shared" si="1"/>
        <x:v>NÃO</x:v>
      </x:c>
    </x:row>
    <x:row r="88">
      <x:c r="R88" t="str">
        <x:f t="shared" si="1"/>
        <x:v>NÃO</x:v>
      </x:c>
    </x:row>
    <x:row r="89">
      <x:c r="R89" t="str">
        <x:f t="shared" si="1"/>
        <x:v>NÃO</x:v>
      </x:c>
    </x:row>
    <x:row r="90">
      <x:c r="R90" t="str">
        <x:f t="shared" si="1"/>
        <x:v>NÃO</x:v>
      </x:c>
    </x:row>
    <x:row r="91">
      <x:c r="R91" t="str">
        <x:f t="shared" si="1"/>
        <x:v>NÃO</x:v>
      </x:c>
    </x:row>
    <x:row r="92">
      <x:c r="R92" t="str">
        <x:f t="shared" si="1"/>
        <x:v>NÃO</x:v>
      </x:c>
    </x:row>
    <x:row r="93">
      <x:c r="R93" t="str">
        <x:f t="shared" si="1"/>
        <x:v>NÃO</x:v>
      </x:c>
    </x:row>
    <x:row r="94">
      <x:c r="R94" t="str">
        <x:f t="shared" si="1"/>
        <x:v>NÃO</x:v>
      </x:c>
    </x:row>
    <x:row r="95">
      <x:c r="R95" t="str">
        <x:f t="shared" si="1"/>
        <x:v>NÃO</x:v>
      </x:c>
    </x:row>
    <x:row r="96">
      <x:c r="R96" t="str">
        <x:f t="shared" si="1"/>
        <x:v>NÃO</x:v>
      </x:c>
    </x:row>
    <x:row r="97">
      <x:c r="R97" t="str">
        <x:f t="shared" si="1"/>
        <x:v>NÃO</x:v>
      </x:c>
    </x:row>
    <x:row r="98">
      <x:c r="R98" t="str">
        <x:f t="shared" si="1"/>
        <x:v>NÃO</x:v>
      </x:c>
    </x:row>
    <x:row r="99">
      <x:c r="R99" t="str">
        <x:f t="shared" si="1"/>
        <x:v>NÃO</x:v>
      </x:c>
    </x:row>
    <x:row r="100">
      <x:c r="R100" t="str">
        <x:f t="shared" si="1"/>
        <x:v>NÃO</x:v>
      </x:c>
    </x:row>
    <x:row r="101">
      <x:c r="R101" t="str">
        <x:f t="shared" si="1"/>
        <x:v>NÃO</x:v>
      </x:c>
    </x:row>
    <x:row r="102">
      <x:c r="R102" t="str">
        <x:f t="shared" si="1"/>
        <x:v>NÃO</x:v>
      </x:c>
    </x:row>
    <x:row r="103">
      <x:c r="R103" t="str">
        <x:f t="shared" si="1"/>
        <x:v>NÃO</x:v>
      </x:c>
    </x:row>
    <x:row r="104">
      <x:c r="R104" t="str">
        <x:f t="shared" si="1"/>
        <x:v>NÃO</x:v>
      </x:c>
    </x:row>
    <x:row r="105">
      <x:c r="R105" t="str">
        <x:f t="shared" si="1"/>
        <x:v>NÃO</x:v>
      </x:c>
    </x:row>
    <x:row r="106">
      <x:c r="R106" t="str">
        <x:f t="shared" si="1"/>
        <x:v>NÃO</x:v>
      </x:c>
    </x:row>
    <x:row r="107">
      <x:c r="R107" t="str">
        <x:f t="shared" si="1"/>
        <x:v>NÃO</x:v>
      </x:c>
    </x:row>
    <x:row r="108">
      <x:c r="R108" t="str">
        <x:f t="shared" si="1"/>
        <x:v>NÃO</x:v>
      </x:c>
    </x:row>
    <x:row r="109">
      <x:c r="R109" t="str">
        <x:f t="shared" si="1"/>
        <x:v>NÃO</x:v>
      </x:c>
    </x:row>
    <x:row r="110">
      <x:c r="R110" t="str">
        <x:f t="shared" si="1"/>
        <x:v>NÃO</x:v>
      </x:c>
    </x:row>
    <x:row r="111">
      <x:c r="R111" t="str">
        <x:f t="shared" si="1"/>
        <x:v>NÃO</x:v>
      </x:c>
    </x:row>
    <x:row r="112">
      <x:c r="R112" t="str">
        <x:f t="shared" si="1"/>
        <x:v>NÃO</x:v>
      </x:c>
    </x:row>
    <x:row r="113">
      <x:c r="R113" t="str">
        <x:f t="shared" si="1"/>
        <x:v>NÃO</x:v>
      </x:c>
    </x:row>
    <x:row r="114">
      <x:c r="R114" t="str">
        <x:f t="shared" si="1"/>
        <x:v>NÃO</x:v>
      </x:c>
    </x:row>
    <x:row r="115">
      <x:c r="R115" t="str">
        <x:f t="shared" si="1"/>
        <x:v>NÃO</x:v>
      </x:c>
    </x:row>
    <x:row r="116">
      <x:c r="R116" t="str">
        <x:f t="shared" si="1"/>
        <x:v>NÃO</x:v>
      </x:c>
    </x:row>
    <x:row r="117">
      <x:c r="R117" t="str">
        <x:f t="shared" si="1"/>
        <x:v>NÃO</x:v>
      </x:c>
    </x:row>
    <x:row r="118">
      <x:c r="R118" t="str">
        <x:f t="shared" si="1"/>
        <x:v>NÃO</x:v>
      </x:c>
    </x:row>
    <x:row r="119">
      <x:c r="R119" t="str">
        <x:f t="shared" si="1"/>
        <x:v>NÃO</x:v>
      </x:c>
    </x:row>
    <x:row r="120">
      <x:c r="R120" t="str">
        <x:f t="shared" si="1"/>
        <x:v>NÃO</x:v>
      </x:c>
    </x:row>
    <x:row r="121">
      <x:c r="R121" t="str">
        <x:f t="shared" si="1"/>
        <x:v>NÃO</x:v>
      </x:c>
    </x:row>
    <x:row r="122">
      <x:c r="R122" t="str">
        <x:f t="shared" si="1"/>
        <x:v>NÃO</x:v>
      </x:c>
    </x:row>
    <x:row r="123">
      <x:c r="R123" t="str">
        <x:f t="shared" si="1"/>
        <x:v>NÃO</x:v>
      </x:c>
    </x:row>
    <x:row r="124">
      <x:c r="R124" t="str">
        <x:f t="shared" si="1"/>
        <x:v>NÃO</x:v>
      </x:c>
    </x:row>
    <x:row r="125">
      <x:c r="R125" t="str">
        <x:f t="shared" si="1"/>
        <x:v>NÃO</x:v>
      </x:c>
    </x:row>
    <x:row r="126">
      <x:c r="R126" t="str">
        <x:f t="shared" si="1"/>
        <x:v>NÃO</x:v>
      </x:c>
    </x:row>
    <x:row r="127">
      <x:c r="R127" t="str">
        <x:f t="shared" si="1"/>
        <x:v>NÃO</x:v>
      </x:c>
    </x:row>
    <x:row r="128">
      <x:c r="R128" t="str">
        <x:f t="shared" si="1"/>
        <x:v>NÃO</x:v>
      </x:c>
    </x:row>
    <x:row r="129">
      <x:c r="R129" t="str">
        <x:f t="shared" si="1"/>
        <x:v>NÃO</x:v>
      </x:c>
    </x:row>
    <x:row r="130">
      <x:c r="R130" t="str">
        <x:f t="shared" si="1"/>
        <x:v>NÃO</x:v>
      </x:c>
    </x:row>
    <x:row r="131">
      <x:c r="R131" t="str">
        <x:f t="shared" si="1"/>
        <x:v>NÃO</x:v>
      </x:c>
    </x:row>
    <x:row r="132">
      <x:c r="R132" t="str">
        <x:f t="shared" ref="R132:R195" si="2">IF(AND(G132="Aprovado",H132="Aprovado",I132="Aprovado",J132="Aprovado",K132="Aprovado",L132="Aprovado",M132="Aprovado",N132="Aprovado",O132="Aprovado",P132="Aprovado",Q132="Aprovado"),"SIM","NÃO")</x:f>
        <x:v>NÃO</x:v>
      </x:c>
    </x:row>
    <x:row r="133">
      <x:c r="R133" t="str">
        <x:f t="shared" si="2"/>
        <x:v>NÃO</x:v>
      </x:c>
    </x:row>
    <x:row r="134">
      <x:c r="R134" t="str">
        <x:f t="shared" si="2"/>
        <x:v>NÃO</x:v>
      </x:c>
    </x:row>
    <x:row r="135">
      <x:c r="R135" t="str">
        <x:f t="shared" si="2"/>
        <x:v>NÃO</x:v>
      </x:c>
    </x:row>
    <x:row r="136">
      <x:c r="R136" t="str">
        <x:f t="shared" si="2"/>
        <x:v>NÃO</x:v>
      </x:c>
    </x:row>
    <x:row r="137">
      <x:c r="R137" t="str">
        <x:f t="shared" si="2"/>
        <x:v>NÃO</x:v>
      </x:c>
    </x:row>
    <x:row r="138">
      <x:c r="R138" t="str">
        <x:f t="shared" si="2"/>
        <x:v>NÃO</x:v>
      </x:c>
    </x:row>
    <x:row r="139">
      <x:c r="R139" t="str">
        <x:f t="shared" si="2"/>
        <x:v>NÃO</x:v>
      </x:c>
    </x:row>
    <x:row r="140">
      <x:c r="R140" t="str">
        <x:f t="shared" si="2"/>
        <x:v>NÃO</x:v>
      </x:c>
    </x:row>
    <x:row r="141">
      <x:c r="R141" t="str">
        <x:f t="shared" si="2"/>
        <x:v>NÃO</x:v>
      </x:c>
    </x:row>
    <x:row r="142">
      <x:c r="R142" t="str">
        <x:f t="shared" si="2"/>
        <x:v>NÃO</x:v>
      </x:c>
    </x:row>
    <x:row r="143">
      <x:c r="R143" t="str">
        <x:f t="shared" si="2"/>
        <x:v>NÃO</x:v>
      </x:c>
    </x:row>
    <x:row r="144">
      <x:c r="R144" t="str">
        <x:f t="shared" si="2"/>
        <x:v>NÃO</x:v>
      </x:c>
    </x:row>
    <x:row r="145">
      <x:c r="R145" t="str">
        <x:f t="shared" si="2"/>
        <x:v>NÃO</x:v>
      </x:c>
    </x:row>
    <x:row r="146">
      <x:c r="R146" t="str">
        <x:f t="shared" si="2"/>
        <x:v>NÃO</x:v>
      </x:c>
    </x:row>
    <x:row r="147">
      <x:c r="R147" t="str">
        <x:f t="shared" si="2"/>
        <x:v>NÃO</x:v>
      </x:c>
    </x:row>
    <x:row r="148">
      <x:c r="R148" t="str">
        <x:f t="shared" si="2"/>
        <x:v>NÃO</x:v>
      </x:c>
    </x:row>
    <x:row r="149">
      <x:c r="R149" t="str">
        <x:f t="shared" si="2"/>
        <x:v>NÃO</x:v>
      </x:c>
    </x:row>
    <x:row r="150">
      <x:c r="R150" t="str">
        <x:f t="shared" si="2"/>
        <x:v>NÃO</x:v>
      </x:c>
    </x:row>
    <x:row r="151">
      <x:c r="R151" t="str">
        <x:f t="shared" si="2"/>
        <x:v>NÃO</x:v>
      </x:c>
    </x:row>
    <x:row r="152">
      <x:c r="R152" t="str">
        <x:f t="shared" si="2"/>
        <x:v>NÃO</x:v>
      </x:c>
    </x:row>
    <x:row r="153">
      <x:c r="R153" t="str">
        <x:f t="shared" si="2"/>
        <x:v>NÃO</x:v>
      </x:c>
    </x:row>
    <x:row r="154">
      <x:c r="R154" t="str">
        <x:f t="shared" si="2"/>
        <x:v>NÃO</x:v>
      </x:c>
    </x:row>
    <x:row r="155">
      <x:c r="R155" t="str">
        <x:f t="shared" si="2"/>
        <x:v>NÃO</x:v>
      </x:c>
    </x:row>
    <x:row r="156">
      <x:c r="R156" t="str">
        <x:f t="shared" si="2"/>
        <x:v>NÃO</x:v>
      </x:c>
    </x:row>
    <x:row r="157">
      <x:c r="R157" t="str">
        <x:f t="shared" si="2"/>
        <x:v>NÃO</x:v>
      </x:c>
    </x:row>
    <x:row r="158">
      <x:c r="R158" t="str">
        <x:f t="shared" si="2"/>
        <x:v>NÃO</x:v>
      </x:c>
    </x:row>
    <x:row r="159">
      <x:c r="R159" t="str">
        <x:f t="shared" si="2"/>
        <x:v>NÃO</x:v>
      </x:c>
    </x:row>
    <x:row r="160">
      <x:c r="R160" t="str">
        <x:f t="shared" si="2"/>
        <x:v>NÃO</x:v>
      </x:c>
    </x:row>
    <x:row r="161">
      <x:c r="R161" t="str">
        <x:f t="shared" si="2"/>
        <x:v>NÃO</x:v>
      </x:c>
    </x:row>
    <x:row r="162">
      <x:c r="R162" t="str">
        <x:f t="shared" si="2"/>
        <x:v>NÃO</x:v>
      </x:c>
    </x:row>
    <x:row r="163">
      <x:c r="R163" t="str">
        <x:f t="shared" si="2"/>
        <x:v>NÃO</x:v>
      </x:c>
    </x:row>
    <x:row r="164">
      <x:c r="R164" t="str">
        <x:f t="shared" si="2"/>
        <x:v>NÃO</x:v>
      </x:c>
    </x:row>
    <x:row r="165">
      <x:c r="R165" t="str">
        <x:f t="shared" si="2"/>
        <x:v>NÃO</x:v>
      </x:c>
    </x:row>
    <x:row r="166">
      <x:c r="R166" t="str">
        <x:f t="shared" si="2"/>
        <x:v>NÃO</x:v>
      </x:c>
    </x:row>
    <x:row r="167">
      <x:c r="R167" t="str">
        <x:f t="shared" si="2"/>
        <x:v>NÃO</x:v>
      </x:c>
    </x:row>
    <x:row r="168">
      <x:c r="R168" t="str">
        <x:f t="shared" si="2"/>
        <x:v>NÃO</x:v>
      </x:c>
    </x:row>
    <x:row r="169">
      <x:c r="R169" t="str">
        <x:f t="shared" si="2"/>
        <x:v>NÃO</x:v>
      </x:c>
    </x:row>
    <x:row r="170">
      <x:c r="R170" t="str">
        <x:f t="shared" si="2"/>
        <x:v>NÃO</x:v>
      </x:c>
    </x:row>
    <x:row r="171">
      <x:c r="R171" t="str">
        <x:f t="shared" si="2"/>
        <x:v>NÃO</x:v>
      </x:c>
    </x:row>
    <x:row r="172">
      <x:c r="R172" t="str">
        <x:f t="shared" si="2"/>
        <x:v>NÃO</x:v>
      </x:c>
    </x:row>
    <x:row r="173">
      <x:c r="R173" t="str">
        <x:f t="shared" si="2"/>
        <x:v>NÃO</x:v>
      </x:c>
    </x:row>
    <x:row r="174">
      <x:c r="R174" t="str">
        <x:f t="shared" si="2"/>
        <x:v>NÃO</x:v>
      </x:c>
    </x:row>
    <x:row r="175">
      <x:c r="R175" t="str">
        <x:f t="shared" si="2"/>
        <x:v>NÃO</x:v>
      </x:c>
    </x:row>
    <x:row r="176">
      <x:c r="R176" t="str">
        <x:f t="shared" si="2"/>
        <x:v>NÃO</x:v>
      </x:c>
    </x:row>
    <x:row r="177">
      <x:c r="R177" t="str">
        <x:f t="shared" si="2"/>
        <x:v>NÃO</x:v>
      </x:c>
    </x:row>
    <x:row r="178">
      <x:c r="R178" t="str">
        <x:f t="shared" si="2"/>
        <x:v>NÃO</x:v>
      </x:c>
    </x:row>
    <x:row r="179">
      <x:c r="R179" t="str">
        <x:f t="shared" si="2"/>
        <x:v>NÃO</x:v>
      </x:c>
    </x:row>
    <x:row r="180">
      <x:c r="R180" t="str">
        <x:f t="shared" si="2"/>
        <x:v>NÃO</x:v>
      </x:c>
    </x:row>
    <x:row r="181">
      <x:c r="R181" t="str">
        <x:f t="shared" si="2"/>
        <x:v>NÃO</x:v>
      </x:c>
    </x:row>
    <x:row r="182">
      <x:c r="R182" t="str">
        <x:f t="shared" si="2"/>
        <x:v>NÃO</x:v>
      </x:c>
    </x:row>
    <x:row r="183">
      <x:c r="R183" t="str">
        <x:f t="shared" si="2"/>
        <x:v>NÃO</x:v>
      </x:c>
    </x:row>
    <x:row r="184">
      <x:c r="R184" t="str">
        <x:f t="shared" si="2"/>
        <x:v>NÃO</x:v>
      </x:c>
    </x:row>
    <x:row r="185">
      <x:c r="R185" t="str">
        <x:f t="shared" si="2"/>
        <x:v>NÃO</x:v>
      </x:c>
    </x:row>
    <x:row r="186">
      <x:c r="R186" t="str">
        <x:f t="shared" si="2"/>
        <x:v>NÃO</x:v>
      </x:c>
    </x:row>
    <x:row r="187">
      <x:c r="R187" t="str">
        <x:f t="shared" si="2"/>
        <x:v>NÃO</x:v>
      </x:c>
    </x:row>
    <x:row r="188">
      <x:c r="R188" t="str">
        <x:f t="shared" si="2"/>
        <x:v>NÃO</x:v>
      </x:c>
    </x:row>
    <x:row r="189">
      <x:c r="R189" t="str">
        <x:f t="shared" si="2"/>
        <x:v>NÃO</x:v>
      </x:c>
    </x:row>
    <x:row r="190">
      <x:c r="R190" t="str">
        <x:f t="shared" si="2"/>
        <x:v>NÃO</x:v>
      </x:c>
    </x:row>
    <x:row r="191">
      <x:c r="R191" t="str">
        <x:f t="shared" si="2"/>
        <x:v>NÃO</x:v>
      </x:c>
    </x:row>
    <x:row r="192">
      <x:c r="R192" t="str">
        <x:f t="shared" si="2"/>
        <x:v>NÃO</x:v>
      </x:c>
    </x:row>
    <x:row r="193">
      <x:c r="R193" t="str">
        <x:f t="shared" si="2"/>
        <x:v>NÃO</x:v>
      </x:c>
    </x:row>
    <x:row r="194">
      <x:c r="R194" t="str">
        <x:f t="shared" si="2"/>
        <x:v>NÃO</x:v>
      </x:c>
    </x:row>
    <x:row r="195">
      <x:c r="R195" t="str">
        <x:f t="shared" si="2"/>
        <x:v>NÃO</x:v>
      </x:c>
    </x:row>
    <x:row r="196">
      <x:c r="R196" t="str">
        <x:f t="shared" ref="R196:R259" si="3">IF(AND(G196="Aprovado",H196="Aprovado",I196="Aprovado",J196="Aprovado",K196="Aprovado",L196="Aprovado",M196="Aprovado",N196="Aprovado",O196="Aprovado",P196="Aprovado",Q196="Aprovado"),"SIM","NÃO")</x:f>
        <x:v>NÃO</x:v>
      </x:c>
    </x:row>
    <x:row r="197">
      <x:c r="R197" t="str">
        <x:f t="shared" si="3"/>
        <x:v>NÃO</x:v>
      </x:c>
    </x:row>
    <x:row r="198">
      <x:c r="R198" t="str">
        <x:f t="shared" si="3"/>
        <x:v>NÃO</x:v>
      </x:c>
    </x:row>
    <x:row r="199">
      <x:c r="R199" t="str">
        <x:f t="shared" si="3"/>
        <x:v>NÃO</x:v>
      </x:c>
    </x:row>
    <x:row r="200">
      <x:c r="R200" t="str">
        <x:f t="shared" si="3"/>
        <x:v>NÃO</x:v>
      </x:c>
    </x:row>
    <x:row r="201">
      <x:c r="R201" t="str">
        <x:f t="shared" si="3"/>
        <x:v>NÃO</x:v>
      </x:c>
    </x:row>
    <x:row r="202">
      <x:c r="R202" t="str">
        <x:f t="shared" si="3"/>
        <x:v>NÃO</x:v>
      </x:c>
    </x:row>
    <x:row r="203">
      <x:c r="R203" t="str">
        <x:f t="shared" si="3"/>
        <x:v>NÃO</x:v>
      </x:c>
    </x:row>
    <x:row r="204">
      <x:c r="R204" t="str">
        <x:f t="shared" si="3"/>
        <x:v>NÃO</x:v>
      </x:c>
    </x:row>
    <x:row r="205">
      <x:c r="R205" t="str">
        <x:f t="shared" si="3"/>
        <x:v>NÃO</x:v>
      </x:c>
    </x:row>
    <x:row r="206">
      <x:c r="R206" t="str">
        <x:f t="shared" si="3"/>
        <x:v>NÃO</x:v>
      </x:c>
    </x:row>
    <x:row r="207">
      <x:c r="R207" t="str">
        <x:f t="shared" si="3"/>
        <x:v>NÃO</x:v>
      </x:c>
    </x:row>
    <x:row r="208">
      <x:c r="R208" t="str">
        <x:f t="shared" si="3"/>
        <x:v>NÃO</x:v>
      </x:c>
    </x:row>
    <x:row r="209">
      <x:c r="R209" t="str">
        <x:f t="shared" si="3"/>
        <x:v>NÃO</x:v>
      </x:c>
    </x:row>
    <x:row r="210">
      <x:c r="R210" t="str">
        <x:f t="shared" si="3"/>
        <x:v>NÃO</x:v>
      </x:c>
    </x:row>
    <x:row r="211">
      <x:c r="R211" t="str">
        <x:f t="shared" si="3"/>
        <x:v>NÃO</x:v>
      </x:c>
    </x:row>
    <x:row r="212">
      <x:c r="R212" t="str">
        <x:f t="shared" si="3"/>
        <x:v>NÃO</x:v>
      </x:c>
    </x:row>
    <x:row r="213">
      <x:c r="R213" t="str">
        <x:f t="shared" si="3"/>
        <x:v>NÃO</x:v>
      </x:c>
    </x:row>
    <x:row r="214">
      <x:c r="R214" t="str">
        <x:f t="shared" si="3"/>
        <x:v>NÃO</x:v>
      </x:c>
    </x:row>
    <x:row r="215">
      <x:c r="R215" t="str">
        <x:f t="shared" si="3"/>
        <x:v>NÃO</x:v>
      </x:c>
    </x:row>
    <x:row r="216">
      <x:c r="R216" t="str">
        <x:f t="shared" si="3"/>
        <x:v>NÃO</x:v>
      </x:c>
    </x:row>
    <x:row r="217">
      <x:c r="R217" t="str">
        <x:f t="shared" si="3"/>
        <x:v>NÃO</x:v>
      </x:c>
    </x:row>
    <x:row r="218">
      <x:c r="R218" t="str">
        <x:f t="shared" si="3"/>
        <x:v>NÃO</x:v>
      </x:c>
    </x:row>
    <x:row r="219">
      <x:c r="R219" t="str">
        <x:f t="shared" si="3"/>
        <x:v>NÃO</x:v>
      </x:c>
    </x:row>
    <x:row r="220">
      <x:c r="R220" t="str">
        <x:f t="shared" si="3"/>
        <x:v>NÃO</x:v>
      </x:c>
    </x:row>
    <x:row r="221">
      <x:c r="R221" t="str">
        <x:f t="shared" si="3"/>
        <x:v>NÃO</x:v>
      </x:c>
    </x:row>
    <x:row r="222">
      <x:c r="R222" t="str">
        <x:f t="shared" si="3"/>
        <x:v>NÃO</x:v>
      </x:c>
    </x:row>
    <x:row r="223">
      <x:c r="R223" t="str">
        <x:f t="shared" si="3"/>
        <x:v>NÃO</x:v>
      </x:c>
    </x:row>
    <x:row r="224">
      <x:c r="R224" t="str">
        <x:f t="shared" si="3"/>
        <x:v>NÃO</x:v>
      </x:c>
    </x:row>
    <x:row r="225">
      <x:c r="R225" t="str">
        <x:f t="shared" si="3"/>
        <x:v>NÃO</x:v>
      </x:c>
    </x:row>
    <x:row r="226">
      <x:c r="R226" t="str">
        <x:f t="shared" si="3"/>
        <x:v>NÃO</x:v>
      </x:c>
    </x:row>
    <x:row r="227">
      <x:c r="R227" t="str">
        <x:f t="shared" si="3"/>
        <x:v>NÃO</x:v>
      </x:c>
    </x:row>
    <x:row r="228">
      <x:c r="R228" t="str">
        <x:f t="shared" si="3"/>
        <x:v>NÃO</x:v>
      </x:c>
    </x:row>
    <x:row r="229">
      <x:c r="R229" t="str">
        <x:f t="shared" si="3"/>
        <x:v>NÃO</x:v>
      </x:c>
    </x:row>
    <x:row r="230">
      <x:c r="R230" t="str">
        <x:f t="shared" si="3"/>
        <x:v>NÃO</x:v>
      </x:c>
    </x:row>
    <x:row r="231">
      <x:c r="R231" t="str">
        <x:f t="shared" si="3"/>
        <x:v>NÃO</x:v>
      </x:c>
    </x:row>
    <x:row r="232">
      <x:c r="R232" t="str">
        <x:f t="shared" si="3"/>
        <x:v>NÃO</x:v>
      </x:c>
    </x:row>
    <x:row r="233">
      <x:c r="R233" t="str">
        <x:f t="shared" si="3"/>
        <x:v>NÃO</x:v>
      </x:c>
    </x:row>
    <x:row r="234">
      <x:c r="R234" t="str">
        <x:f t="shared" si="3"/>
        <x:v>NÃO</x:v>
      </x:c>
    </x:row>
    <x:row r="235">
      <x:c r="R235" t="str">
        <x:f t="shared" si="3"/>
        <x:v>NÃO</x:v>
      </x:c>
    </x:row>
    <x:row r="236">
      <x:c r="R236" t="str">
        <x:f t="shared" si="3"/>
        <x:v>NÃO</x:v>
      </x:c>
    </x:row>
    <x:row r="237">
      <x:c r="R237" t="str">
        <x:f t="shared" si="3"/>
        <x:v>NÃO</x:v>
      </x:c>
    </x:row>
    <x:row r="238">
      <x:c r="R238" t="str">
        <x:f t="shared" si="3"/>
        <x:v>NÃO</x:v>
      </x:c>
    </x:row>
    <x:row r="239">
      <x:c r="R239" t="str">
        <x:f t="shared" si="3"/>
        <x:v>NÃO</x:v>
      </x:c>
    </x:row>
    <x:row r="240">
      <x:c r="R240" t="str">
        <x:f t="shared" si="3"/>
        <x:v>NÃO</x:v>
      </x:c>
    </x:row>
    <x:row r="241">
      <x:c r="R241" t="str">
        <x:f t="shared" si="3"/>
        <x:v>NÃO</x:v>
      </x:c>
    </x:row>
    <x:row r="242">
      <x:c r="R242" t="str">
        <x:f t="shared" si="3"/>
        <x:v>NÃO</x:v>
      </x:c>
    </x:row>
    <x:row r="243">
      <x:c r="R243" t="str">
        <x:f t="shared" si="3"/>
        <x:v>NÃO</x:v>
      </x:c>
    </x:row>
    <x:row r="244">
      <x:c r="R244" t="str">
        <x:f t="shared" si="3"/>
        <x:v>NÃO</x:v>
      </x:c>
    </x:row>
    <x:row r="245">
      <x:c r="R245" t="str">
        <x:f t="shared" si="3"/>
        <x:v>NÃO</x:v>
      </x:c>
    </x:row>
    <x:row r="246">
      <x:c r="R246" t="str">
        <x:f t="shared" si="3"/>
        <x:v>NÃO</x:v>
      </x:c>
    </x:row>
    <x:row r="247">
      <x:c r="R247" t="str">
        <x:f t="shared" si="3"/>
        <x:v>NÃO</x:v>
      </x:c>
    </x:row>
    <x:row r="248">
      <x:c r="R248" t="str">
        <x:f t="shared" si="3"/>
        <x:v>NÃO</x:v>
      </x:c>
    </x:row>
    <x:row r="249">
      <x:c r="R249" t="str">
        <x:f t="shared" si="3"/>
        <x:v>NÃO</x:v>
      </x:c>
    </x:row>
    <x:row r="250">
      <x:c r="R250" t="str">
        <x:f t="shared" si="3"/>
        <x:v>NÃO</x:v>
      </x:c>
    </x:row>
    <x:row r="251">
      <x:c r="R251" t="str">
        <x:f t="shared" si="3"/>
        <x:v>NÃO</x:v>
      </x:c>
    </x:row>
    <x:row r="252">
      <x:c r="R252" t="str">
        <x:f t="shared" si="3"/>
        <x:v>NÃO</x:v>
      </x:c>
    </x:row>
    <x:row r="253">
      <x:c r="R253" t="str">
        <x:f t="shared" si="3"/>
        <x:v>NÃO</x:v>
      </x:c>
    </x:row>
    <x:row r="254">
      <x:c r="R254" t="str">
        <x:f t="shared" si="3"/>
        <x:v>NÃO</x:v>
      </x:c>
    </x:row>
    <x:row r="255">
      <x:c r="R255" t="str">
        <x:f t="shared" si="3"/>
        <x:v>NÃO</x:v>
      </x:c>
    </x:row>
    <x:row r="256">
      <x:c r="R256" t="str">
        <x:f t="shared" si="3"/>
        <x:v>NÃO</x:v>
      </x:c>
    </x:row>
    <x:row r="257">
      <x:c r="R257" t="str">
        <x:f t="shared" si="3"/>
        <x:v>NÃO</x:v>
      </x:c>
    </x:row>
    <x:row r="258">
      <x:c r="R258" t="str">
        <x:f t="shared" si="3"/>
        <x:v>NÃO</x:v>
      </x:c>
    </x:row>
    <x:row r="259">
      <x:c r="R259" t="str">
        <x:f t="shared" si="3"/>
        <x:v>NÃO</x:v>
      </x:c>
    </x:row>
    <x:row r="260">
      <x:c r="R260" t="str">
        <x:f t="shared" ref="R260:R303" si="4">IF(AND(G260="Aprovado",H260="Aprovado",I260="Aprovado",J260="Aprovado",K260="Aprovado",L260="Aprovado",M260="Aprovado",N260="Aprovado",O260="Aprovado",P260="Aprovado",Q260="Aprovado"),"SIM","NÃO")</x:f>
        <x:v>NÃO</x:v>
      </x:c>
    </x:row>
    <x:row r="261">
      <x:c r="R261" t="str">
        <x:f t="shared" si="4"/>
        <x:v>NÃO</x:v>
      </x:c>
    </x:row>
    <x:row r="262">
      <x:c r="R262" t="str">
        <x:f t="shared" si="4"/>
        <x:v>NÃO</x:v>
      </x:c>
    </x:row>
    <x:row r="263">
      <x:c r="R263" t="str">
        <x:f t="shared" si="4"/>
        <x:v>NÃO</x:v>
      </x:c>
    </x:row>
    <x:row r="264">
      <x:c r="R264" t="str">
        <x:f t="shared" si="4"/>
        <x:v>NÃO</x:v>
      </x:c>
    </x:row>
    <x:row r="265">
      <x:c r="R265" t="str">
        <x:f t="shared" si="4"/>
        <x:v>NÃO</x:v>
      </x:c>
    </x:row>
    <x:row r="266">
      <x:c r="R266" t="str">
        <x:f t="shared" si="4"/>
        <x:v>NÃO</x:v>
      </x:c>
    </x:row>
    <x:row r="267">
      <x:c r="R267" t="str">
        <x:f t="shared" si="4"/>
        <x:v>NÃO</x:v>
      </x:c>
    </x:row>
    <x:row r="268">
      <x:c r="R268" t="str">
        <x:f t="shared" si="4"/>
        <x:v>NÃO</x:v>
      </x:c>
    </x:row>
    <x:row r="269">
      <x:c r="R269" t="str">
        <x:f t="shared" si="4"/>
        <x:v>NÃO</x:v>
      </x:c>
    </x:row>
    <x:row r="270">
      <x:c r="R270" t="str">
        <x:f t="shared" si="4"/>
        <x:v>NÃO</x:v>
      </x:c>
    </x:row>
    <x:row r="271">
      <x:c r="R271" t="str">
        <x:f t="shared" si="4"/>
        <x:v>NÃO</x:v>
      </x:c>
    </x:row>
    <x:row r="272">
      <x:c r="R272" t="str">
        <x:f t="shared" si="4"/>
        <x:v>NÃO</x:v>
      </x:c>
    </x:row>
    <x:row r="273">
      <x:c r="R273" t="str">
        <x:f t="shared" si="4"/>
        <x:v>NÃO</x:v>
      </x:c>
    </x:row>
    <x:row r="274">
      <x:c r="R274" t="str">
        <x:f t="shared" si="4"/>
        <x:v>NÃO</x:v>
      </x:c>
    </x:row>
    <x:row r="275">
      <x:c r="R275" t="str">
        <x:f t="shared" si="4"/>
        <x:v>NÃO</x:v>
      </x:c>
    </x:row>
    <x:row r="276">
      <x:c r="R276" t="str">
        <x:f t="shared" si="4"/>
        <x:v>NÃO</x:v>
      </x:c>
    </x:row>
    <x:row r="277">
      <x:c r="R277" t="str">
        <x:f t="shared" si="4"/>
        <x:v>NÃO</x:v>
      </x:c>
    </x:row>
    <x:row r="278">
      <x:c r="R278" t="str">
        <x:f t="shared" si="4"/>
        <x:v>NÃO</x:v>
      </x:c>
    </x:row>
    <x:row r="279">
      <x:c r="R279" t="str">
        <x:f t="shared" si="4"/>
        <x:v>NÃO</x:v>
      </x:c>
    </x:row>
    <x:row r="280">
      <x:c r="R280" t="str">
        <x:f t="shared" si="4"/>
        <x:v>NÃO</x:v>
      </x:c>
    </x:row>
    <x:row r="281">
      <x:c r="R281" t="str">
        <x:f t="shared" si="4"/>
        <x:v>NÃO</x:v>
      </x:c>
    </x:row>
    <x:row r="282">
      <x:c r="R282" t="str">
        <x:f t="shared" si="4"/>
        <x:v>NÃO</x:v>
      </x:c>
    </x:row>
    <x:row r="283">
      <x:c r="R283" t="str">
        <x:f t="shared" si="4"/>
        <x:v>NÃO</x:v>
      </x:c>
    </x:row>
    <x:row r="284">
      <x:c r="R284" t="str">
        <x:f t="shared" si="4"/>
        <x:v>NÃO</x:v>
      </x:c>
    </x:row>
    <x:row r="285">
      <x:c r="R285" t="str">
        <x:f t="shared" si="4"/>
        <x:v>NÃO</x:v>
      </x:c>
    </x:row>
    <x:row r="286">
      <x:c r="R286" t="str">
        <x:f t="shared" si="4"/>
        <x:v>NÃO</x:v>
      </x:c>
    </x:row>
    <x:row r="287">
      <x:c r="R287" t="str">
        <x:f t="shared" si="4"/>
        <x:v>NÃO</x:v>
      </x:c>
    </x:row>
    <x:row r="288">
      <x:c r="R288" t="str">
        <x:f t="shared" si="4"/>
        <x:v>NÃO</x:v>
      </x:c>
    </x:row>
    <x:row r="289">
      <x:c r="R289" t="str">
        <x:f t="shared" si="4"/>
        <x:v>NÃO</x:v>
      </x:c>
    </x:row>
    <x:row r="290">
      <x:c r="R290" t="str">
        <x:f t="shared" si="4"/>
        <x:v>NÃO</x:v>
      </x:c>
    </x:row>
    <x:row r="291">
      <x:c r="R291" t="str">
        <x:f t="shared" si="4"/>
        <x:v>NÃO</x:v>
      </x:c>
    </x:row>
    <x:row r="292">
      <x:c r="R292" t="str">
        <x:f t="shared" si="4"/>
        <x:v>NÃO</x:v>
      </x:c>
    </x:row>
    <x:row r="293">
      <x:c r="R293" t="str">
        <x:f t="shared" si="4"/>
        <x:v>NÃO</x:v>
      </x:c>
    </x:row>
    <x:row r="294">
      <x:c r="R294" t="str">
        <x:f t="shared" si="4"/>
        <x:v>NÃO</x:v>
      </x:c>
    </x:row>
    <x:row r="295">
      <x:c r="R295" t="str">
        <x:f t="shared" si="4"/>
        <x:v>NÃO</x:v>
      </x:c>
    </x:row>
    <x:row r="296">
      <x:c r="R296" t="str">
        <x:f t="shared" si="4"/>
        <x:v>NÃO</x:v>
      </x:c>
    </x:row>
    <x:row r="297">
      <x:c r="R297" t="str">
        <x:f t="shared" si="4"/>
        <x:v>NÃO</x:v>
      </x:c>
    </x:row>
    <x:row r="298">
      <x:c r="R298" t="str">
        <x:f t="shared" si="4"/>
        <x:v>NÃO</x:v>
      </x:c>
    </x:row>
    <x:row r="299">
      <x:c r="R299" t="str">
        <x:f t="shared" si="4"/>
        <x:v>NÃO</x:v>
      </x:c>
    </x:row>
    <x:row r="300">
      <x:c r="R300" t="str">
        <x:f t="shared" si="4"/>
        <x:v>NÃO</x:v>
      </x:c>
    </x:row>
    <x:row r="301">
      <x:c r="R301" t="str">
        <x:f t="shared" si="4"/>
        <x:v>NÃO</x:v>
      </x:c>
    </x:row>
    <x:row r="302">
      <x:c r="R302" t="str">
        <x:f t="shared" si="4"/>
        <x:v>NÃO</x:v>
      </x:c>
    </x:row>
    <x:row r="303">
      <x:c r="R303" t="str">
        <x:f t="shared" si="4"/>
        <x:v>NÃO</x:v>
      </x:c>
    </x:row>
  </x:sheetData>
  <x:mergeCells>
    <x:mergeCell ref="A1:R1"/>
  </x:mergeCells>
  <x:conditionalFormatting sqref="R4:R303">
    <x:cfRule type="expression" dxfId="0" priority="1">
      <x:formula>R4="SIM"</x:formula>
    </x:cfRule>
  </x:conditionalFormatting>
  <x:dataValidations count="2">
    <x:dataValidation type="list" sqref="A4:A303">
      <x:formula1>"Leitura,Cobrança,Hidrometria"</x:formula1>
    </x:dataValidation>
    <x:dataValidation type="list" sqref="G4:Q303">
      <x:formula1>"Pendente,Em análise,Aprovado,Reprovado,N/A"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0d1a37911564fee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1" width="15" customWidth="1"/>
    <x:col min="2" max="2" width="24" customWidth="1"/>
    <x:col min="3" max="3" width="18" customWidth="1"/>
    <x:col min="4" max="4" width="63.125" customWidth="1"/>
    <x:col min="5" max="5" width="29" customWidth="1"/>
    <x:col min="6" max="6" width="15" customWidth="1"/>
    <x:col min="7" max="8" width="13" customWidth="1"/>
    <x:col min="9" max="9" width="15" customWidth="1"/>
    <x:col min="10" max="10" width="13" customWidth="1"/>
    <x:col min="11" max="13" width="15" customWidth="1"/>
    <x:col min="14" max="15" width="14" customWidth="1"/>
    <x:col min="16" max="16" width="20" customWidth="1"/>
    <x:col min="17" max="17" width="34" customWidth="1"/>
  </x:cols>
  <x:sheetData>
    <x:row r="1" ht="17.850000381469727" customHeight="1">
      <x:c r="A1" s="17" t="s">
        <x:v>361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</x:row>
    <x:row r="3" ht="15">
      <x:c r="A3" s="1" t="s">
        <x:v>239</x:v>
      </x:c>
      <x:c r="B3" s="1" t="s">
        <x:v>362</x:v>
      </x:c>
      <x:c r="C3" s="1" t="s">
        <x:v>363</x:v>
      </x:c>
      <x:c r="D3" s="1" t="s">
        <x:v>364</x:v>
      </x:c>
      <x:c r="E3" s="1" t="s">
        <x:v>6</x:v>
      </x:c>
      <x:c r="F3" s="1" t="s">
        <x:v>365</x:v>
      </x:c>
      <x:c r="G3" s="1" t="s">
        <x:v>366</x:v>
      </x:c>
      <x:c r="H3" s="1" t="s">
        <x:v>367</x:v>
      </x:c>
      <x:c r="I3" s="1" t="s">
        <x:v>48</x:v>
      </x:c>
      <x:c r="J3" s="1" t="s">
        <x:v>55</x:v>
      </x:c>
      <x:c r="K3" s="1" t="s">
        <x:v>368</x:v>
      </x:c>
      <x:c r="L3" s="1" t="s">
        <x:v>369</x:v>
      </x:c>
      <x:c r="M3" s="1" t="s">
        <x:v>370</x:v>
      </x:c>
      <x:c r="N3" s="1" t="s">
        <x:v>10</x:v>
      </x:c>
      <x:c r="O3" s="1" t="s">
        <x:v>371</x:v>
      </x:c>
      <x:c r="P3" s="1" t="s">
        <x:v>372</x:v>
      </x:c>
      <x:c r="Q3" s="1" t="s">
        <x:v>373</x:v>
      </x:c>
    </x:row>
    <x:row r="4">
      <x:c r="A4" t="s">
        <x:v>255</x:v>
      </x:c>
      <x:c r="B4" t="s">
        <x:v>256</x:v>
      </x:c>
      <x:c r="D4" t="s">
        <x:v>374</x:v>
      </x:c>
      <x:c r="E4" t="s">
        <x:v>375</x:v>
      </x:c>
      <x:c r="N4" s="2"/>
      <x:c r="O4" s="2"/>
    </x:row>
    <x:row r="5">
      <x:c r="A5" t="s">
        <x:v>287</x:v>
      </x:c>
      <x:c r="B5" t="s">
        <x:v>256</x:v>
      </x:c>
      <x:c r="D5" t="s">
        <x:v>374</x:v>
      </x:c>
      <x:c r="E5" t="s">
        <x:v>376</x:v>
      </x:c>
      <x:c r="N5" s="2"/>
      <x:c r="O5" s="2"/>
    </x:row>
    <x:row r="6">
      <x:c r="A6" t="s">
        <x:v>377</x:v>
      </x:c>
      <x:c r="B6" t="s">
        <x:v>353</x:v>
      </x:c>
      <x:c r="D6" t="s">
        <x:v>378</x:v>
      </x:c>
      <x:c r="E6" t="s">
        <x:v>379</x:v>
      </x:c>
      <x:c r="N6" s="2"/>
      <x:c r="O6" s="2"/>
    </x:row>
    <x:row r="7">
      <x:c r="A7" t="s">
        <x:v>377</x:v>
      </x:c>
      <x:c r="B7" t="s">
        <x:v>339</x:v>
      </x:c>
      <x:c r="D7" t="s">
        <x:v>380</x:v>
      </x:c>
      <x:c r="E7" t="s">
        <x:v>379</x:v>
      </x:c>
      <x:c r="N7" s="2"/>
      <x:c r="O7" s="2"/>
    </x:row>
    <x:row r="8">
      <x:c r="A8" t="s">
        <x:v>377</x:v>
      </x:c>
      <x:c r="B8" t="s">
        <x:v>381</x:v>
      </x:c>
      <x:c r="D8" t="s">
        <x:v>382</x:v>
      </x:c>
      <x:c r="E8" t="s">
        <x:v>379</x:v>
      </x:c>
      <x:c r="N8" s="2"/>
      <x:c r="O8" s="2"/>
    </x:row>
    <x:row r="9">
      <x:c r="A9" t="s">
        <x:v>377</x:v>
      </x:c>
      <x:c r="B9" t="s">
        <x:v>383</x:v>
      </x:c>
      <x:c r="D9" s="4" t="s">
        <x:v>384</x:v>
      </x:c>
      <x:c r="E9" t="s">
        <x:v>379</x:v>
      </x:c>
      <x:c r="N9" s="2"/>
      <x:c r="O9" s="2"/>
    </x:row>
    <x:row r="10">
      <x:c r="N10" s="2"/>
      <x:c r="O10" s="2"/>
    </x:row>
    <x:row r="11">
      <x:c r="N11" s="2"/>
      <x:c r="O11" s="2"/>
    </x:row>
    <x:row r="12">
      <x:c r="N12" s="2"/>
      <x:c r="O12" s="2"/>
    </x:row>
    <x:row r="13">
      <x:c r="N13" s="2"/>
      <x:c r="O13" s="2"/>
    </x:row>
    <x:row r="14">
      <x:c r="N14" s="2"/>
      <x:c r="O14" s="2"/>
    </x:row>
    <x:row r="15">
      <x:c r="N15" s="2"/>
      <x:c r="O15" s="2"/>
    </x:row>
    <x:row r="16">
      <x:c r="N16" s="2"/>
      <x:c r="O16" s="2"/>
    </x:row>
    <x:row r="17">
      <x:c r="N17" s="2"/>
      <x:c r="O17" s="2"/>
    </x:row>
    <x:row r="18">
      <x:c r="N18" s="2"/>
      <x:c r="O18" s="2"/>
    </x:row>
    <x:row r="19">
      <x:c r="N19" s="2"/>
      <x:c r="O19" s="2"/>
    </x:row>
    <x:row r="20">
      <x:c r="N20" s="2"/>
      <x:c r="O20" s="2"/>
    </x:row>
    <x:row r="21">
      <x:c r="N21" s="2"/>
      <x:c r="O21" s="2"/>
    </x:row>
    <x:row r="22">
      <x:c r="N22" s="2"/>
      <x:c r="O22" s="2"/>
    </x:row>
    <x:row r="23">
      <x:c r="N23" s="2"/>
      <x:c r="O23" s="2"/>
    </x:row>
    <x:row r="24">
      <x:c r="N24" s="2"/>
      <x:c r="O24" s="2"/>
    </x:row>
    <x:row r="25">
      <x:c r="N25" s="2"/>
      <x:c r="O25" s="2"/>
    </x:row>
    <x:row r="26">
      <x:c r="N26" s="2"/>
      <x:c r="O26" s="2"/>
    </x:row>
    <x:row r="27">
      <x:c r="N27" s="2"/>
      <x:c r="O27" s="2"/>
    </x:row>
    <x:row r="28">
      <x:c r="N28" s="2"/>
      <x:c r="O28" s="2"/>
    </x:row>
    <x:row r="29">
      <x:c r="N29" s="2"/>
      <x:c r="O29" s="2"/>
    </x:row>
    <x:row r="30">
      <x:c r="N30" s="2"/>
      <x:c r="O30" s="2"/>
    </x:row>
    <x:row r="31">
      <x:c r="N31" s="2"/>
      <x:c r="O31" s="2"/>
    </x:row>
    <x:row r="32">
      <x:c r="N32" s="2"/>
      <x:c r="O32" s="2"/>
    </x:row>
    <x:row r="33">
      <x:c r="N33" s="2"/>
      <x:c r="O33" s="2"/>
    </x:row>
    <x:row r="34">
      <x:c r="N34" s="2"/>
      <x:c r="O34" s="2"/>
    </x:row>
    <x:row r="35">
      <x:c r="N35" s="2"/>
      <x:c r="O35" s="2"/>
    </x:row>
    <x:row r="36">
      <x:c r="N36" s="2"/>
      <x:c r="O36" s="2"/>
    </x:row>
    <x:row r="37">
      <x:c r="N37" s="2"/>
      <x:c r="O37" s="2"/>
    </x:row>
    <x:row r="38">
      <x:c r="N38" s="2"/>
      <x:c r="O38" s="2"/>
    </x:row>
    <x:row r="39">
      <x:c r="N39" s="2"/>
      <x:c r="O39" s="2"/>
    </x:row>
    <x:row r="40">
      <x:c r="N40" s="2"/>
      <x:c r="O40" s="2"/>
    </x:row>
    <x:row r="41">
      <x:c r="N41" s="2"/>
      <x:c r="O41" s="2"/>
    </x:row>
    <x:row r="42">
      <x:c r="N42" s="2"/>
      <x:c r="O42" s="2"/>
    </x:row>
    <x:row r="43">
      <x:c r="N43" s="2"/>
      <x:c r="O43" s="2"/>
    </x:row>
    <x:row r="44">
      <x:c r="N44" s="2"/>
      <x:c r="O44" s="2"/>
    </x:row>
    <x:row r="45">
      <x:c r="N45" s="2"/>
      <x:c r="O45" s="2"/>
    </x:row>
    <x:row r="46">
      <x:c r="N46" s="2"/>
      <x:c r="O46" s="2"/>
    </x:row>
    <x:row r="47">
      <x:c r="N47" s="2"/>
      <x:c r="O47" s="2"/>
    </x:row>
    <x:row r="48">
      <x:c r="N48" s="2"/>
      <x:c r="O48" s="2"/>
    </x:row>
    <x:row r="49">
      <x:c r="N49" s="2"/>
      <x:c r="O49" s="2"/>
    </x:row>
    <x:row r="50">
      <x:c r="N50" s="2"/>
      <x:c r="O50" s="2"/>
    </x:row>
    <x:row r="51">
      <x:c r="N51" s="2"/>
      <x:c r="O51" s="2"/>
    </x:row>
    <x:row r="52">
      <x:c r="N52" s="2"/>
      <x:c r="O52" s="2"/>
    </x:row>
    <x:row r="53">
      <x:c r="N53" s="2"/>
      <x:c r="O53" s="2"/>
    </x:row>
    <x:row r="54">
      <x:c r="N54" s="2"/>
      <x:c r="O54" s="2"/>
    </x:row>
    <x:row r="55">
      <x:c r="N55" s="2"/>
      <x:c r="O55" s="2"/>
    </x:row>
    <x:row r="56">
      <x:c r="N56" s="2"/>
      <x:c r="O56" s="2"/>
    </x:row>
    <x:row r="57">
      <x:c r="N57" s="2"/>
      <x:c r="O57" s="2"/>
    </x:row>
    <x:row r="58">
      <x:c r="N58" s="2"/>
      <x:c r="O58" s="2"/>
    </x:row>
    <x:row r="59">
      <x:c r="N59" s="2"/>
      <x:c r="O59" s="2"/>
    </x:row>
    <x:row r="60">
      <x:c r="N60" s="2"/>
      <x:c r="O60" s="2"/>
    </x:row>
    <x:row r="61">
      <x:c r="N61" s="2"/>
      <x:c r="O61" s="2"/>
    </x:row>
    <x:row r="62">
      <x:c r="N62" s="2"/>
      <x:c r="O62" s="2"/>
    </x:row>
    <x:row r="63">
      <x:c r="N63" s="2"/>
      <x:c r="O63" s="2"/>
    </x:row>
    <x:row r="64">
      <x:c r="N64" s="2"/>
      <x:c r="O64" s="2"/>
    </x:row>
    <x:row r="65">
      <x:c r="N65" s="2"/>
      <x:c r="O65" s="2"/>
    </x:row>
    <x:row r="66">
      <x:c r="N66" s="2"/>
      <x:c r="O66" s="2"/>
    </x:row>
    <x:row r="67">
      <x:c r="N67" s="2"/>
      <x:c r="O67" s="2"/>
    </x:row>
    <x:row r="68">
      <x:c r="N68" s="2"/>
      <x:c r="O68" s="2"/>
    </x:row>
    <x:row r="69">
      <x:c r="N69" s="2"/>
      <x:c r="O69" s="2"/>
    </x:row>
    <x:row r="70">
      <x:c r="N70" s="2"/>
      <x:c r="O70" s="2"/>
    </x:row>
    <x:row r="71">
      <x:c r="N71" s="2"/>
      <x:c r="O71" s="2"/>
    </x:row>
    <x:row r="72">
      <x:c r="N72" s="2"/>
      <x:c r="O72" s="2"/>
    </x:row>
    <x:row r="73">
      <x:c r="N73" s="2"/>
      <x:c r="O73" s="2"/>
    </x:row>
    <x:row r="74">
      <x:c r="N74" s="2"/>
      <x:c r="O74" s="2"/>
    </x:row>
    <x:row r="75">
      <x:c r="N75" s="2"/>
      <x:c r="O75" s="2"/>
    </x:row>
    <x:row r="76">
      <x:c r="N76" s="2"/>
      <x:c r="O76" s="2"/>
    </x:row>
    <x:row r="77">
      <x:c r="N77" s="2"/>
      <x:c r="O77" s="2"/>
    </x:row>
    <x:row r="78">
      <x:c r="N78" s="2"/>
      <x:c r="O78" s="2"/>
    </x:row>
    <x:row r="79">
      <x:c r="N79" s="2"/>
      <x:c r="O79" s="2"/>
    </x:row>
    <x:row r="80">
      <x:c r="N80" s="2"/>
      <x:c r="O80" s="2"/>
    </x:row>
    <x:row r="81">
      <x:c r="N81" s="2"/>
      <x:c r="O81" s="2"/>
    </x:row>
    <x:row r="82">
      <x:c r="N82" s="2"/>
      <x:c r="O82" s="2"/>
    </x:row>
    <x:row r="83">
      <x:c r="N83" s="2"/>
      <x:c r="O83" s="2"/>
    </x:row>
    <x:row r="84">
      <x:c r="N84" s="2"/>
      <x:c r="O84" s="2"/>
    </x:row>
    <x:row r="85">
      <x:c r="N85" s="2"/>
      <x:c r="O85" s="2"/>
    </x:row>
    <x:row r="86">
      <x:c r="N86" s="2"/>
      <x:c r="O86" s="2"/>
    </x:row>
    <x:row r="87">
      <x:c r="N87" s="2"/>
      <x:c r="O87" s="2"/>
    </x:row>
    <x:row r="88">
      <x:c r="N88" s="2"/>
      <x:c r="O88" s="2"/>
    </x:row>
    <x:row r="89">
      <x:c r="N89" s="2"/>
      <x:c r="O89" s="2"/>
    </x:row>
    <x:row r="90">
      <x:c r="N90" s="2"/>
      <x:c r="O90" s="2"/>
    </x:row>
    <x:row r="91">
      <x:c r="N91" s="2"/>
      <x:c r="O91" s="2"/>
    </x:row>
    <x:row r="92">
      <x:c r="N92" s="2"/>
      <x:c r="O92" s="2"/>
    </x:row>
    <x:row r="93">
      <x:c r="N93" s="2"/>
      <x:c r="O93" s="2"/>
    </x:row>
    <x:row r="94">
      <x:c r="N94" s="2"/>
      <x:c r="O94" s="2"/>
    </x:row>
    <x:row r="95">
      <x:c r="N95" s="2"/>
      <x:c r="O95" s="2"/>
    </x:row>
    <x:row r="96">
      <x:c r="N96" s="2"/>
      <x:c r="O96" s="2"/>
    </x:row>
    <x:row r="97">
      <x:c r="N97" s="2"/>
      <x:c r="O97" s="2"/>
    </x:row>
    <x:row r="98">
      <x:c r="N98" s="2"/>
      <x:c r="O98" s="2"/>
    </x:row>
    <x:row r="99">
      <x:c r="N99" s="2"/>
      <x:c r="O99" s="2"/>
    </x:row>
    <x:row r="100">
      <x:c r="N100" s="2"/>
      <x:c r="O100" s="2"/>
    </x:row>
    <x:row r="101">
      <x:c r="N101" s="2"/>
      <x:c r="O101" s="2"/>
    </x:row>
    <x:row r="102">
      <x:c r="N102" s="2"/>
      <x:c r="O102" s="2"/>
    </x:row>
    <x:row r="103">
      <x:c r="N103" s="2"/>
      <x:c r="O103" s="2"/>
    </x:row>
  </x:sheetData>
  <x:mergeCells>
    <x:mergeCell ref="A1:Q1"/>
  </x:mergeCells>
  <x:dataValidations count="3">
    <x:dataValidation type="list" sqref="A4:A103">
      <x:formula1>"Leitura,Cobrança,Hidrometria"</x:formula1>
    </x:dataValidation>
    <x:dataValidation type="list" sqref="F4:M103">
      <x:formula1>"Pendente,Em análise,Aprovado,Reprovado,N/A"</x:formula1>
    </x:dataValidation>
    <x:dataValidation type="list" sqref="P4:P103">
      <x:formula1>"Não iniciado,Em andamento,Pendente Aqua/Cliente,Bloqueado,Concluído,N/A"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01105428054f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8.75" defaultRowHeight="14.25"/>
  <x:cols>
    <x:col min="1" max="1" width="24.375" style="9" customWidth="1"/>
    <x:col min="2" max="2" width="33.25" style="9" customWidth="1"/>
    <x:col min="3" max="3" width="66.375" style="9" customWidth="1"/>
    <x:col min="4" max="4" width="40.25" style="9" customWidth="1"/>
    <x:col min="5" max="5" width="4" style="9" customWidth="1"/>
    <x:col min="6" max="12" width="18" style="9" customWidth="1"/>
    <x:col min="13" max="16384" width="8.75" style="9" customWidth="0"/>
  </x:cols>
  <x:sheetData>
    <x:row r="1" ht="19.5">
      <x:c r="A1" s="19" t="s">
        <x:v>385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3" ht="15">
      <x:c r="A3" s="10" t="s">
        <x:v>239</x:v>
      </x:c>
      <x:c r="B3" s="10" t="s">
        <x:v>386</x:v>
      </x:c>
      <x:c r="C3" s="10" t="s">
        <x:v>387</x:v>
      </x:c>
      <x:c r="D3" s="10" t="s">
        <x:v>12</x:v>
      </x:c>
      <x:c r="F3" s="21" t="s">
        <x:v>388</x:v>
      </x:c>
      <x:c r="G3" s="20"/>
      <x:c r="H3" s="20"/>
      <x:c r="I3" s="20"/>
      <x:c r="J3" s="20"/>
      <x:c r="K3" s="20"/>
      <x:c r="L3" s="20"/>
    </x:row>
    <x:row r="4">
      <x:c r="A4" s="9" t="s">
        <x:v>377</x:v>
      </x:c>
      <x:c r="B4" s="9" t="n">
        <x:f>COUNTA('Leitura'!C5:C37)</x:f>
        <x:v>33</x:v>
      </x:c>
      <x:c r="C4" s="9" t="n">
        <x:f>COUNTIF('Leitura'!H5:H37,"Concluído")</x:f>
        <x:v>14</x:v>
      </x:c>
      <x:c r="D4" s="41" t="n">
        <x:f>IF(B4=0,0,C4/B4)</x:f>
        <x:v>0.42424242424242425</x:v>
      </x:c>
      <x:c r="F4" s="22" t="s">
        <x:v>389</x:v>
      </x:c>
      <x:c r="G4" s="20"/>
      <x:c r="H4" s="20"/>
      <x:c r="I4" s="20"/>
      <x:c r="J4" s="20"/>
      <x:c r="K4" s="20"/>
      <x:c r="L4" s="20"/>
    </x:row>
    <x:row r="5">
      <x:c r="A5" s="9" t="s">
        <x:v>287</x:v>
      </x:c>
      <x:c r="B5" s="9" t="n">
        <x:f>COUNTA('Cobrança'!C5:C53)</x:f>
        <x:v>49</x:v>
      </x:c>
      <x:c r="C5" s="9" t="n">
        <x:f>COUNTIF('Cobrança'!H5:H53,"Concluído")</x:f>
        <x:v>17</x:v>
      </x:c>
      <x:c r="D5" s="41" t="n">
        <x:f>IF(B5=0,0,C5/B5)</x:f>
        <x:v>0.3469387755102041</x:v>
      </x:c>
      <x:c r="F5" s="20"/>
      <x:c r="G5" s="20"/>
      <x:c r="H5" s="20"/>
      <x:c r="I5" s="20"/>
      <x:c r="J5" s="20"/>
      <x:c r="K5" s="20"/>
      <x:c r="L5" s="20"/>
    </x:row>
    <x:row r="6">
      <x:c r="A6" s="9" t="s">
        <x:v>255</x:v>
      </x:c>
      <x:c r="B6" s="9" t="n">
        <x:f>COUNTA('Hidrometria'!C5:C54)</x:f>
        <x:v>50</x:v>
      </x:c>
      <x:c r="C6" s="9" t="n">
        <x:f>COUNTIF('Hidrometria'!H5:H54,"Concluído")</x:f>
        <x:v>17</x:v>
      </x:c>
      <x:c r="D6" s="41" t="n">
        <x:f>IF(B6=0,0,C6/B6)</x:f>
        <x:v>0.34</x:v>
      </x:c>
      <x:c r="F6" s="20"/>
      <x:c r="G6" s="20"/>
      <x:c r="H6" s="20"/>
      <x:c r="I6" s="20"/>
      <x:c r="J6" s="20"/>
      <x:c r="K6" s="20"/>
      <x:c r="L6" s="20"/>
    </x:row>
    <x:row r="7">
      <x:c r="F7" s="20"/>
      <x:c r="G7" s="20"/>
      <x:c r="H7" s="20"/>
      <x:c r="I7" s="20"/>
      <x:c r="J7" s="20"/>
      <x:c r="K7" s="20"/>
      <x:c r="L7" s="20"/>
    </x:row>
    <x:row r="8" ht="15">
      <x:c r="A8" s="11" t="s">
        <x:v>390</x:v>
      </x:c>
      <x:c r="B8" s="11" t="s">
        <x:v>391</x:v>
      </x:c>
      <x:c r="F8" s="20"/>
      <x:c r="G8" s="20"/>
      <x:c r="H8" s="20"/>
      <x:c r="I8" s="20"/>
      <x:c r="J8" s="20"/>
      <x:c r="K8" s="20"/>
      <x:c r="L8" s="20"/>
    </x:row>
    <x:row r="9">
      <x:c r="A9" s="9" t="s">
        <x:v>392</x:v>
      </x:c>
      <x:c r="B9" s="9" t="n">
        <x:f>COUNTA('Aprovação Funcionários'!C4:C303)</x:f>
        <x:v>57</x:v>
      </x:c>
      <x:c r="F9" s="20"/>
      <x:c r="G9" s="20"/>
      <x:c r="H9" s="20"/>
      <x:c r="I9" s="20"/>
      <x:c r="J9" s="20"/>
      <x:c r="K9" s="20"/>
      <x:c r="L9" s="20"/>
    </x:row>
    <x:row r="10">
      <x:c r="A10" s="9" t="s">
        <x:v>393</x:v>
      </x:c>
      <x:c r="B10" s="9" t="n">
        <x:f>COUNTIF('Aprovação Funcionários'!R4:R303,"SIM")</x:f>
        <x:v>0</x:v>
      </x:c>
      <x:c r="F10" s="20"/>
      <x:c r="G10" s="20"/>
      <x:c r="H10" s="20"/>
      <x:c r="I10" s="20"/>
      <x:c r="J10" s="20"/>
      <x:c r="K10" s="20"/>
      <x:c r="L10" s="20"/>
    </x:row>
    <x:row r="11">
      <x:c r="A11" s="9" t="s">
        <x:v>394</x:v>
      </x:c>
      <x:c r="B11" s="9" t="n">
        <x:f>COUNTIF('Aprovação Funcionários'!N4:N303,"Pendente")+COUNTIF('Aprovação Funcionários'!N4:N303,"Em análise")</x:f>
        <x:v>0</x:v>
      </x:c>
    </x:row>
    <x:row r="12">
      <x:c r="A12" s="9" t="s">
        <x:v>395</x:v>
      </x:c>
      <x:c r="B12" s="9" t="n">
        <x:f>COUNTA('Escritórios e Bases'!B4:B103)</x:f>
        <x:v>6</x:v>
      </x:c>
    </x:row>
    <x:row r="15" ht="15">
      <x:c r="A15" s="7" t="s">
        <x:v>239</x:v>
      </x:c>
      <x:c r="B15" s="7" t="s">
        <x:v>396</x:v>
      </x:c>
      <x:c r="C15" s="7" t="s">
        <x:v>397</x:v>
      </x:c>
      <x:c r="D15" s="7" t="s">
        <x:v>398</x:v>
      </x:c>
    </x:row>
    <x:row r="16" ht="28.5">
      <x:c r="A16" s="13" t="s">
        <x:v>377</x:v>
      </x:c>
      <x:c r="B16" s="13" t="str">
        <x:v>Estrutura existente; matriz de responsáveis definida; relação de funcionários enviada à Aqua; aplicação da marca aprovada; bobinas cotadas.</x:v>
      </x:c>
      <x:c r="C16" s="13" t="str">
        <x:v>Documentação individual → aprovação Aqua → integração → fardamento → compra/teste das bobinas → treinamentos → início em 26/10.</x:v>
      </x:c>
      <x:c r="D16" s="13" t="str">
        <x:v>Documentação/liberação das equipes e aprovações internas da compra das bobinas.</x:v>
      </x:c>
    </x:row>
    <x:row r="17" ht="28.5">
      <x:c r="A17" s="13" t="s">
        <x:v>287</x:v>
      </x:c>
      <x:c r="B17" s="13" t="str">
        <x:v>Matriz definida; Base Recife concluída; frota e quadro operacional dimensionados; requisitos SSMA recebidos; compras iniciais enviadas; aplicação da marca aprovada.</x:v>
      </x:c>
      <x:c r="C17" s="13" t="str">
        <x:v>Mobilizar frota → EPI/sinalização → ferramental → recrutamento/admissão/documentação → integração/treinamento.</x:v>
      </x:c>
      <x:c r="D17" s="13" t="str">
        <x:v>Layout/identificação dos veículos continua pendente da Aqua.</x:v>
      </x:c>
    </x:row>
    <x:row r="18" ht="28.5">
      <x:c r="A18" s="13" t="s">
        <x:v>255</x:v>
      </x:c>
      <x:c r="B18" s="13" t="str">
        <x:v>Matriz definida; Base Recife concluída; frota e quadro operacional dimensionados; requisitos SSMA recebidos; aplicação da marca aprovada.</x:v>
      </x:c>
      <x:c r="C18" s="13" t="str">
        <x:v>Mobilizar frota → EPI/sinalização → ferramentas/equipamentos → materiais/hidrômetros → recrutamento/admissão/documentação → integração/treinamento.</x:v>
      </x:c>
      <x:c r="D18" s="13" t="str">
        <x:v>Layout/identificação dos veículos, materiais/hidrômetros e documentação corporativa ainda em andamento.</x:v>
      </x:c>
    </x:row>
  </x:sheetData>
  <x:mergeCells>
    <x:mergeCell ref="A1:L1"/>
    <x:mergeCell ref="F3:L3"/>
    <x:mergeCell ref="F4:L10"/>
  </x:mergeCells>
  <x:pageMargins left="0.7" right="0.7" top="0.75" bottom="0.75" header="0.3" footer="0.3"/>
</x:worksheet>
</file>